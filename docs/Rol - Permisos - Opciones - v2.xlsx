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55da8266fb4f2/Documentos/Gerardo_Paiva/FACH/Dirtica/NGAC/"/>
    </mc:Choice>
  </mc:AlternateContent>
  <xr:revisionPtr revIDLastSave="1006" documentId="8_{D770B113-86E7-4B0A-8306-1AE27A8B376E}" xr6:coauthVersionLast="47" xr6:coauthVersionMax="47" xr10:uidLastSave="{EC99D6DE-89F0-49A6-BFD9-571D2850C5CA}"/>
  <bookViews>
    <workbookView xWindow="-93" yWindow="-93" windowWidth="19386" windowHeight="11466" tabRatio="946" firstSheet="1" activeTab="3" xr2:uid="{731A349E-DB60-4148-9429-026251894C2D}"/>
  </bookViews>
  <sheets>
    <sheet name="Lista" sheetId="4" state="hidden" r:id="rId1"/>
    <sheet name="Endpoints" sheetId="28" r:id="rId2"/>
    <sheet name="Tipos" sheetId="27" r:id="rId3"/>
    <sheet name="Roles" sheetId="1" r:id="rId4"/>
    <sheet name="Politicas" sheetId="23" r:id="rId5"/>
    <sheet name="Modulos" sheetId="2" r:id="rId6"/>
    <sheet name="Permisos" sheetId="5" r:id="rId7"/>
    <sheet name="Divisiones" sheetId="21" r:id="rId8"/>
    <sheet name="Equipo" sheetId="24" r:id="rId9"/>
    <sheet name="CONTA" sheetId="3" r:id="rId10"/>
    <sheet name="PRESP" sheetId="6" r:id="rId11"/>
    <sheet name="VMNAC" sheetId="7" r:id="rId12"/>
    <sheet name="CONCI" sheetId="8" r:id="rId13"/>
    <sheet name="CAJA" sheetId="9" r:id="rId14"/>
    <sheet name="COMPR" sheetId="10" r:id="rId15"/>
    <sheet name="DECRE" sheetId="11" r:id="rId16"/>
    <sheet name="LIMED" sheetId="13" r:id="rId17"/>
    <sheet name="DESCU" sheetId="14" r:id="rId18"/>
    <sheet name="ALIME" sheetId="15" r:id="rId19"/>
    <sheet name="VMEXT" sheetId="16" r:id="rId20"/>
    <sheet name="INFRA" sheetId="17" r:id="rId21"/>
    <sheet name="COMEX" sheetId="18" r:id="rId22"/>
    <sheet name="CONSO" sheetId="22" r:id="rId23"/>
    <sheet name="ADMIN" sheetId="26" r:id="rId24"/>
  </sheets>
  <definedNames>
    <definedName name="_xlnm._FilterDatabase" localSheetId="20" hidden="1">INFRA!#REF!</definedName>
    <definedName name="OBTENER_RUTA" localSheetId="22">_xlfn.LAMBDA(_xlpm.id_actual,_xlpm.tabla_referencia,      _xlfn.LET(         _xlpm.fila, XBUSCAR(_xlpm.id_actual,#REF!, _xlpm.tabla_referencia, "", 0),         _xlpm.nombre, INDEX(_xlpm.fila, 1, MATCH("Nombre Opción2",#REF!, 0)),         _xlpm.padre, INDEX(_xlpm.fila, 1, MATCH("id_padre",#REF!, 0)),         IF(OR(_xlpm.padre=0, _xlpm.padre=""), "/" &amp; _xlpm.nombre, CONSO!OBTENER_RUTA(_xlpm.padre, _xlpm.tabla_referencia) &amp; "/" &amp; _xlpm.nombre)     ) )</definedName>
    <definedName name="OBTENER_RUTA" localSheetId="4">_xlfn.LAMBDA(_xlpm.id_actual,_xlpm.tabla_referencia,      _xlfn.LET(         _xlpm.fila, XBUSCAR(_xlpm.id_actual,#REF!, _xlpm.tabla_referencia, "", 0),         _xlpm.nombre, INDEX(_xlpm.fila, 1, MATCH("Nombre Opción2",#REF!, 0)),         _xlpm.padre, INDEX(_xlpm.fila, 1, MATCH("id_padre",#REF!, 0)),         IF(OR(_xlpm.padre=0, _xlpm.padre=""), "/" &amp; _xlpm.nombre, Politicas!OBTENER_RUTA(_xlpm.padre, _xlpm.tabla_referencia) &amp; "/" &amp; _xlpm.nombre)     ) )</definedName>
    <definedName name="OBTENER_RUTA">_xlfn.LAMBDA(_xlpm.id_actual,_xlpm.tabla_referencia,      _xlfn.LET(         _xlpm.fila, XBUSCAR(_xlpm.id_actual, Tabla_Presupuesto[Id], _xlpm.tabla_referencia, "", 0),         _xlpm.nombre, INDEX(_xlpm.fila, 1, MATCH("Nombre Opción2", Tabla_Presupuesto[#Headers], 0)),         _xlpm.padre, INDEX(_xlpm.fila, 1, MATCH("id_padre", Tabla_Presupuesto[#Headers], 0)),         IF(OR(_xlpm.padre=0, _xlpm.padre=""), "/" &amp; _xlpm.nombre, OBTENER_RUTA(_xlpm.padre, _xlpm.tabla_referencia) &amp; "/" &amp; _xlpm.nombre)     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26" l="1"/>
  <c r="A20" i="26" s="1"/>
  <c r="P20" i="26" s="1"/>
  <c r="B21" i="26"/>
  <c r="A21" i="26" s="1"/>
  <c r="P21" i="26" s="1"/>
  <c r="B22" i="26"/>
  <c r="A22" i="26" s="1"/>
  <c r="P22" i="26" s="1"/>
  <c r="B23" i="26"/>
  <c r="A23" i="26" s="1"/>
  <c r="P23" i="26" s="1"/>
  <c r="B24" i="26"/>
  <c r="A24" i="26" s="1"/>
  <c r="P24" i="26" s="1"/>
  <c r="G20" i="26"/>
  <c r="G21" i="26"/>
  <c r="G22" i="26"/>
  <c r="G23" i="26"/>
  <c r="G24" i="26"/>
  <c r="K20" i="26"/>
  <c r="K21" i="26"/>
  <c r="K22" i="26"/>
  <c r="K23" i="26"/>
  <c r="K24" i="26"/>
  <c r="B11" i="26"/>
  <c r="A11" i="26" s="1"/>
  <c r="P11" i="26" s="1"/>
  <c r="B12" i="26"/>
  <c r="A12" i="26" s="1"/>
  <c r="P12" i="26" s="1"/>
  <c r="B13" i="26"/>
  <c r="A13" i="26" s="1"/>
  <c r="P13" i="26" s="1"/>
  <c r="B14" i="26"/>
  <c r="A14" i="26" s="1"/>
  <c r="P14" i="26" s="1"/>
  <c r="B15" i="26"/>
  <c r="A15" i="26" s="1"/>
  <c r="P15" i="26" s="1"/>
  <c r="B16" i="26"/>
  <c r="A16" i="26" s="1"/>
  <c r="P16" i="26" s="1"/>
  <c r="B17" i="26"/>
  <c r="A17" i="26" s="1"/>
  <c r="P17" i="26" s="1"/>
  <c r="B18" i="26"/>
  <c r="A18" i="26" s="1"/>
  <c r="P18" i="26" s="1"/>
  <c r="B19" i="26"/>
  <c r="A19" i="26" s="1"/>
  <c r="P19" i="26" s="1"/>
  <c r="G11" i="26"/>
  <c r="G12" i="26"/>
  <c r="G13" i="26"/>
  <c r="G14" i="26"/>
  <c r="G15" i="26"/>
  <c r="G16" i="26"/>
  <c r="G17" i="26"/>
  <c r="G18" i="26"/>
  <c r="G19" i="26"/>
  <c r="K11" i="26"/>
  <c r="K12" i="26"/>
  <c r="K13" i="26"/>
  <c r="K14" i="26"/>
  <c r="K15" i="26"/>
  <c r="K16" i="26"/>
  <c r="K17" i="26"/>
  <c r="K18" i="26"/>
  <c r="K19" i="26"/>
  <c r="A2" i="23"/>
  <c r="A3" i="23"/>
  <c r="A4" i="23"/>
  <c r="A5" i="23"/>
  <c r="A6" i="23"/>
  <c r="A7" i="23"/>
  <c r="A8" i="23"/>
  <c r="A9" i="23"/>
  <c r="A10" i="23"/>
  <c r="A2" i="27"/>
  <c r="A3" i="27"/>
  <c r="A4" i="27"/>
  <c r="A5" i="27"/>
  <c r="A6" i="27"/>
  <c r="A7" i="27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G2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G10" i="26"/>
  <c r="K10" i="26"/>
  <c r="G9" i="26"/>
  <c r="K9" i="26"/>
  <c r="G8" i="26"/>
  <c r="K8" i="26"/>
  <c r="G7" i="26"/>
  <c r="K7" i="26"/>
  <c r="G6" i="26"/>
  <c r="K6" i="26"/>
  <c r="G5" i="26"/>
  <c r="K5" i="26"/>
  <c r="G4" i="26"/>
  <c r="K4" i="26"/>
  <c r="G3" i="26"/>
  <c r="K3" i="26"/>
  <c r="K2" i="26"/>
  <c r="G2" i="26"/>
  <c r="D2" i="26"/>
  <c r="D17" i="26" s="1"/>
  <c r="H16" i="2"/>
  <c r="I16" i="2"/>
  <c r="G16" i="2" s="1"/>
  <c r="A2" i="24"/>
  <c r="A3" i="24"/>
  <c r="A4" i="24"/>
  <c r="A5" i="24"/>
  <c r="A6" i="24"/>
  <c r="A7" i="24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I2" i="2"/>
  <c r="G2" i="2" s="1"/>
  <c r="I3" i="2"/>
  <c r="G3" i="2" s="1"/>
  <c r="I4" i="2"/>
  <c r="G4" i="2" s="1"/>
  <c r="I5" i="2"/>
  <c r="G5" i="2" s="1"/>
  <c r="I6" i="2"/>
  <c r="G6" i="2" s="1"/>
  <c r="I7" i="2"/>
  <c r="G7" i="2" s="1"/>
  <c r="I8" i="2"/>
  <c r="G8" i="2" s="1"/>
  <c r="I9" i="2"/>
  <c r="G9" i="2" s="1"/>
  <c r="I10" i="2"/>
  <c r="G10" i="2" s="1"/>
  <c r="I11" i="2"/>
  <c r="G11" i="2" s="1"/>
  <c r="I12" i="2"/>
  <c r="G12" i="2" s="1"/>
  <c r="I13" i="2"/>
  <c r="G13" i="2" s="1"/>
  <c r="I14" i="2"/>
  <c r="G14" i="2" s="1"/>
  <c r="I15" i="2"/>
  <c r="G15" i="2" s="1"/>
  <c r="E84" i="3"/>
  <c r="G3" i="14"/>
  <c r="K3" i="14"/>
  <c r="G4" i="14"/>
  <c r="K4" i="14"/>
  <c r="G5" i="14"/>
  <c r="K5" i="14"/>
  <c r="G6" i="14"/>
  <c r="K6" i="14"/>
  <c r="G7" i="14"/>
  <c r="K7" i="14"/>
  <c r="G8" i="14"/>
  <c r="K8" i="14"/>
  <c r="G9" i="14"/>
  <c r="K9" i="14"/>
  <c r="G10" i="14"/>
  <c r="K10" i="14"/>
  <c r="G11" i="14"/>
  <c r="K11" i="14"/>
  <c r="G12" i="14"/>
  <c r="K12" i="14"/>
  <c r="G13" i="14"/>
  <c r="K13" i="14"/>
  <c r="G14" i="14"/>
  <c r="K14" i="14"/>
  <c r="G15" i="14"/>
  <c r="K15" i="14"/>
  <c r="G16" i="14"/>
  <c r="K16" i="14"/>
  <c r="G17" i="14"/>
  <c r="K17" i="14"/>
  <c r="G18" i="14"/>
  <c r="K18" i="14"/>
  <c r="G19" i="14"/>
  <c r="K19" i="14"/>
  <c r="G20" i="14"/>
  <c r="K20" i="14"/>
  <c r="G21" i="14"/>
  <c r="K21" i="14"/>
  <c r="G22" i="14"/>
  <c r="K22" i="14"/>
  <c r="G23" i="14"/>
  <c r="K23" i="14"/>
  <c r="G24" i="14"/>
  <c r="K24" i="14"/>
  <c r="G25" i="14"/>
  <c r="K25" i="14"/>
  <c r="G26" i="14"/>
  <c r="K26" i="14"/>
  <c r="G27" i="14"/>
  <c r="K27" i="14"/>
  <c r="G28" i="14"/>
  <c r="K28" i="14"/>
  <c r="G29" i="14"/>
  <c r="K29" i="14"/>
  <c r="G30" i="14"/>
  <c r="K30" i="14"/>
  <c r="G31" i="14"/>
  <c r="K31" i="14"/>
  <c r="G32" i="14"/>
  <c r="K32" i="14"/>
  <c r="G33" i="14"/>
  <c r="K33" i="14"/>
  <c r="G34" i="14"/>
  <c r="K34" i="14"/>
  <c r="G35" i="14"/>
  <c r="K35" i="14"/>
  <c r="G36" i="14"/>
  <c r="K36" i="14"/>
  <c r="G37" i="14"/>
  <c r="K37" i="14"/>
  <c r="G38" i="14"/>
  <c r="K38" i="14"/>
  <c r="G39" i="14"/>
  <c r="K39" i="14"/>
  <c r="G40" i="14"/>
  <c r="K40" i="14"/>
  <c r="G41" i="14"/>
  <c r="K41" i="14"/>
  <c r="G42" i="14"/>
  <c r="K42" i="14"/>
  <c r="G43" i="14"/>
  <c r="K43" i="14"/>
  <c r="G44" i="14"/>
  <c r="K44" i="14"/>
  <c r="G45" i="14"/>
  <c r="K45" i="14"/>
  <c r="G46" i="14"/>
  <c r="K46" i="14"/>
  <c r="G47" i="14"/>
  <c r="K47" i="14"/>
  <c r="G48" i="14"/>
  <c r="K48" i="14"/>
  <c r="G49" i="14"/>
  <c r="K49" i="14"/>
  <c r="G50" i="14"/>
  <c r="K50" i="14"/>
  <c r="G51" i="14"/>
  <c r="K51" i="14"/>
  <c r="G52" i="14"/>
  <c r="K52" i="14"/>
  <c r="G53" i="14"/>
  <c r="K53" i="14"/>
  <c r="G54" i="14"/>
  <c r="K54" i="14"/>
  <c r="G55" i="14"/>
  <c r="K55" i="14"/>
  <c r="G56" i="14"/>
  <c r="K56" i="14"/>
  <c r="G57" i="14"/>
  <c r="K57" i="14"/>
  <c r="G58" i="14"/>
  <c r="K58" i="14"/>
  <c r="G59" i="14"/>
  <c r="K59" i="14"/>
  <c r="G60" i="14"/>
  <c r="K60" i="14"/>
  <c r="G61" i="14"/>
  <c r="K61" i="14"/>
  <c r="G62" i="14"/>
  <c r="K62" i="14"/>
  <c r="G63" i="14"/>
  <c r="K63" i="14"/>
  <c r="G64" i="14"/>
  <c r="K64" i="14"/>
  <c r="G65" i="14"/>
  <c r="K65" i="14"/>
  <c r="G66" i="14"/>
  <c r="K66" i="14"/>
  <c r="G67" i="14"/>
  <c r="K67" i="14"/>
  <c r="G68" i="14"/>
  <c r="K68" i="14"/>
  <c r="G69" i="14"/>
  <c r="K69" i="14"/>
  <c r="G70" i="14"/>
  <c r="K70" i="14"/>
  <c r="G71" i="14"/>
  <c r="K71" i="14"/>
  <c r="G72" i="14"/>
  <c r="K72" i="14"/>
  <c r="G73" i="14"/>
  <c r="K73" i="14"/>
  <c r="G74" i="14"/>
  <c r="K74" i="14"/>
  <c r="G75" i="14"/>
  <c r="K75" i="14"/>
  <c r="G76" i="14"/>
  <c r="K76" i="14"/>
  <c r="G77" i="14"/>
  <c r="K77" i="14"/>
  <c r="G78" i="14"/>
  <c r="K78" i="14"/>
  <c r="C2" i="14"/>
  <c r="G2" i="14"/>
  <c r="K2" i="14"/>
  <c r="K61" i="22"/>
  <c r="G61" i="22"/>
  <c r="K60" i="22"/>
  <c r="G60" i="22"/>
  <c r="K59" i="22"/>
  <c r="G59" i="22"/>
  <c r="K58" i="22"/>
  <c r="G58" i="22"/>
  <c r="K57" i="22"/>
  <c r="G57" i="22"/>
  <c r="K56" i="22"/>
  <c r="G56" i="22"/>
  <c r="K55" i="22"/>
  <c r="G55" i="22"/>
  <c r="K54" i="22"/>
  <c r="G54" i="22"/>
  <c r="K53" i="22"/>
  <c r="G53" i="22"/>
  <c r="K52" i="22"/>
  <c r="G52" i="22"/>
  <c r="K51" i="22"/>
  <c r="G51" i="22"/>
  <c r="K50" i="22"/>
  <c r="G50" i="22"/>
  <c r="K49" i="22"/>
  <c r="G49" i="22"/>
  <c r="K48" i="22"/>
  <c r="G48" i="22"/>
  <c r="K47" i="22"/>
  <c r="G47" i="22"/>
  <c r="K46" i="22"/>
  <c r="G46" i="22"/>
  <c r="K45" i="22"/>
  <c r="G45" i="22"/>
  <c r="K44" i="22"/>
  <c r="G44" i="22"/>
  <c r="K43" i="22"/>
  <c r="G43" i="22"/>
  <c r="K42" i="22"/>
  <c r="G42" i="22"/>
  <c r="K41" i="22"/>
  <c r="G41" i="22"/>
  <c r="K40" i="22"/>
  <c r="G40" i="22"/>
  <c r="K39" i="22"/>
  <c r="G39" i="22"/>
  <c r="K38" i="22"/>
  <c r="G38" i="22"/>
  <c r="K37" i="22"/>
  <c r="G37" i="22"/>
  <c r="K36" i="22"/>
  <c r="G36" i="22"/>
  <c r="K35" i="22"/>
  <c r="G35" i="22"/>
  <c r="K34" i="22"/>
  <c r="G34" i="22"/>
  <c r="K33" i="22"/>
  <c r="G33" i="22"/>
  <c r="K32" i="22"/>
  <c r="G32" i="22"/>
  <c r="K31" i="22"/>
  <c r="G31" i="22"/>
  <c r="K30" i="22"/>
  <c r="G30" i="22"/>
  <c r="K29" i="22"/>
  <c r="G29" i="22"/>
  <c r="K28" i="22"/>
  <c r="G28" i="22"/>
  <c r="K27" i="22"/>
  <c r="G27" i="22"/>
  <c r="K26" i="22"/>
  <c r="G26" i="22"/>
  <c r="K25" i="22"/>
  <c r="G25" i="22"/>
  <c r="K24" i="22"/>
  <c r="G24" i="22"/>
  <c r="K23" i="22"/>
  <c r="G23" i="22"/>
  <c r="K22" i="22"/>
  <c r="G22" i="22"/>
  <c r="K21" i="22"/>
  <c r="G21" i="22"/>
  <c r="K20" i="22"/>
  <c r="G20" i="22"/>
  <c r="K19" i="22"/>
  <c r="G19" i="22"/>
  <c r="K18" i="22"/>
  <c r="G18" i="22"/>
  <c r="K17" i="22"/>
  <c r="G17" i="22"/>
  <c r="K16" i="22"/>
  <c r="G16" i="22"/>
  <c r="K15" i="22"/>
  <c r="G15" i="22"/>
  <c r="K14" i="22"/>
  <c r="G14" i="22"/>
  <c r="K13" i="22"/>
  <c r="G13" i="22"/>
  <c r="K12" i="22"/>
  <c r="G12" i="22"/>
  <c r="K11" i="22"/>
  <c r="G11" i="22"/>
  <c r="K10" i="22"/>
  <c r="G10" i="22"/>
  <c r="K9" i="22"/>
  <c r="G9" i="22"/>
  <c r="K8" i="22"/>
  <c r="G8" i="22"/>
  <c r="K7" i="22"/>
  <c r="G7" i="22"/>
  <c r="K6" i="22"/>
  <c r="G6" i="22"/>
  <c r="K5" i="22"/>
  <c r="G5" i="22"/>
  <c r="K4" i="22"/>
  <c r="G4" i="22"/>
  <c r="K3" i="22"/>
  <c r="G3" i="22"/>
  <c r="K2" i="22"/>
  <c r="F2" i="22" s="1"/>
  <c r="G2" i="22"/>
  <c r="C2" i="22"/>
  <c r="E15" i="2"/>
  <c r="E16" i="2"/>
  <c r="D19" i="26" l="1"/>
  <c r="D18" i="26"/>
  <c r="J2" i="26"/>
  <c r="J17" i="26" s="1"/>
  <c r="J18" i="26" s="1"/>
  <c r="F2" i="26"/>
  <c r="F17" i="26" s="1"/>
  <c r="F18" i="26" s="1"/>
  <c r="J2" i="14"/>
  <c r="F2" i="14"/>
  <c r="J2" i="22"/>
  <c r="J19" i="26" l="1"/>
  <c r="D22" i="26"/>
  <c r="J22" i="26" s="1"/>
  <c r="D24" i="26"/>
  <c r="D20" i="26"/>
  <c r="D23" i="26"/>
  <c r="D21" i="26"/>
  <c r="F19" i="26"/>
  <c r="C2" i="18"/>
  <c r="C2" i="17"/>
  <c r="C2" i="16"/>
  <c r="C2" i="15"/>
  <c r="C2" i="13"/>
  <c r="C2" i="11"/>
  <c r="C2" i="10"/>
  <c r="C2" i="9"/>
  <c r="C2" i="8"/>
  <c r="C2" i="7"/>
  <c r="C2" i="6"/>
  <c r="C2" i="3"/>
  <c r="E7" i="2"/>
  <c r="E11" i="2"/>
  <c r="E6" i="2"/>
  <c r="E10" i="2"/>
  <c r="E9" i="2"/>
  <c r="E5" i="2"/>
  <c r="E4" i="2"/>
  <c r="E12" i="2"/>
  <c r="E8" i="2"/>
  <c r="E13" i="2"/>
  <c r="E2" i="2"/>
  <c r="E14" i="2"/>
  <c r="E3" i="2"/>
  <c r="J20" i="26" l="1"/>
  <c r="J24" i="26"/>
  <c r="J21" i="26"/>
  <c r="J23" i="26"/>
  <c r="F21" i="26"/>
  <c r="F24" i="26"/>
  <c r="F20" i="26"/>
  <c r="F23" i="26"/>
  <c r="F22" i="26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K2" i="15"/>
  <c r="F2" i="15" s="1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" i="18"/>
  <c r="F2" i="18" s="1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2" i="17"/>
  <c r="F2" i="17" s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2" i="3"/>
  <c r="F2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" i="6"/>
  <c r="F2" i="6" s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2" i="7"/>
  <c r="F2" i="7" s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2" i="8"/>
  <c r="F2" i="8" s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2" i="9"/>
  <c r="F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2" i="10"/>
  <c r="F2" i="10" s="1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2" i="11"/>
  <c r="F2" i="11" s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2" i="13"/>
  <c r="J2" i="13" s="1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2" i="16"/>
  <c r="F2" i="16" s="1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A10" i="6" l="1"/>
  <c r="E10" i="6" s="1"/>
  <c r="A26" i="6"/>
  <c r="E26" i="6" s="1"/>
  <c r="A42" i="6"/>
  <c r="E42" i="6" s="1"/>
  <c r="A58" i="6"/>
  <c r="E58" i="6" s="1"/>
  <c r="A74" i="6"/>
  <c r="E74" i="6" s="1"/>
  <c r="A90" i="6"/>
  <c r="E90" i="6" s="1"/>
  <c r="A106" i="6"/>
  <c r="E106" i="6" s="1"/>
  <c r="A122" i="6"/>
  <c r="E122" i="6" s="1"/>
  <c r="A138" i="6"/>
  <c r="E138" i="6" s="1"/>
  <c r="A154" i="6"/>
  <c r="E154" i="6" s="1"/>
  <c r="A170" i="6"/>
  <c r="E170" i="6" s="1"/>
  <c r="A186" i="6"/>
  <c r="E186" i="6" s="1"/>
  <c r="A142" i="6"/>
  <c r="E142" i="6" s="1"/>
  <c r="A63" i="6"/>
  <c r="E63" i="6" s="1"/>
  <c r="A159" i="6"/>
  <c r="E159" i="6" s="1"/>
  <c r="A16" i="6"/>
  <c r="E16" i="6" s="1"/>
  <c r="A192" i="6"/>
  <c r="E192" i="6" s="1"/>
  <c r="A65" i="6"/>
  <c r="E65" i="6" s="1"/>
  <c r="A34" i="6"/>
  <c r="E34" i="6" s="1"/>
  <c r="A114" i="6"/>
  <c r="E114" i="6" s="1"/>
  <c r="A162" i="6"/>
  <c r="E162" i="6" s="1"/>
  <c r="A35" i="6"/>
  <c r="E35" i="6" s="1"/>
  <c r="A163" i="6"/>
  <c r="E163" i="6" s="1"/>
  <c r="A52" i="6"/>
  <c r="E52" i="6" s="1"/>
  <c r="A116" i="6"/>
  <c r="E116" i="6" s="1"/>
  <c r="A164" i="6"/>
  <c r="E164" i="6" s="1"/>
  <c r="A53" i="6"/>
  <c r="E53" i="6" s="1"/>
  <c r="A85" i="6"/>
  <c r="E85" i="6" s="1"/>
  <c r="A133" i="6"/>
  <c r="E133" i="6" s="1"/>
  <c r="A165" i="6"/>
  <c r="E165" i="6" s="1"/>
  <c r="A6" i="6"/>
  <c r="E6" i="6" s="1"/>
  <c r="A86" i="6"/>
  <c r="E86" i="6" s="1"/>
  <c r="A118" i="6"/>
  <c r="E118" i="6" s="1"/>
  <c r="A182" i="6"/>
  <c r="E182" i="6" s="1"/>
  <c r="A39" i="6"/>
  <c r="E39" i="6" s="1"/>
  <c r="A71" i="6"/>
  <c r="E71" i="6" s="1"/>
  <c r="A119" i="6"/>
  <c r="E119" i="6" s="1"/>
  <c r="A167" i="6"/>
  <c r="E167" i="6" s="1"/>
  <c r="A24" i="6"/>
  <c r="E24" i="6" s="1"/>
  <c r="A72" i="6"/>
  <c r="E72" i="6" s="1"/>
  <c r="A104" i="6"/>
  <c r="E104" i="6" s="1"/>
  <c r="A11" i="6"/>
  <c r="E11" i="6" s="1"/>
  <c r="A27" i="6"/>
  <c r="E27" i="6" s="1"/>
  <c r="A43" i="6"/>
  <c r="E43" i="6" s="1"/>
  <c r="A59" i="6"/>
  <c r="E59" i="6" s="1"/>
  <c r="A75" i="6"/>
  <c r="E75" i="6" s="1"/>
  <c r="A91" i="6"/>
  <c r="E91" i="6" s="1"/>
  <c r="A107" i="6"/>
  <c r="E107" i="6" s="1"/>
  <c r="A123" i="6"/>
  <c r="E123" i="6" s="1"/>
  <c r="A139" i="6"/>
  <c r="E139" i="6" s="1"/>
  <c r="A155" i="6"/>
  <c r="E155" i="6" s="1"/>
  <c r="A171" i="6"/>
  <c r="E171" i="6" s="1"/>
  <c r="A187" i="6"/>
  <c r="E187" i="6" s="1"/>
  <c r="A190" i="6"/>
  <c r="E190" i="6" s="1"/>
  <c r="A79" i="6"/>
  <c r="E79" i="6" s="1"/>
  <c r="A175" i="6"/>
  <c r="E175" i="6" s="1"/>
  <c r="A32" i="6"/>
  <c r="E32" i="6" s="1"/>
  <c r="A160" i="6"/>
  <c r="E160" i="6" s="1"/>
  <c r="A81" i="6"/>
  <c r="E81" i="6" s="1"/>
  <c r="A161" i="6"/>
  <c r="E161" i="6" s="1"/>
  <c r="A18" i="6"/>
  <c r="E18" i="6" s="1"/>
  <c r="A98" i="6"/>
  <c r="E98" i="6" s="1"/>
  <c r="A146" i="6"/>
  <c r="E146" i="6" s="1"/>
  <c r="A67" i="6"/>
  <c r="E67" i="6" s="1"/>
  <c r="A99" i="6"/>
  <c r="E99" i="6" s="1"/>
  <c r="A147" i="6"/>
  <c r="E147" i="6" s="1"/>
  <c r="A20" i="6"/>
  <c r="E20" i="6" s="1"/>
  <c r="A84" i="6"/>
  <c r="E84" i="6" s="1"/>
  <c r="A148" i="6"/>
  <c r="E148" i="6" s="1"/>
  <c r="A21" i="6"/>
  <c r="E21" i="6" s="1"/>
  <c r="A117" i="6"/>
  <c r="E117" i="6" s="1"/>
  <c r="A54" i="6"/>
  <c r="E54" i="6" s="1"/>
  <c r="A150" i="6"/>
  <c r="E150" i="6" s="1"/>
  <c r="A56" i="6"/>
  <c r="E56" i="6" s="1"/>
  <c r="A136" i="6"/>
  <c r="E136" i="6" s="1"/>
  <c r="A12" i="6"/>
  <c r="E12" i="6" s="1"/>
  <c r="A28" i="6"/>
  <c r="E28" i="6" s="1"/>
  <c r="A44" i="6"/>
  <c r="E44" i="6" s="1"/>
  <c r="A60" i="6"/>
  <c r="E60" i="6" s="1"/>
  <c r="A76" i="6"/>
  <c r="E76" i="6" s="1"/>
  <c r="A92" i="6"/>
  <c r="E92" i="6" s="1"/>
  <c r="A108" i="6"/>
  <c r="E108" i="6" s="1"/>
  <c r="A124" i="6"/>
  <c r="E124" i="6" s="1"/>
  <c r="A140" i="6"/>
  <c r="E140" i="6" s="1"/>
  <c r="A156" i="6"/>
  <c r="E156" i="6" s="1"/>
  <c r="A172" i="6"/>
  <c r="E172" i="6" s="1"/>
  <c r="A188" i="6"/>
  <c r="E188" i="6" s="1"/>
  <c r="A174" i="6"/>
  <c r="E174" i="6" s="1"/>
  <c r="A47" i="6"/>
  <c r="E47" i="6" s="1"/>
  <c r="A127" i="6"/>
  <c r="E127" i="6" s="1"/>
  <c r="A80" i="6"/>
  <c r="E80" i="6" s="1"/>
  <c r="A96" i="6"/>
  <c r="E96" i="6" s="1"/>
  <c r="A128" i="6"/>
  <c r="E128" i="6" s="1"/>
  <c r="A176" i="6"/>
  <c r="E176" i="6" s="1"/>
  <c r="A33" i="6"/>
  <c r="E33" i="6" s="1"/>
  <c r="A113" i="6"/>
  <c r="E113" i="6" s="1"/>
  <c r="A145" i="6"/>
  <c r="E145" i="6" s="1"/>
  <c r="A193" i="6"/>
  <c r="E193" i="6" s="1"/>
  <c r="A66" i="6"/>
  <c r="E66" i="6" s="1"/>
  <c r="A178" i="6"/>
  <c r="E178" i="6" s="1"/>
  <c r="A51" i="6"/>
  <c r="E51" i="6" s="1"/>
  <c r="A13" i="6"/>
  <c r="E13" i="6" s="1"/>
  <c r="A29" i="6"/>
  <c r="E29" i="6" s="1"/>
  <c r="A45" i="6"/>
  <c r="E45" i="6" s="1"/>
  <c r="A61" i="6"/>
  <c r="E61" i="6" s="1"/>
  <c r="A77" i="6"/>
  <c r="E77" i="6" s="1"/>
  <c r="A93" i="6"/>
  <c r="E93" i="6" s="1"/>
  <c r="A109" i="6"/>
  <c r="E109" i="6" s="1"/>
  <c r="A125" i="6"/>
  <c r="E125" i="6" s="1"/>
  <c r="A141" i="6"/>
  <c r="E141" i="6" s="1"/>
  <c r="A157" i="6"/>
  <c r="E157" i="6" s="1"/>
  <c r="A173" i="6"/>
  <c r="E173" i="6" s="1"/>
  <c r="A189" i="6"/>
  <c r="E189" i="6" s="1"/>
  <c r="A158" i="6"/>
  <c r="E158" i="6" s="1"/>
  <c r="A31" i="6"/>
  <c r="E31" i="6" s="1"/>
  <c r="A95" i="6"/>
  <c r="E95" i="6" s="1"/>
  <c r="A111" i="6"/>
  <c r="E111" i="6" s="1"/>
  <c r="A143" i="6"/>
  <c r="E143" i="6" s="1"/>
  <c r="A48" i="6"/>
  <c r="E48" i="6" s="1"/>
  <c r="A49" i="6"/>
  <c r="E49" i="6" s="1"/>
  <c r="A50" i="6"/>
  <c r="E50" i="6" s="1"/>
  <c r="A19" i="6"/>
  <c r="E19" i="6" s="1"/>
  <c r="A115" i="6"/>
  <c r="E115" i="6" s="1"/>
  <c r="A2" i="6"/>
  <c r="E2" i="6" s="1"/>
  <c r="A36" i="6"/>
  <c r="E36" i="6" s="1"/>
  <c r="A68" i="6"/>
  <c r="E68" i="6" s="1"/>
  <c r="A132" i="6"/>
  <c r="E132" i="6" s="1"/>
  <c r="A37" i="6"/>
  <c r="E37" i="6" s="1"/>
  <c r="A101" i="6"/>
  <c r="E101" i="6" s="1"/>
  <c r="A181" i="6"/>
  <c r="E181" i="6" s="1"/>
  <c r="A38" i="6"/>
  <c r="E38" i="6" s="1"/>
  <c r="A102" i="6"/>
  <c r="E102" i="6" s="1"/>
  <c r="A166" i="6"/>
  <c r="E166" i="6" s="1"/>
  <c r="A23" i="6"/>
  <c r="E23" i="6" s="1"/>
  <c r="A55" i="6"/>
  <c r="E55" i="6" s="1"/>
  <c r="A103" i="6"/>
  <c r="E103" i="6" s="1"/>
  <c r="A135" i="6"/>
  <c r="E135" i="6" s="1"/>
  <c r="A183" i="6"/>
  <c r="E183" i="6" s="1"/>
  <c r="A8" i="6"/>
  <c r="E8" i="6" s="1"/>
  <c r="A88" i="6"/>
  <c r="E88" i="6" s="1"/>
  <c r="A14" i="6"/>
  <c r="E14" i="6" s="1"/>
  <c r="A30" i="6"/>
  <c r="E30" i="6" s="1"/>
  <c r="A46" i="6"/>
  <c r="E46" i="6" s="1"/>
  <c r="A62" i="6"/>
  <c r="E62" i="6" s="1"/>
  <c r="A78" i="6"/>
  <c r="E78" i="6" s="1"/>
  <c r="A94" i="6"/>
  <c r="E94" i="6" s="1"/>
  <c r="A110" i="6"/>
  <c r="E110" i="6" s="1"/>
  <c r="A126" i="6"/>
  <c r="E126" i="6" s="1"/>
  <c r="A15" i="6"/>
  <c r="E15" i="6" s="1"/>
  <c r="A191" i="6"/>
  <c r="E191" i="6" s="1"/>
  <c r="A64" i="6"/>
  <c r="E64" i="6" s="1"/>
  <c r="A112" i="6"/>
  <c r="E112" i="6" s="1"/>
  <c r="A144" i="6"/>
  <c r="E144" i="6" s="1"/>
  <c r="A17" i="6"/>
  <c r="E17" i="6" s="1"/>
  <c r="A97" i="6"/>
  <c r="E97" i="6" s="1"/>
  <c r="A129" i="6"/>
  <c r="E129" i="6" s="1"/>
  <c r="A177" i="6"/>
  <c r="E177" i="6" s="1"/>
  <c r="A82" i="6"/>
  <c r="E82" i="6" s="1"/>
  <c r="A130" i="6"/>
  <c r="E130" i="6" s="1"/>
  <c r="A194" i="6"/>
  <c r="E194" i="6" s="1"/>
  <c r="A3" i="6"/>
  <c r="E3" i="6" s="1"/>
  <c r="A83" i="6"/>
  <c r="E83" i="6" s="1"/>
  <c r="A131" i="6"/>
  <c r="E131" i="6" s="1"/>
  <c r="A179" i="6"/>
  <c r="E179" i="6" s="1"/>
  <c r="A4" i="6"/>
  <c r="E4" i="6" s="1"/>
  <c r="A100" i="6"/>
  <c r="E100" i="6" s="1"/>
  <c r="A180" i="6"/>
  <c r="E180" i="6" s="1"/>
  <c r="A5" i="6"/>
  <c r="E5" i="6" s="1"/>
  <c r="A69" i="6"/>
  <c r="E69" i="6" s="1"/>
  <c r="A149" i="6"/>
  <c r="E149" i="6" s="1"/>
  <c r="A22" i="6"/>
  <c r="E22" i="6" s="1"/>
  <c r="A70" i="6"/>
  <c r="E70" i="6" s="1"/>
  <c r="A134" i="6"/>
  <c r="E134" i="6" s="1"/>
  <c r="A7" i="6"/>
  <c r="E7" i="6" s="1"/>
  <c r="A87" i="6"/>
  <c r="E87" i="6" s="1"/>
  <c r="A151" i="6"/>
  <c r="E151" i="6" s="1"/>
  <c r="A40" i="6"/>
  <c r="E40" i="6" s="1"/>
  <c r="A168" i="6"/>
  <c r="E168" i="6" s="1"/>
  <c r="A9" i="6"/>
  <c r="E9" i="6" s="1"/>
  <c r="A73" i="6"/>
  <c r="E73" i="6" s="1"/>
  <c r="A121" i="6"/>
  <c r="E121" i="6" s="1"/>
  <c r="A152" i="6"/>
  <c r="E152" i="6" s="1"/>
  <c r="A169" i="6"/>
  <c r="E169" i="6" s="1"/>
  <c r="A184" i="6"/>
  <c r="E184" i="6" s="1"/>
  <c r="A89" i="6"/>
  <c r="E89" i="6" s="1"/>
  <c r="A105" i="6"/>
  <c r="E105" i="6" s="1"/>
  <c r="A120" i="6"/>
  <c r="E120" i="6" s="1"/>
  <c r="A153" i="6"/>
  <c r="E153" i="6" s="1"/>
  <c r="A185" i="6"/>
  <c r="E185" i="6" s="1"/>
  <c r="A25" i="6"/>
  <c r="E25" i="6" s="1"/>
  <c r="A41" i="6"/>
  <c r="E41" i="6" s="1"/>
  <c r="A57" i="6"/>
  <c r="E57" i="6" s="1"/>
  <c r="A137" i="6"/>
  <c r="E137" i="6" s="1"/>
  <c r="F2" i="13"/>
  <c r="F3" i="3"/>
  <c r="F4" i="3"/>
  <c r="F5" i="3"/>
  <c r="F6" i="3"/>
  <c r="F7" i="3"/>
  <c r="F8" i="3"/>
  <c r="J2" i="15"/>
  <c r="C5" i="3"/>
  <c r="C86" i="3" s="1"/>
  <c r="C6" i="3"/>
  <c r="C122" i="3" s="1"/>
  <c r="C7" i="3"/>
  <c r="C155" i="3" s="1"/>
  <c r="C8" i="3"/>
  <c r="C210" i="3" s="1"/>
  <c r="C4" i="3"/>
  <c r="C43" i="3" s="1"/>
  <c r="C3" i="3"/>
  <c r="C10" i="3" s="1"/>
  <c r="J2" i="8"/>
  <c r="J2" i="7"/>
  <c r="J2" i="11"/>
  <c r="J2" i="10"/>
  <c r="J2" i="9"/>
  <c r="J2" i="3"/>
  <c r="J2" i="18"/>
  <c r="J2" i="17"/>
  <c r="J2" i="16"/>
  <c r="J2" i="6"/>
  <c r="A70" i="7" l="1"/>
  <c r="E70" i="7" s="1"/>
  <c r="V70" i="7" s="1"/>
  <c r="A92" i="7"/>
  <c r="E92" i="7" s="1"/>
  <c r="V92" i="7" s="1"/>
  <c r="A97" i="7"/>
  <c r="E97" i="7" s="1"/>
  <c r="V97" i="7" s="1"/>
  <c r="A11" i="7"/>
  <c r="E11" i="7" s="1"/>
  <c r="V11" i="7" s="1"/>
  <c r="A35" i="7"/>
  <c r="E35" i="7" s="1"/>
  <c r="V35" i="7" s="1"/>
  <c r="A62" i="7"/>
  <c r="E62" i="7" s="1"/>
  <c r="V62" i="7" s="1"/>
  <c r="A52" i="7"/>
  <c r="E52" i="7" s="1"/>
  <c r="V52" i="7" s="1"/>
  <c r="A58" i="7"/>
  <c r="E58" i="7" s="1"/>
  <c r="V58" i="7" s="1"/>
  <c r="A72" i="7"/>
  <c r="E72" i="7" s="1"/>
  <c r="V72" i="7" s="1"/>
  <c r="A84" i="7"/>
  <c r="E84" i="7" s="1"/>
  <c r="V84" i="7" s="1"/>
  <c r="A25" i="7"/>
  <c r="E25" i="7" s="1"/>
  <c r="V25" i="7" s="1"/>
  <c r="A26" i="7"/>
  <c r="E26" i="7" s="1"/>
  <c r="V26" i="7" s="1"/>
  <c r="A4" i="7"/>
  <c r="E4" i="7" s="1"/>
  <c r="V4" i="7" s="1"/>
  <c r="A45" i="7"/>
  <c r="E45" i="7" s="1"/>
  <c r="V45" i="7" s="1"/>
  <c r="A67" i="7"/>
  <c r="E67" i="7" s="1"/>
  <c r="V67" i="7" s="1"/>
  <c r="A48" i="7"/>
  <c r="E48" i="7" s="1"/>
  <c r="V48" i="7" s="1"/>
  <c r="A33" i="7"/>
  <c r="E33" i="7" s="1"/>
  <c r="V33" i="7" s="1"/>
  <c r="A91" i="7"/>
  <c r="E91" i="7" s="1"/>
  <c r="V91" i="7" s="1"/>
  <c r="A31" i="7"/>
  <c r="E31" i="7" s="1"/>
  <c r="V31" i="7" s="1"/>
  <c r="A55" i="7"/>
  <c r="E55" i="7" s="1"/>
  <c r="V55" i="7" s="1"/>
  <c r="A100" i="7"/>
  <c r="E100" i="7" s="1"/>
  <c r="V100" i="7" s="1"/>
  <c r="A86" i="7"/>
  <c r="E86" i="7" s="1"/>
  <c r="V86" i="7" s="1"/>
  <c r="A14" i="7"/>
  <c r="E14" i="7" s="1"/>
  <c r="V14" i="7" s="1"/>
  <c r="I2" i="6"/>
  <c r="A73" i="7"/>
  <c r="E73" i="7" s="1"/>
  <c r="V73" i="7" s="1"/>
  <c r="A36" i="7"/>
  <c r="E36" i="7" s="1"/>
  <c r="V36" i="7" s="1"/>
  <c r="A54" i="7"/>
  <c r="E54" i="7" s="1"/>
  <c r="V54" i="7" s="1"/>
  <c r="A57" i="7"/>
  <c r="E57" i="7" s="1"/>
  <c r="V57" i="7" s="1"/>
  <c r="A44" i="7"/>
  <c r="E44" i="7" s="1"/>
  <c r="V44" i="7" s="1"/>
  <c r="A17" i="7"/>
  <c r="E17" i="7" s="1"/>
  <c r="V17" i="7" s="1"/>
  <c r="A74" i="7"/>
  <c r="E74" i="7" s="1"/>
  <c r="V74" i="7" s="1"/>
  <c r="A94" i="7"/>
  <c r="E94" i="7" s="1"/>
  <c r="V94" i="7" s="1"/>
  <c r="A12" i="7"/>
  <c r="E12" i="7" s="1"/>
  <c r="V12" i="7" s="1"/>
  <c r="A5" i="7"/>
  <c r="E5" i="7" s="1"/>
  <c r="V5" i="7" s="1"/>
  <c r="A9" i="7"/>
  <c r="E9" i="7" s="1"/>
  <c r="V9" i="7" s="1"/>
  <c r="A27" i="7"/>
  <c r="E27" i="7" s="1"/>
  <c r="V27" i="7" s="1"/>
  <c r="A68" i="7"/>
  <c r="E68" i="7" s="1"/>
  <c r="V68" i="7" s="1"/>
  <c r="A88" i="7"/>
  <c r="E88" i="7" s="1"/>
  <c r="V88" i="7" s="1"/>
  <c r="A34" i="7"/>
  <c r="E34" i="7" s="1"/>
  <c r="V34" i="7" s="1"/>
  <c r="A79" i="7"/>
  <c r="E79" i="7" s="1"/>
  <c r="V79" i="7" s="1"/>
  <c r="A101" i="7"/>
  <c r="E101" i="7" s="1"/>
  <c r="V101" i="7" s="1"/>
  <c r="A56" i="7"/>
  <c r="E56" i="7" s="1"/>
  <c r="V56" i="7" s="1"/>
  <c r="A83" i="7"/>
  <c r="E83" i="7" s="1"/>
  <c r="V83" i="7" s="1"/>
  <c r="A64" i="7"/>
  <c r="E64" i="7" s="1"/>
  <c r="V64" i="7" s="1"/>
  <c r="A47" i="7"/>
  <c r="E47" i="7" s="1"/>
  <c r="V47" i="7" s="1"/>
  <c r="A40" i="7"/>
  <c r="E40" i="7" s="1"/>
  <c r="V40" i="7" s="1"/>
  <c r="A71" i="7"/>
  <c r="E71" i="7" s="1"/>
  <c r="V71" i="7" s="1"/>
  <c r="A21" i="7"/>
  <c r="E21" i="7" s="1"/>
  <c r="V21" i="7" s="1"/>
  <c r="A53" i="7"/>
  <c r="E53" i="7" s="1"/>
  <c r="V53" i="7" s="1"/>
  <c r="A43" i="7"/>
  <c r="E43" i="7" s="1"/>
  <c r="V43" i="7" s="1"/>
  <c r="A15" i="7"/>
  <c r="E15" i="7" s="1"/>
  <c r="V15" i="7" s="1"/>
  <c r="A8" i="7"/>
  <c r="E8" i="7" s="1"/>
  <c r="V8" i="7" s="1"/>
  <c r="A39" i="7"/>
  <c r="E39" i="7" s="1"/>
  <c r="V39" i="7" s="1"/>
  <c r="A66" i="7"/>
  <c r="E66" i="7" s="1"/>
  <c r="V66" i="7" s="1"/>
  <c r="A85" i="7"/>
  <c r="E85" i="7" s="1"/>
  <c r="V85" i="7" s="1"/>
  <c r="A6" i="7"/>
  <c r="E6" i="7" s="1"/>
  <c r="V6" i="7" s="1"/>
  <c r="A99" i="7"/>
  <c r="E99" i="7" s="1"/>
  <c r="V99" i="7" s="1"/>
  <c r="A82" i="7"/>
  <c r="E82" i="7" s="1"/>
  <c r="V82" i="7" s="1"/>
  <c r="A10" i="7"/>
  <c r="E10" i="7" s="1"/>
  <c r="V10" i="7" s="1"/>
  <c r="A29" i="7"/>
  <c r="E29" i="7" s="1"/>
  <c r="V29" i="7" s="1"/>
  <c r="A61" i="7"/>
  <c r="E61" i="7" s="1"/>
  <c r="V61" i="7" s="1"/>
  <c r="A69" i="7"/>
  <c r="E69" i="7" s="1"/>
  <c r="V69" i="7" s="1"/>
  <c r="A20" i="7"/>
  <c r="E20" i="7" s="1"/>
  <c r="V20" i="7" s="1"/>
  <c r="A41" i="7"/>
  <c r="E41" i="7" s="1"/>
  <c r="V41" i="7" s="1"/>
  <c r="A28" i="7"/>
  <c r="E28" i="7" s="1"/>
  <c r="V28" i="7" s="1"/>
  <c r="A30" i="7"/>
  <c r="E30" i="7" s="1"/>
  <c r="V30" i="7" s="1"/>
  <c r="A98" i="7"/>
  <c r="E98" i="7" s="1"/>
  <c r="V98" i="7" s="1"/>
  <c r="A60" i="7"/>
  <c r="E60" i="7" s="1"/>
  <c r="V60" i="7" s="1"/>
  <c r="A24" i="7"/>
  <c r="E24" i="7" s="1"/>
  <c r="V24" i="7" s="1"/>
  <c r="A19" i="7"/>
  <c r="E19" i="7" s="1"/>
  <c r="V19" i="7" s="1"/>
  <c r="A76" i="7"/>
  <c r="E76" i="7" s="1"/>
  <c r="V76" i="7" s="1"/>
  <c r="A18" i="7"/>
  <c r="E18" i="7" s="1"/>
  <c r="V18" i="7" s="1"/>
  <c r="A2" i="7"/>
  <c r="E2" i="7" s="1"/>
  <c r="V2" i="7" s="1"/>
  <c r="A102" i="7"/>
  <c r="E102" i="7" s="1"/>
  <c r="V102" i="7" s="1"/>
  <c r="A104" i="7"/>
  <c r="E104" i="7" s="1"/>
  <c r="V104" i="7" s="1"/>
  <c r="A95" i="7"/>
  <c r="E95" i="7" s="1"/>
  <c r="V95" i="7" s="1"/>
  <c r="A51" i="7"/>
  <c r="E51" i="7" s="1"/>
  <c r="V51" i="7" s="1"/>
  <c r="A37" i="7"/>
  <c r="E37" i="7" s="1"/>
  <c r="V37" i="7" s="1"/>
  <c r="A93" i="7"/>
  <c r="E93" i="7" s="1"/>
  <c r="V93" i="7" s="1"/>
  <c r="A103" i="7"/>
  <c r="E103" i="7" s="1"/>
  <c r="V103" i="7" s="1"/>
  <c r="A50" i="7"/>
  <c r="E50" i="7" s="1"/>
  <c r="V50" i="7" s="1"/>
  <c r="A63" i="7"/>
  <c r="E63" i="7" s="1"/>
  <c r="V63" i="7" s="1"/>
  <c r="A87" i="7"/>
  <c r="E87" i="7" s="1"/>
  <c r="V87" i="7" s="1"/>
  <c r="A96" i="7"/>
  <c r="E96" i="7" s="1"/>
  <c r="V96" i="7" s="1"/>
  <c r="A16" i="7"/>
  <c r="E16" i="7" s="1"/>
  <c r="V16" i="7" s="1"/>
  <c r="A90" i="7"/>
  <c r="E90" i="7" s="1"/>
  <c r="V90" i="7" s="1"/>
  <c r="A78" i="7"/>
  <c r="E78" i="7" s="1"/>
  <c r="V78" i="7" s="1"/>
  <c r="A23" i="7"/>
  <c r="E23" i="7" s="1"/>
  <c r="V23" i="7" s="1"/>
  <c r="A32" i="7"/>
  <c r="E32" i="7" s="1"/>
  <c r="V32" i="7" s="1"/>
  <c r="A49" i="7"/>
  <c r="E49" i="7" s="1"/>
  <c r="V49" i="7" s="1"/>
  <c r="A42" i="7"/>
  <c r="E42" i="7" s="1"/>
  <c r="V42" i="7" s="1"/>
  <c r="A46" i="7"/>
  <c r="E46" i="7" s="1"/>
  <c r="V46" i="7" s="1"/>
  <c r="A77" i="7"/>
  <c r="E77" i="7" s="1"/>
  <c r="V77" i="7" s="1"/>
  <c r="A7" i="7"/>
  <c r="E7" i="7" s="1"/>
  <c r="V7" i="7" s="1"/>
  <c r="A38" i="7"/>
  <c r="E38" i="7" s="1"/>
  <c r="V38" i="7" s="1"/>
  <c r="A65" i="7"/>
  <c r="E65" i="7" s="1"/>
  <c r="V65" i="7" s="1"/>
  <c r="A81" i="7"/>
  <c r="E81" i="7" s="1"/>
  <c r="V81" i="7" s="1"/>
  <c r="A105" i="7"/>
  <c r="E105" i="7" s="1"/>
  <c r="V105" i="7" s="1"/>
  <c r="A75" i="7"/>
  <c r="E75" i="7" s="1"/>
  <c r="V75" i="7" s="1"/>
  <c r="A13" i="7"/>
  <c r="E13" i="7" s="1"/>
  <c r="V13" i="7" s="1"/>
  <c r="A80" i="7"/>
  <c r="E80" i="7" s="1"/>
  <c r="V80" i="7" s="1"/>
  <c r="A22" i="7"/>
  <c r="E22" i="7" s="1"/>
  <c r="V22" i="7" s="1"/>
  <c r="A3" i="7"/>
  <c r="E3" i="7" s="1"/>
  <c r="V3" i="7" s="1"/>
  <c r="A89" i="7"/>
  <c r="E89" i="7" s="1"/>
  <c r="V89" i="7" s="1"/>
  <c r="A59" i="7"/>
  <c r="E59" i="7" s="1"/>
  <c r="V59" i="7" s="1"/>
  <c r="F208" i="3"/>
  <c r="F155" i="3"/>
  <c r="F60" i="3"/>
  <c r="F44" i="3"/>
  <c r="F119" i="3"/>
  <c r="F18" i="3"/>
  <c r="F143" i="3"/>
  <c r="F206" i="3"/>
  <c r="F20" i="3"/>
  <c r="F19" i="3"/>
  <c r="F39" i="3"/>
  <c r="F16" i="3"/>
  <c r="F13" i="3"/>
  <c r="F17" i="3"/>
  <c r="F85" i="3"/>
  <c r="F117" i="3"/>
  <c r="F205" i="3"/>
  <c r="F32" i="3"/>
  <c r="F28" i="3"/>
  <c r="F47" i="3"/>
  <c r="C51" i="3"/>
  <c r="C56" i="3" s="1"/>
  <c r="F139" i="3"/>
  <c r="F15" i="3"/>
  <c r="F174" i="3"/>
  <c r="F51" i="3"/>
  <c r="F46" i="3"/>
  <c r="F31" i="3"/>
  <c r="F61" i="3"/>
  <c r="F11" i="3"/>
  <c r="F27" i="3"/>
  <c r="F23" i="3"/>
  <c r="F38" i="3"/>
  <c r="F45" i="3"/>
  <c r="F30" i="3"/>
  <c r="F10" i="3"/>
  <c r="F190" i="3"/>
  <c r="F210" i="3"/>
  <c r="F122" i="3"/>
  <c r="F21" i="3"/>
  <c r="F86" i="3"/>
  <c r="F29" i="3"/>
  <c r="C211" i="3"/>
  <c r="F9" i="3"/>
  <c r="F37" i="3"/>
  <c r="F42" i="3"/>
  <c r="F35" i="3"/>
  <c r="F209" i="3"/>
  <c r="F36" i="3"/>
  <c r="F185" i="3"/>
  <c r="F41" i="3"/>
  <c r="F211" i="3"/>
  <c r="F151" i="3"/>
  <c r="F131" i="3"/>
  <c r="F33" i="3"/>
  <c r="F100" i="3"/>
  <c r="F43" i="3"/>
  <c r="F34" i="3"/>
  <c r="F12" i="3"/>
  <c r="F14" i="3"/>
  <c r="F111" i="3"/>
  <c r="F105" i="3"/>
  <c r="F40" i="3"/>
  <c r="F22" i="3"/>
  <c r="C206" i="3"/>
  <c r="C208" i="3"/>
  <c r="C47" i="3"/>
  <c r="C48" i="3" s="1"/>
  <c r="C46" i="3"/>
  <c r="C105" i="3"/>
  <c r="C60" i="3"/>
  <c r="C45" i="3"/>
  <c r="C44" i="3"/>
  <c r="C205" i="3"/>
  <c r="C209" i="3"/>
  <c r="C174" i="3"/>
  <c r="C143" i="3"/>
  <c r="C61" i="3"/>
  <c r="C111" i="3"/>
  <c r="C100" i="3"/>
  <c r="C190" i="3"/>
  <c r="C40" i="3"/>
  <c r="C42" i="3"/>
  <c r="C37" i="3"/>
  <c r="C32" i="3"/>
  <c r="C14" i="3"/>
  <c r="C20" i="3"/>
  <c r="C151" i="3"/>
  <c r="C9" i="3"/>
  <c r="C34" i="3"/>
  <c r="C28" i="3"/>
  <c r="C22" i="3"/>
  <c r="C17" i="3"/>
  <c r="C11" i="3"/>
  <c r="C30" i="3"/>
  <c r="C139" i="3"/>
  <c r="C23" i="3"/>
  <c r="C36" i="3"/>
  <c r="C38" i="3"/>
  <c r="C31" i="3"/>
  <c r="C19" i="3"/>
  <c r="C13" i="3"/>
  <c r="C15" i="3"/>
  <c r="C41" i="3"/>
  <c r="C27" i="3"/>
  <c r="C185" i="3"/>
  <c r="C33" i="3"/>
  <c r="C131" i="3"/>
  <c r="C21" i="3"/>
  <c r="C119" i="3"/>
  <c r="C39" i="3"/>
  <c r="C16" i="3"/>
  <c r="C29" i="3"/>
  <c r="C85" i="3"/>
  <c r="C117" i="3"/>
  <c r="C35" i="3"/>
  <c r="C18" i="3"/>
  <c r="C12" i="3"/>
  <c r="A6" i="8" l="1"/>
  <c r="E6" i="8" s="1"/>
  <c r="Z6" i="8" s="1"/>
  <c r="A3" i="8"/>
  <c r="E3" i="8" s="1"/>
  <c r="Z3" i="8" s="1"/>
  <c r="A35" i="8"/>
  <c r="E35" i="8" s="1"/>
  <c r="Z35" i="8" s="1"/>
  <c r="A10" i="8"/>
  <c r="E10" i="8" s="1"/>
  <c r="Z10" i="8" s="1"/>
  <c r="A45" i="8"/>
  <c r="E45" i="8" s="1"/>
  <c r="Z45" i="8" s="1"/>
  <c r="A29" i="8"/>
  <c r="E29" i="8" s="1"/>
  <c r="Z29" i="8" s="1"/>
  <c r="A31" i="8"/>
  <c r="E31" i="8" s="1"/>
  <c r="Z31" i="8" s="1"/>
  <c r="A30" i="8"/>
  <c r="E30" i="8" s="1"/>
  <c r="Z30" i="8" s="1"/>
  <c r="A12" i="8"/>
  <c r="E12" i="8" s="1"/>
  <c r="Z12" i="8" s="1"/>
  <c r="A15" i="8"/>
  <c r="E15" i="8" s="1"/>
  <c r="Z15" i="8" s="1"/>
  <c r="A32" i="8"/>
  <c r="E32" i="8" s="1"/>
  <c r="Z32" i="8" s="1"/>
  <c r="A40" i="8"/>
  <c r="E40" i="8" s="1"/>
  <c r="Z40" i="8" s="1"/>
  <c r="A27" i="8"/>
  <c r="E27" i="8" s="1"/>
  <c r="Z27" i="8" s="1"/>
  <c r="A34" i="8"/>
  <c r="E34" i="8" s="1"/>
  <c r="Z34" i="8" s="1"/>
  <c r="A39" i="8"/>
  <c r="E39" i="8" s="1"/>
  <c r="Z39" i="8" s="1"/>
  <c r="A25" i="8"/>
  <c r="E25" i="8" s="1"/>
  <c r="Z25" i="8" s="1"/>
  <c r="A19" i="8"/>
  <c r="E19" i="8" s="1"/>
  <c r="Z19" i="8" s="1"/>
  <c r="A23" i="8"/>
  <c r="E23" i="8" s="1"/>
  <c r="Z23" i="8" s="1"/>
  <c r="A37" i="8"/>
  <c r="E37" i="8" s="1"/>
  <c r="Z37" i="8" s="1"/>
  <c r="A33" i="8"/>
  <c r="E33" i="8" s="1"/>
  <c r="Z33" i="8" s="1"/>
  <c r="I2" i="7"/>
  <c r="A13" i="8"/>
  <c r="E13" i="8" s="1"/>
  <c r="Z13" i="8" s="1"/>
  <c r="A16" i="8"/>
  <c r="E16" i="8" s="1"/>
  <c r="Z16" i="8" s="1"/>
  <c r="A20" i="8"/>
  <c r="E20" i="8" s="1"/>
  <c r="Z20" i="8" s="1"/>
  <c r="A41" i="8"/>
  <c r="E41" i="8" s="1"/>
  <c r="Z41" i="8" s="1"/>
  <c r="A14" i="8"/>
  <c r="E14" i="8" s="1"/>
  <c r="Z14" i="8" s="1"/>
  <c r="A44" i="8"/>
  <c r="E44" i="8" s="1"/>
  <c r="Z44" i="8" s="1"/>
  <c r="A8" i="8"/>
  <c r="E8" i="8" s="1"/>
  <c r="Z8" i="8" s="1"/>
  <c r="A42" i="8"/>
  <c r="E42" i="8" s="1"/>
  <c r="Z42" i="8" s="1"/>
  <c r="A21" i="8"/>
  <c r="E21" i="8" s="1"/>
  <c r="Z21" i="8" s="1"/>
  <c r="A17" i="8"/>
  <c r="E17" i="8" s="1"/>
  <c r="Z17" i="8" s="1"/>
  <c r="A47" i="8"/>
  <c r="E47" i="8" s="1"/>
  <c r="Z47" i="8" s="1"/>
  <c r="A28" i="8"/>
  <c r="E28" i="8" s="1"/>
  <c r="Z28" i="8" s="1"/>
  <c r="A38" i="8"/>
  <c r="E38" i="8" s="1"/>
  <c r="Z38" i="8" s="1"/>
  <c r="A26" i="8"/>
  <c r="E26" i="8" s="1"/>
  <c r="Z26" i="8" s="1"/>
  <c r="A36" i="8"/>
  <c r="E36" i="8" s="1"/>
  <c r="Z36" i="8" s="1"/>
  <c r="A9" i="8"/>
  <c r="E9" i="8" s="1"/>
  <c r="Z9" i="8" s="1"/>
  <c r="A24" i="8"/>
  <c r="E24" i="8" s="1"/>
  <c r="Z24" i="8" s="1"/>
  <c r="A18" i="8"/>
  <c r="E18" i="8" s="1"/>
  <c r="Z18" i="8" s="1"/>
  <c r="A7" i="8"/>
  <c r="E7" i="8" s="1"/>
  <c r="Z7" i="8" s="1"/>
  <c r="A2" i="8"/>
  <c r="E2" i="8" s="1"/>
  <c r="Z2" i="8" s="1"/>
  <c r="A5" i="8"/>
  <c r="E5" i="8" s="1"/>
  <c r="Z5" i="8" s="1"/>
  <c r="A4" i="8"/>
  <c r="E4" i="8" s="1"/>
  <c r="Z4" i="8" s="1"/>
  <c r="A43" i="8"/>
  <c r="E43" i="8" s="1"/>
  <c r="Z43" i="8" s="1"/>
  <c r="A22" i="8"/>
  <c r="E22" i="8" s="1"/>
  <c r="Z22" i="8" s="1"/>
  <c r="A46" i="8"/>
  <c r="E46" i="8" s="1"/>
  <c r="Z46" i="8" s="1"/>
  <c r="A11" i="8"/>
  <c r="E11" i="8" s="1"/>
  <c r="Z11" i="8" s="1"/>
  <c r="C55" i="3"/>
  <c r="C53" i="3"/>
  <c r="C54" i="3"/>
  <c r="C52" i="3"/>
  <c r="C59" i="3"/>
  <c r="C58" i="3"/>
  <c r="C57" i="3"/>
  <c r="C50" i="3"/>
  <c r="F74" i="3"/>
  <c r="F62" i="3"/>
  <c r="F67" i="3"/>
  <c r="F81" i="3"/>
  <c r="F63" i="3"/>
  <c r="F64" i="3"/>
  <c r="F70" i="3"/>
  <c r="F77" i="3"/>
  <c r="F66" i="3"/>
  <c r="F69" i="3"/>
  <c r="F78" i="3"/>
  <c r="F76" i="3"/>
  <c r="F71" i="3"/>
  <c r="F75" i="3"/>
  <c r="F65" i="3"/>
  <c r="F68" i="3"/>
  <c r="F53" i="3"/>
  <c r="F57" i="3"/>
  <c r="F54" i="3"/>
  <c r="F58" i="3"/>
  <c r="F52" i="3"/>
  <c r="F59" i="3"/>
  <c r="F56" i="3"/>
  <c r="F55" i="3"/>
  <c r="F50" i="3"/>
  <c r="F48" i="3"/>
  <c r="F49" i="3"/>
  <c r="F97" i="3"/>
  <c r="F92" i="3"/>
  <c r="F96" i="3"/>
  <c r="F88" i="3"/>
  <c r="F89" i="3"/>
  <c r="F95" i="3"/>
  <c r="F94" i="3"/>
  <c r="F87" i="3"/>
  <c r="F90" i="3"/>
  <c r="F91" i="3"/>
  <c r="F93" i="3"/>
  <c r="F25" i="3"/>
  <c r="F26" i="3"/>
  <c r="F24" i="3"/>
  <c r="C49" i="3"/>
  <c r="C67" i="3"/>
  <c r="C81" i="3"/>
  <c r="C66" i="3"/>
  <c r="C68" i="3"/>
  <c r="C69" i="3"/>
  <c r="C70" i="3"/>
  <c r="C71" i="3"/>
  <c r="C74" i="3"/>
  <c r="C75" i="3"/>
  <c r="C76" i="3"/>
  <c r="C77" i="3"/>
  <c r="C62" i="3"/>
  <c r="C78" i="3"/>
  <c r="C63" i="3"/>
  <c r="C64" i="3"/>
  <c r="C65" i="3"/>
  <c r="C87" i="3"/>
  <c r="C89" i="3"/>
  <c r="C95" i="3"/>
  <c r="C93" i="3"/>
  <c r="C88" i="3"/>
  <c r="C90" i="3"/>
  <c r="C92" i="3"/>
  <c r="C91" i="3"/>
  <c r="C97" i="3"/>
  <c r="C94" i="3"/>
  <c r="C96" i="3"/>
  <c r="C24" i="3"/>
  <c r="C25" i="3"/>
  <c r="C26" i="3"/>
  <c r="A73" i="9" l="1"/>
  <c r="E73" i="9" s="1"/>
  <c r="U73" i="9" s="1"/>
  <c r="A76" i="9"/>
  <c r="E76" i="9" s="1"/>
  <c r="U76" i="9" s="1"/>
  <c r="A19" i="9"/>
  <c r="E19" i="9" s="1"/>
  <c r="U19" i="9" s="1"/>
  <c r="A41" i="9"/>
  <c r="E41" i="9" s="1"/>
  <c r="U41" i="9" s="1"/>
  <c r="A61" i="9"/>
  <c r="E61" i="9" s="1"/>
  <c r="U61" i="9" s="1"/>
  <c r="A36" i="9"/>
  <c r="E36" i="9" s="1"/>
  <c r="U36" i="9" s="1"/>
  <c r="A68" i="9"/>
  <c r="E68" i="9" s="1"/>
  <c r="U68" i="9" s="1"/>
  <c r="A21" i="9"/>
  <c r="E21" i="9" s="1"/>
  <c r="U21" i="9" s="1"/>
  <c r="A2" i="9"/>
  <c r="E2" i="9" s="1"/>
  <c r="U2" i="9" s="1"/>
  <c r="A15" i="9"/>
  <c r="E15" i="9" s="1"/>
  <c r="U15" i="9" s="1"/>
  <c r="A11" i="9"/>
  <c r="E11" i="9" s="1"/>
  <c r="U11" i="9" s="1"/>
  <c r="A5" i="9"/>
  <c r="E5" i="9" s="1"/>
  <c r="U5" i="9" s="1"/>
  <c r="A48" i="9"/>
  <c r="E48" i="9" s="1"/>
  <c r="U48" i="9" s="1"/>
  <c r="A74" i="9"/>
  <c r="E74" i="9" s="1"/>
  <c r="U74" i="9" s="1"/>
  <c r="A75" i="9"/>
  <c r="E75" i="9" s="1"/>
  <c r="U75" i="9" s="1"/>
  <c r="A66" i="9"/>
  <c r="E66" i="9" s="1"/>
  <c r="U66" i="9" s="1"/>
  <c r="I2" i="8"/>
  <c r="A35" i="9"/>
  <c r="E35" i="9" s="1"/>
  <c r="U35" i="9" s="1"/>
  <c r="A31" i="9"/>
  <c r="E31" i="9" s="1"/>
  <c r="U31" i="9" s="1"/>
  <c r="A28" i="9"/>
  <c r="E28" i="9" s="1"/>
  <c r="U28" i="9" s="1"/>
  <c r="A8" i="9"/>
  <c r="E8" i="9" s="1"/>
  <c r="U8" i="9" s="1"/>
  <c r="A42" i="9"/>
  <c r="E42" i="9" s="1"/>
  <c r="U42" i="9" s="1"/>
  <c r="A70" i="9"/>
  <c r="E70" i="9" s="1"/>
  <c r="U70" i="9" s="1"/>
  <c r="A32" i="9"/>
  <c r="E32" i="9" s="1"/>
  <c r="U32" i="9" s="1"/>
  <c r="A77" i="9"/>
  <c r="E77" i="9" s="1"/>
  <c r="U77" i="9" s="1"/>
  <c r="A26" i="9"/>
  <c r="E26" i="9" s="1"/>
  <c r="U26" i="9" s="1"/>
  <c r="A23" i="9"/>
  <c r="E23" i="9" s="1"/>
  <c r="U23" i="9" s="1"/>
  <c r="A64" i="9"/>
  <c r="E64" i="9" s="1"/>
  <c r="U64" i="9" s="1"/>
  <c r="A62" i="9"/>
  <c r="E62" i="9" s="1"/>
  <c r="U62" i="9" s="1"/>
  <c r="A25" i="9"/>
  <c r="E25" i="9" s="1"/>
  <c r="U25" i="9" s="1"/>
  <c r="A6" i="9"/>
  <c r="E6" i="9" s="1"/>
  <c r="U6" i="9" s="1"/>
  <c r="A65" i="9"/>
  <c r="E65" i="9" s="1"/>
  <c r="U65" i="9" s="1"/>
  <c r="A10" i="9"/>
  <c r="E10" i="9" s="1"/>
  <c r="U10" i="9" s="1"/>
  <c r="A43" i="9"/>
  <c r="E43" i="9" s="1"/>
  <c r="U43" i="9" s="1"/>
  <c r="A29" i="9"/>
  <c r="E29" i="9" s="1"/>
  <c r="U29" i="9" s="1"/>
  <c r="A51" i="9"/>
  <c r="E51" i="9" s="1"/>
  <c r="U51" i="9" s="1"/>
  <c r="A50" i="9"/>
  <c r="E50" i="9" s="1"/>
  <c r="U50" i="9" s="1"/>
  <c r="A58" i="9"/>
  <c r="E58" i="9" s="1"/>
  <c r="U58" i="9" s="1"/>
  <c r="A20" i="9"/>
  <c r="E20" i="9" s="1"/>
  <c r="U20" i="9" s="1"/>
  <c r="A16" i="9"/>
  <c r="E16" i="9" s="1"/>
  <c r="U16" i="9" s="1"/>
  <c r="A52" i="9"/>
  <c r="E52" i="9" s="1"/>
  <c r="U52" i="9" s="1"/>
  <c r="A57" i="9"/>
  <c r="E57" i="9" s="1"/>
  <c r="U57" i="9" s="1"/>
  <c r="A49" i="9"/>
  <c r="E49" i="9" s="1"/>
  <c r="U49" i="9" s="1"/>
  <c r="A46" i="9"/>
  <c r="E46" i="9" s="1"/>
  <c r="U46" i="9" s="1"/>
  <c r="A71" i="9"/>
  <c r="E71" i="9" s="1"/>
  <c r="U71" i="9" s="1"/>
  <c r="A13" i="9"/>
  <c r="E13" i="9" s="1"/>
  <c r="U13" i="9" s="1"/>
  <c r="A39" i="9"/>
  <c r="E39" i="9" s="1"/>
  <c r="U39" i="9" s="1"/>
  <c r="A69" i="9"/>
  <c r="E69" i="9" s="1"/>
  <c r="U69" i="9" s="1"/>
  <c r="A17" i="9"/>
  <c r="E17" i="9" s="1"/>
  <c r="U17" i="9" s="1"/>
  <c r="A30" i="9"/>
  <c r="E30" i="9" s="1"/>
  <c r="U30" i="9" s="1"/>
  <c r="A59" i="9"/>
  <c r="E59" i="9" s="1"/>
  <c r="U59" i="9" s="1"/>
  <c r="A37" i="9"/>
  <c r="E37" i="9" s="1"/>
  <c r="U37" i="9" s="1"/>
  <c r="A47" i="9"/>
  <c r="E47" i="9" s="1"/>
  <c r="U47" i="9" s="1"/>
  <c r="A82" i="9"/>
  <c r="E82" i="9" s="1"/>
  <c r="U82" i="9" s="1"/>
  <c r="A44" i="9"/>
  <c r="E44" i="9" s="1"/>
  <c r="U44" i="9" s="1"/>
  <c r="A14" i="9"/>
  <c r="E14" i="9" s="1"/>
  <c r="U14" i="9" s="1"/>
  <c r="A3" i="9"/>
  <c r="E3" i="9" s="1"/>
  <c r="U3" i="9" s="1"/>
  <c r="A63" i="9"/>
  <c r="E63" i="9" s="1"/>
  <c r="U63" i="9" s="1"/>
  <c r="A9" i="9"/>
  <c r="E9" i="9" s="1"/>
  <c r="U9" i="9" s="1"/>
  <c r="A4" i="9"/>
  <c r="E4" i="9" s="1"/>
  <c r="U4" i="9" s="1"/>
  <c r="A67" i="9"/>
  <c r="E67" i="9" s="1"/>
  <c r="U67" i="9" s="1"/>
  <c r="A7" i="9"/>
  <c r="E7" i="9" s="1"/>
  <c r="U7" i="9" s="1"/>
  <c r="A81" i="9"/>
  <c r="E81" i="9" s="1"/>
  <c r="U81" i="9" s="1"/>
  <c r="A55" i="9"/>
  <c r="E55" i="9" s="1"/>
  <c r="U55" i="9" s="1"/>
  <c r="A79" i="9"/>
  <c r="E79" i="9" s="1"/>
  <c r="U79" i="9" s="1"/>
  <c r="A54" i="9"/>
  <c r="E54" i="9" s="1"/>
  <c r="U54" i="9" s="1"/>
  <c r="A80" i="9"/>
  <c r="E80" i="9" s="1"/>
  <c r="U80" i="9" s="1"/>
  <c r="A72" i="9"/>
  <c r="E72" i="9" s="1"/>
  <c r="U72" i="9" s="1"/>
  <c r="A60" i="9"/>
  <c r="E60" i="9" s="1"/>
  <c r="U60" i="9" s="1"/>
  <c r="A45" i="9"/>
  <c r="E45" i="9" s="1"/>
  <c r="U45" i="9" s="1"/>
  <c r="A12" i="9"/>
  <c r="E12" i="9" s="1"/>
  <c r="U12" i="9" s="1"/>
  <c r="A33" i="9"/>
  <c r="E33" i="9" s="1"/>
  <c r="U33" i="9" s="1"/>
  <c r="A56" i="9"/>
  <c r="E56" i="9" s="1"/>
  <c r="U56" i="9" s="1"/>
  <c r="A40" i="9"/>
  <c r="E40" i="9" s="1"/>
  <c r="U40" i="9" s="1"/>
  <c r="A27" i="9"/>
  <c r="E27" i="9" s="1"/>
  <c r="U27" i="9" s="1"/>
  <c r="A34" i="9"/>
  <c r="E34" i="9" s="1"/>
  <c r="U34" i="9" s="1"/>
  <c r="A38" i="9"/>
  <c r="E38" i="9" s="1"/>
  <c r="U38" i="9" s="1"/>
  <c r="A18" i="9"/>
  <c r="E18" i="9" s="1"/>
  <c r="U18" i="9" s="1"/>
  <c r="A24" i="9"/>
  <c r="E24" i="9" s="1"/>
  <c r="U24" i="9" s="1"/>
  <c r="A53" i="9"/>
  <c r="E53" i="9" s="1"/>
  <c r="U53" i="9" s="1"/>
  <c r="A22" i="9"/>
  <c r="E22" i="9" s="1"/>
  <c r="U22" i="9" s="1"/>
  <c r="A78" i="9"/>
  <c r="E78" i="9" s="1"/>
  <c r="U78" i="9" s="1"/>
  <c r="F79" i="3"/>
  <c r="F80" i="3"/>
  <c r="F83" i="3"/>
  <c r="F82" i="3"/>
  <c r="F73" i="3"/>
  <c r="F72" i="3"/>
  <c r="C83" i="3"/>
  <c r="C82" i="3"/>
  <c r="C79" i="3"/>
  <c r="C80" i="3"/>
  <c r="C73" i="3"/>
  <c r="C72" i="3"/>
  <c r="A90" i="10" l="1"/>
  <c r="E90" i="10" s="1"/>
  <c r="AC90" i="10" s="1"/>
  <c r="A75" i="10"/>
  <c r="E75" i="10" s="1"/>
  <c r="AC75" i="10" s="1"/>
  <c r="A84" i="10"/>
  <c r="E84" i="10" s="1"/>
  <c r="AC84" i="10" s="1"/>
  <c r="A18" i="10"/>
  <c r="E18" i="10" s="1"/>
  <c r="AC18" i="10" s="1"/>
  <c r="I2" i="9"/>
  <c r="A14" i="10"/>
  <c r="E14" i="10" s="1"/>
  <c r="AC14" i="10" s="1"/>
  <c r="A48" i="10"/>
  <c r="E48" i="10" s="1"/>
  <c r="AC48" i="10" s="1"/>
  <c r="A41" i="10"/>
  <c r="E41" i="10" s="1"/>
  <c r="AC41" i="10" s="1"/>
  <c r="A17" i="10"/>
  <c r="E17" i="10" s="1"/>
  <c r="AC17" i="10" s="1"/>
  <c r="A42" i="10"/>
  <c r="E42" i="10" s="1"/>
  <c r="AC42" i="10" s="1"/>
  <c r="A38" i="10"/>
  <c r="E38" i="10" s="1"/>
  <c r="AC38" i="10" s="1"/>
  <c r="A101" i="10"/>
  <c r="E101" i="10" s="1"/>
  <c r="AC101" i="10" s="1"/>
  <c r="A98" i="10"/>
  <c r="E98" i="10" s="1"/>
  <c r="AC98" i="10" s="1"/>
  <c r="A29" i="10"/>
  <c r="E29" i="10" s="1"/>
  <c r="AC29" i="10" s="1"/>
  <c r="A9" i="10"/>
  <c r="E9" i="10" s="1"/>
  <c r="AC9" i="10" s="1"/>
  <c r="A7" i="10"/>
  <c r="E7" i="10" s="1"/>
  <c r="AC7" i="10" s="1"/>
  <c r="A24" i="10"/>
  <c r="E24" i="10" s="1"/>
  <c r="AC24" i="10" s="1"/>
  <c r="A93" i="10"/>
  <c r="E93" i="10" s="1"/>
  <c r="AC93" i="10" s="1"/>
  <c r="A25" i="10"/>
  <c r="E25" i="10" s="1"/>
  <c r="AC25" i="10" s="1"/>
  <c r="A4" i="10"/>
  <c r="E4" i="10" s="1"/>
  <c r="AC4" i="10" s="1"/>
  <c r="A79" i="10"/>
  <c r="E79" i="10" s="1"/>
  <c r="AC79" i="10" s="1"/>
  <c r="A78" i="10"/>
  <c r="E78" i="10" s="1"/>
  <c r="AC78" i="10" s="1"/>
  <c r="A16" i="10"/>
  <c r="E16" i="10" s="1"/>
  <c r="AC16" i="10" s="1"/>
  <c r="A68" i="10"/>
  <c r="E68" i="10" s="1"/>
  <c r="AC68" i="10" s="1"/>
  <c r="A80" i="10"/>
  <c r="E80" i="10" s="1"/>
  <c r="AC80" i="10" s="1"/>
  <c r="A60" i="10"/>
  <c r="E60" i="10" s="1"/>
  <c r="AC60" i="10" s="1"/>
  <c r="A45" i="10"/>
  <c r="E45" i="10" s="1"/>
  <c r="AC45" i="10" s="1"/>
  <c r="A66" i="10"/>
  <c r="E66" i="10" s="1"/>
  <c r="AC66" i="10" s="1"/>
  <c r="A87" i="10"/>
  <c r="E87" i="10" s="1"/>
  <c r="AC87" i="10" s="1"/>
  <c r="A13" i="10"/>
  <c r="E13" i="10" s="1"/>
  <c r="AC13" i="10" s="1"/>
  <c r="A86" i="10"/>
  <c r="E86" i="10" s="1"/>
  <c r="AC86" i="10" s="1"/>
  <c r="A54" i="10"/>
  <c r="E54" i="10" s="1"/>
  <c r="AC54" i="10" s="1"/>
  <c r="A67" i="10"/>
  <c r="E67" i="10" s="1"/>
  <c r="AC67" i="10" s="1"/>
  <c r="A95" i="10"/>
  <c r="E95" i="10" s="1"/>
  <c r="AC95" i="10" s="1"/>
  <c r="A26" i="10"/>
  <c r="E26" i="10" s="1"/>
  <c r="AC26" i="10" s="1"/>
  <c r="A58" i="10"/>
  <c r="E58" i="10" s="1"/>
  <c r="AC58" i="10" s="1"/>
  <c r="A47" i="10"/>
  <c r="E47" i="10" s="1"/>
  <c r="AC47" i="10" s="1"/>
  <c r="A85" i="10"/>
  <c r="E85" i="10" s="1"/>
  <c r="AC85" i="10" s="1"/>
  <c r="A32" i="10"/>
  <c r="E32" i="10" s="1"/>
  <c r="AC32" i="10" s="1"/>
  <c r="A56" i="10"/>
  <c r="E56" i="10" s="1"/>
  <c r="AC56" i="10" s="1"/>
  <c r="A37" i="10"/>
  <c r="E37" i="10" s="1"/>
  <c r="AC37" i="10" s="1"/>
  <c r="A12" i="10"/>
  <c r="E12" i="10" s="1"/>
  <c r="AC12" i="10" s="1"/>
  <c r="A23" i="10"/>
  <c r="E23" i="10" s="1"/>
  <c r="AC23" i="10" s="1"/>
  <c r="A76" i="10"/>
  <c r="E76" i="10" s="1"/>
  <c r="AC76" i="10" s="1"/>
  <c r="A8" i="10"/>
  <c r="E8" i="10" s="1"/>
  <c r="AC8" i="10" s="1"/>
  <c r="A73" i="10"/>
  <c r="E73" i="10" s="1"/>
  <c r="AC73" i="10" s="1"/>
  <c r="A74" i="10"/>
  <c r="E74" i="10" s="1"/>
  <c r="AC74" i="10" s="1"/>
  <c r="A71" i="10"/>
  <c r="E71" i="10" s="1"/>
  <c r="AC71" i="10" s="1"/>
  <c r="A83" i="10"/>
  <c r="E83" i="10" s="1"/>
  <c r="AC83" i="10" s="1"/>
  <c r="A70" i="10"/>
  <c r="E70" i="10" s="1"/>
  <c r="AC70" i="10" s="1"/>
  <c r="A43" i="10"/>
  <c r="E43" i="10" s="1"/>
  <c r="AC43" i="10" s="1"/>
  <c r="A62" i="10"/>
  <c r="E62" i="10" s="1"/>
  <c r="AC62" i="10" s="1"/>
  <c r="A81" i="10"/>
  <c r="E81" i="10" s="1"/>
  <c r="AC81" i="10" s="1"/>
  <c r="A35" i="10"/>
  <c r="E35" i="10" s="1"/>
  <c r="AC35" i="10" s="1"/>
  <c r="A89" i="10"/>
  <c r="E89" i="10" s="1"/>
  <c r="AC89" i="10" s="1"/>
  <c r="A77" i="10"/>
  <c r="E77" i="10" s="1"/>
  <c r="AC77" i="10" s="1"/>
  <c r="A94" i="10"/>
  <c r="E94" i="10" s="1"/>
  <c r="AC94" i="10" s="1"/>
  <c r="A63" i="10"/>
  <c r="E63" i="10" s="1"/>
  <c r="AC63" i="10" s="1"/>
  <c r="A57" i="10"/>
  <c r="E57" i="10" s="1"/>
  <c r="AC57" i="10" s="1"/>
  <c r="A96" i="10"/>
  <c r="E96" i="10" s="1"/>
  <c r="AC96" i="10" s="1"/>
  <c r="A3" i="10"/>
  <c r="E3" i="10" s="1"/>
  <c r="AC3" i="10" s="1"/>
  <c r="A53" i="10"/>
  <c r="E53" i="10" s="1"/>
  <c r="AC53" i="10" s="1"/>
  <c r="A30" i="10"/>
  <c r="E30" i="10" s="1"/>
  <c r="AC30" i="10" s="1"/>
  <c r="A19" i="10"/>
  <c r="E19" i="10" s="1"/>
  <c r="AC19" i="10" s="1"/>
  <c r="A99" i="10"/>
  <c r="E99" i="10" s="1"/>
  <c r="AC99" i="10" s="1"/>
  <c r="A21" i="10"/>
  <c r="E21" i="10" s="1"/>
  <c r="AC21" i="10" s="1"/>
  <c r="A88" i="10"/>
  <c r="E88" i="10" s="1"/>
  <c r="AC88" i="10" s="1"/>
  <c r="A91" i="10"/>
  <c r="E91" i="10" s="1"/>
  <c r="AC91" i="10" s="1"/>
  <c r="A64" i="10"/>
  <c r="E64" i="10" s="1"/>
  <c r="AC64" i="10" s="1"/>
  <c r="A33" i="10"/>
  <c r="E33" i="10" s="1"/>
  <c r="AC33" i="10" s="1"/>
  <c r="A69" i="10"/>
  <c r="E69" i="10" s="1"/>
  <c r="AC69" i="10" s="1"/>
  <c r="A40" i="10"/>
  <c r="E40" i="10" s="1"/>
  <c r="AC40" i="10" s="1"/>
  <c r="A50" i="10"/>
  <c r="E50" i="10" s="1"/>
  <c r="AC50" i="10" s="1"/>
  <c r="A39" i="10"/>
  <c r="E39" i="10" s="1"/>
  <c r="AC39" i="10" s="1"/>
  <c r="A5" i="10"/>
  <c r="E5" i="10" s="1"/>
  <c r="AC5" i="10" s="1"/>
  <c r="A102" i="10"/>
  <c r="E102" i="10" s="1"/>
  <c r="AC102" i="10" s="1"/>
  <c r="A28" i="10"/>
  <c r="E28" i="10" s="1"/>
  <c r="AC28" i="10" s="1"/>
  <c r="A100" i="10"/>
  <c r="E100" i="10" s="1"/>
  <c r="AC100" i="10" s="1"/>
  <c r="A55" i="10"/>
  <c r="E55" i="10" s="1"/>
  <c r="AC55" i="10" s="1"/>
  <c r="A15" i="10"/>
  <c r="E15" i="10" s="1"/>
  <c r="AC15" i="10" s="1"/>
  <c r="A36" i="10"/>
  <c r="E36" i="10" s="1"/>
  <c r="AC36" i="10" s="1"/>
  <c r="A27" i="10"/>
  <c r="E27" i="10" s="1"/>
  <c r="AC27" i="10" s="1"/>
  <c r="A65" i="10"/>
  <c r="E65" i="10" s="1"/>
  <c r="AC65" i="10" s="1"/>
  <c r="A49" i="10"/>
  <c r="E49" i="10" s="1"/>
  <c r="AC49" i="10" s="1"/>
  <c r="A59" i="10"/>
  <c r="E59" i="10" s="1"/>
  <c r="AC59" i="10" s="1"/>
  <c r="A20" i="10"/>
  <c r="E20" i="10" s="1"/>
  <c r="AC20" i="10" s="1"/>
  <c r="A22" i="10"/>
  <c r="E22" i="10" s="1"/>
  <c r="AC22" i="10" s="1"/>
  <c r="A82" i="10"/>
  <c r="E82" i="10" s="1"/>
  <c r="AC82" i="10" s="1"/>
  <c r="A103" i="10"/>
  <c r="E103" i="10" s="1"/>
  <c r="AC103" i="10" s="1"/>
  <c r="A44" i="10"/>
  <c r="E44" i="10" s="1"/>
  <c r="AC44" i="10" s="1"/>
  <c r="A51" i="10"/>
  <c r="E51" i="10" s="1"/>
  <c r="AC51" i="10" s="1"/>
  <c r="A31" i="10"/>
  <c r="E31" i="10" s="1"/>
  <c r="AC31" i="10" s="1"/>
  <c r="A92" i="10"/>
  <c r="E92" i="10" s="1"/>
  <c r="AC92" i="10" s="1"/>
  <c r="A11" i="10"/>
  <c r="E11" i="10" s="1"/>
  <c r="AC11" i="10" s="1"/>
  <c r="A52" i="10"/>
  <c r="E52" i="10" s="1"/>
  <c r="AC52" i="10" s="1"/>
  <c r="A34" i="10"/>
  <c r="E34" i="10" s="1"/>
  <c r="AC34" i="10" s="1"/>
  <c r="A10" i="10"/>
  <c r="E10" i="10" s="1"/>
  <c r="AC10" i="10" s="1"/>
  <c r="A46" i="10"/>
  <c r="E46" i="10" s="1"/>
  <c r="AC46" i="10" s="1"/>
  <c r="A6" i="10"/>
  <c r="E6" i="10" s="1"/>
  <c r="AC6" i="10" s="1"/>
  <c r="A2" i="10"/>
  <c r="E2" i="10" s="1"/>
  <c r="AC2" i="10" s="1"/>
  <c r="A61" i="10"/>
  <c r="E61" i="10" s="1"/>
  <c r="AC61" i="10" s="1"/>
  <c r="A97" i="10"/>
  <c r="E97" i="10" s="1"/>
  <c r="AC97" i="10" s="1"/>
  <c r="A72" i="10"/>
  <c r="E72" i="10" s="1"/>
  <c r="AC72" i="10" s="1"/>
  <c r="I2" i="3"/>
  <c r="I3" i="3"/>
  <c r="I4" i="3"/>
  <c r="I5" i="3"/>
  <c r="I6" i="3"/>
  <c r="I7" i="3"/>
  <c r="I8" i="3"/>
  <c r="A38" i="11" l="1"/>
  <c r="E38" i="11" s="1"/>
  <c r="AI38" i="11" s="1"/>
  <c r="A74" i="11"/>
  <c r="E74" i="11" s="1"/>
  <c r="AI74" i="11" s="1"/>
  <c r="A82" i="11"/>
  <c r="E82" i="11" s="1"/>
  <c r="AI82" i="11" s="1"/>
  <c r="A91" i="11"/>
  <c r="E91" i="11" s="1"/>
  <c r="AI91" i="11" s="1"/>
  <c r="A131" i="11"/>
  <c r="E131" i="11" s="1"/>
  <c r="AI131" i="11" s="1"/>
  <c r="A69" i="11"/>
  <c r="E69" i="11" s="1"/>
  <c r="AI69" i="11" s="1"/>
  <c r="A157" i="11"/>
  <c r="E157" i="11" s="1"/>
  <c r="AI157" i="11" s="1"/>
  <c r="A161" i="11"/>
  <c r="E161" i="11" s="1"/>
  <c r="AI161" i="11" s="1"/>
  <c r="A138" i="11"/>
  <c r="E138" i="11" s="1"/>
  <c r="AI138" i="11" s="1"/>
  <c r="A54" i="11"/>
  <c r="E54" i="11" s="1"/>
  <c r="AI54" i="11" s="1"/>
  <c r="A127" i="11"/>
  <c r="E127" i="11" s="1"/>
  <c r="AI127" i="11" s="1"/>
  <c r="A10" i="11"/>
  <c r="E10" i="11" s="1"/>
  <c r="AI10" i="11" s="1"/>
  <c r="A75" i="11"/>
  <c r="E75" i="11" s="1"/>
  <c r="AI75" i="11" s="1"/>
  <c r="A133" i="11"/>
  <c r="E133" i="11" s="1"/>
  <c r="AI133" i="11" s="1"/>
  <c r="A120" i="11"/>
  <c r="E120" i="11" s="1"/>
  <c r="AI120" i="11" s="1"/>
  <c r="A41" i="11"/>
  <c r="E41" i="11" s="1"/>
  <c r="AI41" i="11" s="1"/>
  <c r="A136" i="11"/>
  <c r="E136" i="11" s="1"/>
  <c r="AI136" i="11" s="1"/>
  <c r="A174" i="11"/>
  <c r="E174" i="11" s="1"/>
  <c r="AI174" i="11" s="1"/>
  <c r="A113" i="11"/>
  <c r="E113" i="11" s="1"/>
  <c r="AI113" i="11" s="1"/>
  <c r="A143" i="11"/>
  <c r="E143" i="11" s="1"/>
  <c r="AI143" i="11" s="1"/>
  <c r="A45" i="11"/>
  <c r="E45" i="11" s="1"/>
  <c r="AI45" i="11" s="1"/>
  <c r="A89" i="11"/>
  <c r="E89" i="11" s="1"/>
  <c r="AI89" i="11" s="1"/>
  <c r="A80" i="11"/>
  <c r="E80" i="11" s="1"/>
  <c r="AI80" i="11" s="1"/>
  <c r="A86" i="11"/>
  <c r="E86" i="11" s="1"/>
  <c r="AI86" i="11" s="1"/>
  <c r="A55" i="11"/>
  <c r="E55" i="11" s="1"/>
  <c r="AI55" i="11" s="1"/>
  <c r="A2" i="11"/>
  <c r="A6" i="11"/>
  <c r="E6" i="11" s="1"/>
  <c r="AI6" i="11" s="1"/>
  <c r="A63" i="11"/>
  <c r="E63" i="11" s="1"/>
  <c r="AI63" i="11" s="1"/>
  <c r="A118" i="11"/>
  <c r="E118" i="11" s="1"/>
  <c r="AI118" i="11" s="1"/>
  <c r="A156" i="11"/>
  <c r="E156" i="11" s="1"/>
  <c r="AI156" i="11" s="1"/>
  <c r="A26" i="11"/>
  <c r="E26" i="11" s="1"/>
  <c r="AI26" i="11" s="1"/>
  <c r="A46" i="11"/>
  <c r="E46" i="11" s="1"/>
  <c r="AI46" i="11" s="1"/>
  <c r="A154" i="11"/>
  <c r="E154" i="11" s="1"/>
  <c r="AI154" i="11" s="1"/>
  <c r="A62" i="11"/>
  <c r="E62" i="11" s="1"/>
  <c r="AI62" i="11" s="1"/>
  <c r="A19" i="11"/>
  <c r="E19" i="11" s="1"/>
  <c r="AI19" i="11" s="1"/>
  <c r="A4" i="11"/>
  <c r="E4" i="11" s="1"/>
  <c r="AI4" i="11" s="1"/>
  <c r="A7" i="11"/>
  <c r="E7" i="11" s="1"/>
  <c r="AI7" i="11" s="1"/>
  <c r="A165" i="11"/>
  <c r="E165" i="11" s="1"/>
  <c r="AI165" i="11" s="1"/>
  <c r="A147" i="11"/>
  <c r="E147" i="11" s="1"/>
  <c r="AI147" i="11" s="1"/>
  <c r="A145" i="11"/>
  <c r="E145" i="11" s="1"/>
  <c r="AI145" i="11" s="1"/>
  <c r="A20" i="11"/>
  <c r="E20" i="11" s="1"/>
  <c r="AI20" i="11" s="1"/>
  <c r="A11" i="11"/>
  <c r="E11" i="11" s="1"/>
  <c r="AI11" i="11" s="1"/>
  <c r="A115" i="11"/>
  <c r="E115" i="11" s="1"/>
  <c r="AI115" i="11" s="1"/>
  <c r="A96" i="11"/>
  <c r="E96" i="11" s="1"/>
  <c r="AI96" i="11" s="1"/>
  <c r="A139" i="11"/>
  <c r="E139" i="11" s="1"/>
  <c r="AI139" i="11" s="1"/>
  <c r="A40" i="11"/>
  <c r="E40" i="11" s="1"/>
  <c r="AI40" i="11" s="1"/>
  <c r="A100" i="11"/>
  <c r="E100" i="11" s="1"/>
  <c r="AI100" i="11" s="1"/>
  <c r="A104" i="11"/>
  <c r="E104" i="11" s="1"/>
  <c r="AI104" i="11" s="1"/>
  <c r="A159" i="11"/>
  <c r="E159" i="11" s="1"/>
  <c r="AI159" i="11" s="1"/>
  <c r="A78" i="11"/>
  <c r="E78" i="11" s="1"/>
  <c r="AI78" i="11" s="1"/>
  <c r="A9" i="11"/>
  <c r="E9" i="11" s="1"/>
  <c r="AI9" i="11" s="1"/>
  <c r="A43" i="11"/>
  <c r="E43" i="11" s="1"/>
  <c r="AI43" i="11" s="1"/>
  <c r="A48" i="11"/>
  <c r="E48" i="11" s="1"/>
  <c r="AI48" i="11" s="1"/>
  <c r="A34" i="11"/>
  <c r="E34" i="11" s="1"/>
  <c r="AI34" i="11" s="1"/>
  <c r="A56" i="11"/>
  <c r="E56" i="11" s="1"/>
  <c r="AI56" i="11" s="1"/>
  <c r="I2" i="10"/>
  <c r="A168" i="11"/>
  <c r="E168" i="11" s="1"/>
  <c r="AI168" i="11" s="1"/>
  <c r="A76" i="11"/>
  <c r="E76" i="11" s="1"/>
  <c r="AI76" i="11" s="1"/>
  <c r="A95" i="11"/>
  <c r="E95" i="11" s="1"/>
  <c r="AI95" i="11" s="1"/>
  <c r="A39" i="11"/>
  <c r="E39" i="11" s="1"/>
  <c r="AI39" i="11" s="1"/>
  <c r="A151" i="11"/>
  <c r="E151" i="11" s="1"/>
  <c r="AI151" i="11" s="1"/>
  <c r="A87" i="11"/>
  <c r="E87" i="11" s="1"/>
  <c r="AI87" i="11" s="1"/>
  <c r="A141" i="11"/>
  <c r="E141" i="11" s="1"/>
  <c r="AI141" i="11" s="1"/>
  <c r="A126" i="11"/>
  <c r="E126" i="11" s="1"/>
  <c r="AI126" i="11" s="1"/>
  <c r="A102" i="11"/>
  <c r="E102" i="11" s="1"/>
  <c r="AI102" i="11" s="1"/>
  <c r="A125" i="11"/>
  <c r="E125" i="11" s="1"/>
  <c r="AI125" i="11" s="1"/>
  <c r="A60" i="11"/>
  <c r="E60" i="11" s="1"/>
  <c r="AI60" i="11" s="1"/>
  <c r="A18" i="11"/>
  <c r="E18" i="11" s="1"/>
  <c r="AI18" i="11" s="1"/>
  <c r="A70" i="11"/>
  <c r="E70" i="11" s="1"/>
  <c r="AI70" i="11" s="1"/>
  <c r="A99" i="11"/>
  <c r="E99" i="11" s="1"/>
  <c r="AI99" i="11" s="1"/>
  <c r="A5" i="11"/>
  <c r="E5" i="11" s="1"/>
  <c r="AI5" i="11" s="1"/>
  <c r="A172" i="11"/>
  <c r="E172" i="11" s="1"/>
  <c r="AI172" i="11" s="1"/>
  <c r="A149" i="11"/>
  <c r="E149" i="11" s="1"/>
  <c r="AI149" i="11" s="1"/>
  <c r="A30" i="11"/>
  <c r="E30" i="11" s="1"/>
  <c r="AI30" i="11" s="1"/>
  <c r="A8" i="11"/>
  <c r="E8" i="11" s="1"/>
  <c r="AI8" i="11" s="1"/>
  <c r="A29" i="11"/>
  <c r="E29" i="11" s="1"/>
  <c r="AI29" i="11" s="1"/>
  <c r="A153" i="11"/>
  <c r="E153" i="11" s="1"/>
  <c r="AI153" i="11" s="1"/>
  <c r="A84" i="11"/>
  <c r="E84" i="11" s="1"/>
  <c r="AI84" i="11" s="1"/>
  <c r="A114" i="11"/>
  <c r="E114" i="11" s="1"/>
  <c r="AI114" i="11" s="1"/>
  <c r="A23" i="11"/>
  <c r="E23" i="11" s="1"/>
  <c r="AI23" i="11" s="1"/>
  <c r="A67" i="11"/>
  <c r="E67" i="11" s="1"/>
  <c r="AI67" i="11" s="1"/>
  <c r="A52" i="11"/>
  <c r="E52" i="11" s="1"/>
  <c r="AI52" i="11" s="1"/>
  <c r="A111" i="11"/>
  <c r="E111" i="11" s="1"/>
  <c r="AI111" i="11" s="1"/>
  <c r="A176" i="11"/>
  <c r="E176" i="11" s="1"/>
  <c r="AI176" i="11" s="1"/>
  <c r="A49" i="11"/>
  <c r="E49" i="11" s="1"/>
  <c r="AI49" i="11" s="1"/>
  <c r="A61" i="11"/>
  <c r="E61" i="11" s="1"/>
  <c r="AI61" i="11" s="1"/>
  <c r="A103" i="11"/>
  <c r="E103" i="11" s="1"/>
  <c r="AI103" i="11" s="1"/>
  <c r="A140" i="11"/>
  <c r="E140" i="11" s="1"/>
  <c r="AI140" i="11" s="1"/>
  <c r="A15" i="11"/>
  <c r="E15" i="11" s="1"/>
  <c r="AI15" i="11" s="1"/>
  <c r="A110" i="11"/>
  <c r="E110" i="11" s="1"/>
  <c r="AI110" i="11" s="1"/>
  <c r="A117" i="11"/>
  <c r="E117" i="11" s="1"/>
  <c r="AI117" i="11" s="1"/>
  <c r="A144" i="11"/>
  <c r="E144" i="11" s="1"/>
  <c r="AI144" i="11" s="1"/>
  <c r="A94" i="11"/>
  <c r="E94" i="11" s="1"/>
  <c r="AI94" i="11" s="1"/>
  <c r="A58" i="11"/>
  <c r="E58" i="11" s="1"/>
  <c r="AI58" i="11" s="1"/>
  <c r="A32" i="11"/>
  <c r="E32" i="11" s="1"/>
  <c r="AI32" i="11" s="1"/>
  <c r="A123" i="11"/>
  <c r="E123" i="11" s="1"/>
  <c r="AI123" i="11" s="1"/>
  <c r="A158" i="11"/>
  <c r="E158" i="11" s="1"/>
  <c r="AI158" i="11" s="1"/>
  <c r="A90" i="11"/>
  <c r="E90" i="11" s="1"/>
  <c r="AI90" i="11" s="1"/>
  <c r="A137" i="11"/>
  <c r="E137" i="11" s="1"/>
  <c r="AI137" i="11" s="1"/>
  <c r="A21" i="11"/>
  <c r="E21" i="11" s="1"/>
  <c r="AI21" i="11" s="1"/>
  <c r="A135" i="11"/>
  <c r="E135" i="11" s="1"/>
  <c r="AI135" i="11" s="1"/>
  <c r="A101" i="11"/>
  <c r="E101" i="11" s="1"/>
  <c r="AI101" i="11" s="1"/>
  <c r="A98" i="11"/>
  <c r="E98" i="11" s="1"/>
  <c r="AI98" i="11" s="1"/>
  <c r="A93" i="11"/>
  <c r="E93" i="11" s="1"/>
  <c r="AI93" i="11" s="1"/>
  <c r="A128" i="11"/>
  <c r="E128" i="11" s="1"/>
  <c r="AI128" i="11" s="1"/>
  <c r="A64" i="11"/>
  <c r="E64" i="11" s="1"/>
  <c r="AI64" i="11" s="1"/>
  <c r="A33" i="11"/>
  <c r="E33" i="11" s="1"/>
  <c r="AI33" i="11" s="1"/>
  <c r="A16" i="11"/>
  <c r="E16" i="11" s="1"/>
  <c r="AI16" i="11" s="1"/>
  <c r="A66" i="11"/>
  <c r="E66" i="11" s="1"/>
  <c r="AI66" i="11" s="1"/>
  <c r="A169" i="11"/>
  <c r="E169" i="11" s="1"/>
  <c r="AI169" i="11" s="1"/>
  <c r="A71" i="11"/>
  <c r="E71" i="11" s="1"/>
  <c r="AI71" i="11" s="1"/>
  <c r="A79" i="11"/>
  <c r="E79" i="11" s="1"/>
  <c r="AI79" i="11" s="1"/>
  <c r="A166" i="11"/>
  <c r="E166" i="11" s="1"/>
  <c r="AI166" i="11" s="1"/>
  <c r="A170" i="11"/>
  <c r="E170" i="11" s="1"/>
  <c r="AI170" i="11" s="1"/>
  <c r="A73" i="11"/>
  <c r="E73" i="11" s="1"/>
  <c r="AI73" i="11" s="1"/>
  <c r="A173" i="11"/>
  <c r="E173" i="11" s="1"/>
  <c r="AI173" i="11" s="1"/>
  <c r="A88" i="11"/>
  <c r="E88" i="11" s="1"/>
  <c r="AI88" i="11" s="1"/>
  <c r="A31" i="11"/>
  <c r="E31" i="11" s="1"/>
  <c r="AI31" i="11" s="1"/>
  <c r="A148" i="11"/>
  <c r="E148" i="11" s="1"/>
  <c r="AI148" i="11" s="1"/>
  <c r="A37" i="11"/>
  <c r="E37" i="11" s="1"/>
  <c r="AI37" i="11" s="1"/>
  <c r="A81" i="11"/>
  <c r="E81" i="11" s="1"/>
  <c r="AI81" i="11" s="1"/>
  <c r="A119" i="11"/>
  <c r="E119" i="11" s="1"/>
  <c r="AI119" i="11" s="1"/>
  <c r="A24" i="11"/>
  <c r="E24" i="11" s="1"/>
  <c r="AI24" i="11" s="1"/>
  <c r="A121" i="11"/>
  <c r="E121" i="11" s="1"/>
  <c r="AI121" i="11" s="1"/>
  <c r="A180" i="11"/>
  <c r="E180" i="11" s="1"/>
  <c r="AI180" i="11" s="1"/>
  <c r="A27" i="11"/>
  <c r="E27" i="11" s="1"/>
  <c r="AI27" i="11" s="1"/>
  <c r="A35" i="11"/>
  <c r="E35" i="11" s="1"/>
  <c r="AI35" i="11" s="1"/>
  <c r="A85" i="11"/>
  <c r="E85" i="11" s="1"/>
  <c r="AI85" i="11" s="1"/>
  <c r="A42" i="11"/>
  <c r="E42" i="11" s="1"/>
  <c r="AI42" i="11" s="1"/>
  <c r="A25" i="11"/>
  <c r="E25" i="11" s="1"/>
  <c r="AI25" i="11" s="1"/>
  <c r="A51" i="11"/>
  <c r="E51" i="11" s="1"/>
  <c r="AI51" i="11" s="1"/>
  <c r="A177" i="11"/>
  <c r="E177" i="11" s="1"/>
  <c r="AI177" i="11" s="1"/>
  <c r="A44" i="11"/>
  <c r="E44" i="11" s="1"/>
  <c r="AI44" i="11" s="1"/>
  <c r="A112" i="11"/>
  <c r="E112" i="11" s="1"/>
  <c r="AI112" i="11" s="1"/>
  <c r="A3" i="11"/>
  <c r="E3" i="11" s="1"/>
  <c r="AI3" i="11" s="1"/>
  <c r="A92" i="11"/>
  <c r="E92" i="11" s="1"/>
  <c r="AI92" i="11" s="1"/>
  <c r="A179" i="11"/>
  <c r="E179" i="11" s="1"/>
  <c r="AI179" i="11" s="1"/>
  <c r="A150" i="11"/>
  <c r="E150" i="11" s="1"/>
  <c r="AI150" i="11" s="1"/>
  <c r="A122" i="11"/>
  <c r="E122" i="11" s="1"/>
  <c r="AI122" i="11" s="1"/>
  <c r="A22" i="11"/>
  <c r="E22" i="11" s="1"/>
  <c r="AI22" i="11" s="1"/>
  <c r="A57" i="11"/>
  <c r="E57" i="11" s="1"/>
  <c r="AI57" i="11" s="1"/>
  <c r="A106" i="11"/>
  <c r="E106" i="11" s="1"/>
  <c r="AI106" i="11" s="1"/>
  <c r="A47" i="11"/>
  <c r="E47" i="11" s="1"/>
  <c r="AI47" i="11" s="1"/>
  <c r="A53" i="11"/>
  <c r="E53" i="11" s="1"/>
  <c r="AI53" i="11" s="1"/>
  <c r="A59" i="11"/>
  <c r="E59" i="11" s="1"/>
  <c r="AI59" i="11" s="1"/>
  <c r="A17" i="11"/>
  <c r="E17" i="11" s="1"/>
  <c r="AI17" i="11" s="1"/>
  <c r="A162" i="11"/>
  <c r="E162" i="11" s="1"/>
  <c r="AI162" i="11" s="1"/>
  <c r="A13" i="11"/>
  <c r="E13" i="11" s="1"/>
  <c r="AI13" i="11" s="1"/>
  <c r="A129" i="11"/>
  <c r="E129" i="11" s="1"/>
  <c r="AI129" i="11" s="1"/>
  <c r="A152" i="11"/>
  <c r="E152" i="11" s="1"/>
  <c r="AI152" i="11" s="1"/>
  <c r="A83" i="11"/>
  <c r="E83" i="11" s="1"/>
  <c r="AI83" i="11" s="1"/>
  <c r="A155" i="11"/>
  <c r="E155" i="11" s="1"/>
  <c r="AI155" i="11" s="1"/>
  <c r="A65" i="11"/>
  <c r="E65" i="11" s="1"/>
  <c r="AI65" i="11" s="1"/>
  <c r="A36" i="11"/>
  <c r="E36" i="11" s="1"/>
  <c r="AI36" i="11" s="1"/>
  <c r="A167" i="11"/>
  <c r="E167" i="11" s="1"/>
  <c r="AI167" i="11" s="1"/>
  <c r="A108" i="11"/>
  <c r="E108" i="11" s="1"/>
  <c r="AI108" i="11" s="1"/>
  <c r="A72" i="11"/>
  <c r="E72" i="11" s="1"/>
  <c r="AI72" i="11" s="1"/>
  <c r="A175" i="11"/>
  <c r="E175" i="11" s="1"/>
  <c r="AI175" i="11" s="1"/>
  <c r="A105" i="11"/>
  <c r="E105" i="11" s="1"/>
  <c r="AI105" i="11" s="1"/>
  <c r="A164" i="11"/>
  <c r="E164" i="11" s="1"/>
  <c r="AI164" i="11" s="1"/>
  <c r="A146" i="11"/>
  <c r="E146" i="11" s="1"/>
  <c r="AI146" i="11" s="1"/>
  <c r="A28" i="11"/>
  <c r="E28" i="11" s="1"/>
  <c r="AI28" i="11" s="1"/>
  <c r="A163" i="11"/>
  <c r="E163" i="11" s="1"/>
  <c r="AI163" i="11" s="1"/>
  <c r="A116" i="11"/>
  <c r="E116" i="11" s="1"/>
  <c r="AI116" i="11" s="1"/>
  <c r="A132" i="11"/>
  <c r="E132" i="11" s="1"/>
  <c r="AI132" i="11" s="1"/>
  <c r="A171" i="11"/>
  <c r="E171" i="11" s="1"/>
  <c r="AI171" i="11" s="1"/>
  <c r="A107" i="11"/>
  <c r="E107" i="11" s="1"/>
  <c r="AI107" i="11" s="1"/>
  <c r="A14" i="11"/>
  <c r="E14" i="11" s="1"/>
  <c r="AI14" i="11" s="1"/>
  <c r="A124" i="11"/>
  <c r="E124" i="11" s="1"/>
  <c r="AI124" i="11" s="1"/>
  <c r="A178" i="11"/>
  <c r="E178" i="11" s="1"/>
  <c r="AI178" i="11" s="1"/>
  <c r="A160" i="11"/>
  <c r="E160" i="11" s="1"/>
  <c r="AI160" i="11" s="1"/>
  <c r="A50" i="11"/>
  <c r="E50" i="11" s="1"/>
  <c r="AI50" i="11" s="1"/>
  <c r="A142" i="11"/>
  <c r="E142" i="11" s="1"/>
  <c r="AI142" i="11" s="1"/>
  <c r="A77" i="11"/>
  <c r="E77" i="11" s="1"/>
  <c r="AI77" i="11" s="1"/>
  <c r="A12" i="11"/>
  <c r="E12" i="11" s="1"/>
  <c r="AI12" i="11" s="1"/>
  <c r="A68" i="11"/>
  <c r="E68" i="11" s="1"/>
  <c r="AI68" i="11" s="1"/>
  <c r="A130" i="11"/>
  <c r="E130" i="11" s="1"/>
  <c r="AI130" i="11" s="1"/>
  <c r="A109" i="11"/>
  <c r="E109" i="11" s="1"/>
  <c r="AI109" i="11" s="1"/>
  <c r="A97" i="11"/>
  <c r="E97" i="11" s="1"/>
  <c r="AI97" i="11" s="1"/>
  <c r="A134" i="11"/>
  <c r="E134" i="11" s="1"/>
  <c r="AI134" i="11" s="1"/>
  <c r="J4" i="3"/>
  <c r="J6" i="3"/>
  <c r="J5" i="3"/>
  <c r="J8" i="3"/>
  <c r="J7" i="3"/>
  <c r="J3" i="3"/>
  <c r="J45" i="3" l="1"/>
  <c r="J208" i="3"/>
  <c r="J190" i="3"/>
  <c r="J117" i="3"/>
  <c r="J100" i="3"/>
  <c r="J139" i="3"/>
  <c r="J210" i="3"/>
  <c r="J47" i="3"/>
  <c r="J155" i="3"/>
  <c r="J174" i="3"/>
  <c r="J131" i="3"/>
  <c r="J60" i="3"/>
  <c r="J85" i="3"/>
  <c r="J86" i="3"/>
  <c r="J119" i="3"/>
  <c r="J39" i="3"/>
  <c r="J31" i="3"/>
  <c r="J43" i="3"/>
  <c r="J20" i="3"/>
  <c r="J143" i="3"/>
  <c r="J205" i="3"/>
  <c r="J105" i="3"/>
  <c r="J44" i="3"/>
  <c r="J46" i="3"/>
  <c r="J209" i="3"/>
  <c r="J40" i="3"/>
  <c r="J211" i="3"/>
  <c r="J151" i="3"/>
  <c r="J206" i="3"/>
  <c r="J185" i="3"/>
  <c r="J9" i="3"/>
  <c r="J21" i="3"/>
  <c r="J13" i="3"/>
  <c r="J35" i="3"/>
  <c r="J11" i="3"/>
  <c r="J19" i="3"/>
  <c r="J27" i="3"/>
  <c r="J29" i="3"/>
  <c r="J41" i="3"/>
  <c r="J34" i="3"/>
  <c r="J17" i="3"/>
  <c r="J12" i="3"/>
  <c r="J33" i="3"/>
  <c r="J30" i="3"/>
  <c r="J38" i="3"/>
  <c r="J14" i="3"/>
  <c r="J16" i="3"/>
  <c r="J42" i="3"/>
  <c r="J32" i="3"/>
  <c r="J10" i="3"/>
  <c r="J36" i="3"/>
  <c r="J37" i="3"/>
  <c r="J111" i="3"/>
  <c r="J28" i="3"/>
  <c r="J22" i="3"/>
  <c r="J51" i="3"/>
  <c r="J23" i="3"/>
  <c r="J61" i="3"/>
  <c r="J122" i="3"/>
  <c r="J18" i="3"/>
  <c r="J15" i="3"/>
  <c r="J97" i="3" l="1"/>
  <c r="J94" i="3"/>
  <c r="J48" i="3"/>
  <c r="J67" i="3"/>
  <c r="J63" i="3"/>
  <c r="J70" i="3"/>
  <c r="J90" i="3"/>
  <c r="J89" i="3"/>
  <c r="J49" i="3"/>
  <c r="J91" i="3"/>
  <c r="J96" i="3"/>
  <c r="J95" i="3"/>
  <c r="J93" i="3"/>
  <c r="J50" i="3"/>
  <c r="J92" i="3"/>
  <c r="J87" i="3"/>
  <c r="J88" i="3"/>
  <c r="J77" i="3"/>
  <c r="J66" i="3"/>
  <c r="J62" i="3"/>
  <c r="J75" i="3"/>
  <c r="J58" i="3"/>
  <c r="J74" i="3"/>
  <c r="J65" i="3"/>
  <c r="J69" i="3"/>
  <c r="J55" i="3"/>
  <c r="J26" i="3"/>
  <c r="J59" i="3"/>
  <c r="J56" i="3"/>
  <c r="J53" i="3"/>
  <c r="J68" i="3"/>
  <c r="J64" i="3"/>
  <c r="J57" i="3"/>
  <c r="J24" i="3"/>
  <c r="J25" i="3"/>
  <c r="J52" i="3"/>
  <c r="J81" i="3"/>
  <c r="J54" i="3"/>
  <c r="J71" i="3"/>
  <c r="J78" i="3"/>
  <c r="J76" i="3"/>
  <c r="J79" i="3" l="1"/>
  <c r="J82" i="3"/>
  <c r="J80" i="3"/>
  <c r="J72" i="3"/>
  <c r="J73" i="3"/>
  <c r="J83" i="3"/>
  <c r="I73" i="3" l="1"/>
  <c r="I72" i="3"/>
  <c r="I155" i="3"/>
  <c r="I185" i="3"/>
  <c r="I190" i="3"/>
  <c r="I174" i="3"/>
  <c r="I151" i="3"/>
  <c r="I143" i="3"/>
  <c r="I51" i="3"/>
  <c r="I46" i="3"/>
  <c r="I45" i="3"/>
  <c r="I47" i="3"/>
  <c r="I44" i="3"/>
  <c r="I43" i="3"/>
  <c r="I58" i="3"/>
  <c r="I52" i="3"/>
  <c r="I53" i="3"/>
  <c r="I56" i="3"/>
  <c r="I55" i="3"/>
  <c r="I57" i="3"/>
  <c r="I54" i="3"/>
  <c r="I59" i="3"/>
  <c r="I25" i="3"/>
  <c r="I24" i="3"/>
  <c r="I26" i="3"/>
  <c r="I80" i="3"/>
  <c r="I79" i="3"/>
  <c r="I50" i="3"/>
  <c r="I49" i="3"/>
  <c r="I48" i="3"/>
  <c r="I40" i="3"/>
  <c r="I31" i="3"/>
  <c r="I19" i="3"/>
  <c r="I12" i="3"/>
  <c r="I11" i="3"/>
  <c r="I9" i="3"/>
  <c r="I39" i="3"/>
  <c r="I35" i="3"/>
  <c r="I28" i="3"/>
  <c r="I32" i="3"/>
  <c r="I14" i="3"/>
  <c r="I33" i="3"/>
  <c r="I23" i="3"/>
  <c r="I36" i="3"/>
  <c r="I22" i="3"/>
  <c r="I18" i="3"/>
  <c r="I16" i="3"/>
  <c r="I41" i="3"/>
  <c r="I30" i="3"/>
  <c r="I34" i="3"/>
  <c r="I38" i="3"/>
  <c r="I20" i="3"/>
  <c r="I21" i="3"/>
  <c r="I27" i="3"/>
  <c r="I15" i="3"/>
  <c r="I17" i="3"/>
  <c r="I29" i="3"/>
  <c r="I37" i="3"/>
  <c r="I10" i="3"/>
  <c r="I13" i="3"/>
  <c r="I42" i="3"/>
  <c r="I105" i="3"/>
  <c r="I85" i="3"/>
  <c r="I117" i="3"/>
  <c r="I111" i="3"/>
  <c r="I61" i="3"/>
  <c r="I100" i="3"/>
  <c r="I60" i="3"/>
  <c r="I86" i="3"/>
  <c r="I211" i="3"/>
  <c r="I206" i="3"/>
  <c r="I205" i="3"/>
  <c r="I210" i="3"/>
  <c r="I209" i="3"/>
  <c r="I208" i="3"/>
  <c r="I68" i="3"/>
  <c r="I67" i="3"/>
  <c r="I62" i="3"/>
  <c r="I66" i="3"/>
  <c r="I69" i="3"/>
  <c r="I65" i="3"/>
  <c r="I81" i="3"/>
  <c r="I77" i="3"/>
  <c r="I71" i="3"/>
  <c r="I76" i="3"/>
  <c r="I70" i="3"/>
  <c r="I78" i="3"/>
  <c r="I74" i="3"/>
  <c r="I75" i="3"/>
  <c r="I64" i="3"/>
  <c r="I63" i="3"/>
  <c r="I131" i="3"/>
  <c r="I119" i="3"/>
  <c r="I139" i="3"/>
  <c r="I122" i="3"/>
  <c r="I96" i="3"/>
  <c r="I90" i="3"/>
  <c r="I94" i="3"/>
  <c r="I95" i="3"/>
  <c r="I89" i="3"/>
  <c r="I88" i="3"/>
  <c r="I93" i="3"/>
  <c r="I97" i="3"/>
  <c r="I92" i="3"/>
  <c r="I87" i="3"/>
  <c r="I91" i="3"/>
  <c r="I82" i="3"/>
  <c r="I83" i="3"/>
  <c r="I84" i="3"/>
  <c r="F84" i="3"/>
  <c r="C84" i="3"/>
  <c r="J84" i="3" s="1"/>
  <c r="F207" i="3" l="1"/>
  <c r="I207" i="3"/>
  <c r="C207" i="3"/>
  <c r="J207" i="3" s="1"/>
  <c r="I159" i="3" l="1"/>
  <c r="F159" i="3"/>
  <c r="I166" i="3"/>
  <c r="F166" i="3"/>
  <c r="F165" i="3"/>
  <c r="I165" i="3"/>
  <c r="I163" i="3"/>
  <c r="F163" i="3"/>
  <c r="I158" i="3"/>
  <c r="F158" i="3"/>
  <c r="C169" i="3"/>
  <c r="J169" i="3" s="1"/>
  <c r="C163" i="3"/>
  <c r="C158" i="3"/>
  <c r="J158" i="3" s="1"/>
  <c r="I167" i="3"/>
  <c r="F167" i="3"/>
  <c r="C166" i="3"/>
  <c r="J166" i="3" s="1"/>
  <c r="C164" i="3"/>
  <c r="J164" i="3" s="1"/>
  <c r="C156" i="3"/>
  <c r="C173" i="3" s="1"/>
  <c r="F169" i="3"/>
  <c r="I170" i="3" s="1"/>
  <c r="I169" i="3"/>
  <c r="F156" i="3"/>
  <c r="I173" i="3" s="1"/>
  <c r="I156" i="3"/>
  <c r="C159" i="3"/>
  <c r="J159" i="3" s="1"/>
  <c r="I164" i="3"/>
  <c r="F164" i="3"/>
  <c r="I160" i="3"/>
  <c r="F160" i="3"/>
  <c r="C168" i="3"/>
  <c r="J168" i="3" s="1"/>
  <c r="F162" i="3"/>
  <c r="I162" i="3"/>
  <c r="C162" i="3"/>
  <c r="J162" i="3" s="1"/>
  <c r="C157" i="3"/>
  <c r="J157" i="3" s="1"/>
  <c r="F161" i="3"/>
  <c r="I161" i="3"/>
  <c r="I168" i="3"/>
  <c r="F168" i="3"/>
  <c r="C161" i="3"/>
  <c r="J161" i="3" s="1"/>
  <c r="C167" i="3"/>
  <c r="J167" i="3" s="1"/>
  <c r="F157" i="3"/>
  <c r="I157" i="3"/>
  <c r="C165" i="3"/>
  <c r="J165" i="3" s="1"/>
  <c r="C160" i="3"/>
  <c r="J160" i="3" s="1"/>
  <c r="C170" i="3" l="1"/>
  <c r="F170" i="3"/>
  <c r="I171" i="3"/>
  <c r="C172" i="3"/>
  <c r="J156" i="3"/>
  <c r="J173" i="3" s="1"/>
  <c r="C171" i="3"/>
  <c r="I172" i="3"/>
  <c r="F173" i="3"/>
  <c r="F171" i="3"/>
  <c r="F172" i="3"/>
  <c r="J163" i="3"/>
  <c r="J170" i="3" s="1"/>
  <c r="J172" i="3" l="1"/>
  <c r="J171" i="3"/>
  <c r="C177" i="3"/>
  <c r="J177" i="3" s="1"/>
  <c r="C180" i="3"/>
  <c r="J180" i="3" s="1"/>
  <c r="C178" i="3"/>
  <c r="J178" i="3" s="1"/>
  <c r="C181" i="3"/>
  <c r="J181" i="3" s="1"/>
  <c r="C179" i="3"/>
  <c r="J179" i="3" s="1"/>
  <c r="C175" i="3"/>
  <c r="J175" i="3" s="1"/>
  <c r="C182" i="3"/>
  <c r="C184" i="3" s="1"/>
  <c r="C176" i="3"/>
  <c r="J176" i="3" s="1"/>
  <c r="F181" i="3"/>
  <c r="I180" i="3"/>
  <c r="I175" i="3"/>
  <c r="F182" i="3"/>
  <c r="I183" i="3" s="1"/>
  <c r="I181" i="3"/>
  <c r="F178" i="3"/>
  <c r="F177" i="3"/>
  <c r="I178" i="3"/>
  <c r="I182" i="3"/>
  <c r="I179" i="3"/>
  <c r="I177" i="3"/>
  <c r="I176" i="3"/>
  <c r="F179" i="3"/>
  <c r="F175" i="3"/>
  <c r="F176" i="3"/>
  <c r="F180" i="3"/>
  <c r="C183" i="3"/>
  <c r="C188" i="3"/>
  <c r="J188" i="3" s="1"/>
  <c r="C186" i="3"/>
  <c r="J186" i="3" s="1"/>
  <c r="C189" i="3"/>
  <c r="J189" i="3" s="1"/>
  <c r="C187" i="3"/>
  <c r="J187" i="3" s="1"/>
  <c r="F189" i="3"/>
  <c r="I188" i="3"/>
  <c r="I189" i="3"/>
  <c r="F188" i="3"/>
  <c r="I186" i="3"/>
  <c r="I187" i="3"/>
  <c r="F187" i="3"/>
  <c r="F186" i="3"/>
  <c r="C191" i="3"/>
  <c r="J191" i="3" s="1"/>
  <c r="C192" i="3"/>
  <c r="C198" i="3" s="1"/>
  <c r="F196" i="3"/>
  <c r="I192" i="3"/>
  <c r="I191" i="3"/>
  <c r="F192" i="3"/>
  <c r="I199" i="3" s="1"/>
  <c r="F191" i="3"/>
  <c r="F183" i="3" l="1"/>
  <c r="F184" i="3"/>
  <c r="I184" i="3"/>
  <c r="J182" i="3"/>
  <c r="J184" i="3" s="1"/>
  <c r="F198" i="3"/>
  <c r="C196" i="3"/>
  <c r="J196" i="3" s="1"/>
  <c r="J192" i="3"/>
  <c r="J198" i="3" s="1"/>
  <c r="F199" i="3"/>
  <c r="I196" i="3"/>
  <c r="C199" i="3"/>
  <c r="J199" i="3" s="1"/>
  <c r="I198" i="3"/>
  <c r="J183" i="3" l="1"/>
  <c r="C197" i="3"/>
  <c r="J197" i="3" s="1"/>
  <c r="I197" i="3"/>
  <c r="F197" i="3"/>
  <c r="C195" i="3"/>
  <c r="J195" i="3" s="1"/>
  <c r="I193" i="3"/>
  <c r="F193" i="3"/>
  <c r="F195" i="3"/>
  <c r="I194" i="3"/>
  <c r="F194" i="3"/>
  <c r="I195" i="3"/>
  <c r="C194" i="3"/>
  <c r="J194" i="3" s="1"/>
  <c r="C193" i="3"/>
  <c r="J193" i="3" s="1"/>
  <c r="C204" i="3"/>
  <c r="J204" i="3" s="1"/>
  <c r="C200" i="3"/>
  <c r="J200" i="3" s="1"/>
  <c r="C202" i="3"/>
  <c r="J202" i="3" s="1"/>
  <c r="C201" i="3"/>
  <c r="J201" i="3" s="1"/>
  <c r="C203" i="3"/>
  <c r="J203" i="3" s="1"/>
  <c r="F200" i="3"/>
  <c r="I202" i="3"/>
  <c r="F203" i="3"/>
  <c r="F202" i="3"/>
  <c r="F204" i="3"/>
  <c r="I204" i="3"/>
  <c r="I200" i="3"/>
  <c r="I201" i="3"/>
  <c r="F201" i="3"/>
  <c r="I203" i="3"/>
  <c r="C148" i="3"/>
  <c r="J148" i="3" s="1"/>
  <c r="C149" i="3"/>
  <c r="J149" i="3" s="1"/>
  <c r="C146" i="3"/>
  <c r="J146" i="3" s="1"/>
  <c r="C145" i="3"/>
  <c r="J145" i="3" s="1"/>
  <c r="C147" i="3"/>
  <c r="J147" i="3" s="1"/>
  <c r="F149" i="3"/>
  <c r="F148" i="3"/>
  <c r="I144" i="3"/>
  <c r="I145" i="3"/>
  <c r="F147" i="3"/>
  <c r="I149" i="3"/>
  <c r="I146" i="3"/>
  <c r="F145" i="3"/>
  <c r="I150" i="3"/>
  <c r="F150" i="3"/>
  <c r="I148" i="3"/>
  <c r="I147" i="3"/>
  <c r="F144" i="3"/>
  <c r="F146" i="3"/>
  <c r="C144" i="3"/>
  <c r="J144" i="3" s="1"/>
  <c r="C150" i="3"/>
  <c r="J150" i="3" s="1"/>
  <c r="I141" i="3"/>
  <c r="F142" i="3"/>
  <c r="F141" i="3"/>
  <c r="I140" i="3"/>
  <c r="F140" i="3"/>
  <c r="I142" i="3"/>
  <c r="C141" i="3"/>
  <c r="J141" i="3" s="1"/>
  <c r="C140" i="3"/>
  <c r="J140" i="3" s="1"/>
  <c r="C142" i="3"/>
  <c r="J142" i="3" s="1"/>
  <c r="C132" i="3"/>
  <c r="C138" i="3" s="1"/>
  <c r="F138" i="3"/>
  <c r="I137" i="3"/>
  <c r="I132" i="3"/>
  <c r="F132" i="3"/>
  <c r="F137" i="3" s="1"/>
  <c r="C137" i="3" l="1"/>
  <c r="J132" i="3"/>
  <c r="J138" i="3" s="1"/>
  <c r="I138" i="3"/>
  <c r="J137" i="3" l="1"/>
  <c r="F135" i="3"/>
  <c r="F136" i="3"/>
  <c r="I133" i="3"/>
  <c r="I136" i="3"/>
  <c r="F134" i="3"/>
  <c r="I135" i="3"/>
  <c r="F133" i="3"/>
  <c r="I134" i="3"/>
  <c r="C135" i="3"/>
  <c r="J135" i="3" s="1"/>
  <c r="C136" i="3"/>
  <c r="J136" i="3" s="1"/>
  <c r="C133" i="3"/>
  <c r="J133" i="3" s="1"/>
  <c r="C134" i="3"/>
  <c r="J134" i="3" s="1"/>
  <c r="I123" i="3"/>
  <c r="F123" i="3"/>
  <c r="F130" i="3" s="1"/>
  <c r="C123" i="3"/>
  <c r="J123" i="3" s="1"/>
  <c r="C130" i="3" l="1"/>
  <c r="J130" i="3" s="1"/>
  <c r="I130" i="3"/>
  <c r="C127" i="3"/>
  <c r="J127" i="3" s="1"/>
  <c r="C128" i="3"/>
  <c r="J128" i="3" s="1"/>
  <c r="C126" i="3"/>
  <c r="J126" i="3" s="1"/>
  <c r="C125" i="3"/>
  <c r="J125" i="3" s="1"/>
  <c r="C129" i="3"/>
  <c r="J129" i="3" s="1"/>
  <c r="C124" i="3"/>
  <c r="J124" i="3" s="1"/>
  <c r="F129" i="3"/>
  <c r="F125" i="3"/>
  <c r="I124" i="3"/>
  <c r="I129" i="3"/>
  <c r="F126" i="3"/>
  <c r="I128" i="3"/>
  <c r="I125" i="3"/>
  <c r="I127" i="3"/>
  <c r="I126" i="3"/>
  <c r="F128" i="3"/>
  <c r="F124" i="3"/>
  <c r="F127" i="3"/>
  <c r="C121" i="3"/>
  <c r="J121" i="3" s="1"/>
  <c r="C120" i="3"/>
  <c r="J120" i="3" s="1"/>
  <c r="I121" i="3"/>
  <c r="I120" i="3"/>
  <c r="F120" i="3"/>
  <c r="F121" i="3"/>
  <c r="F118" i="3"/>
  <c r="I118" i="3"/>
  <c r="C118" i="3"/>
  <c r="J118" i="3" s="1"/>
  <c r="C115" i="3"/>
  <c r="J115" i="3" s="1"/>
  <c r="C114" i="3"/>
  <c r="J114" i="3" s="1"/>
  <c r="C113" i="3"/>
  <c r="J113" i="3" s="1"/>
  <c r="C112" i="3"/>
  <c r="J112" i="3" s="1"/>
  <c r="C116" i="3"/>
  <c r="J116" i="3" s="1"/>
  <c r="I116" i="3"/>
  <c r="I115" i="3"/>
  <c r="F114" i="3"/>
  <c r="F116" i="3"/>
  <c r="F113" i="3"/>
  <c r="I113" i="3"/>
  <c r="F115" i="3"/>
  <c r="I112" i="3"/>
  <c r="F112" i="3"/>
  <c r="I114" i="3"/>
  <c r="C109" i="3"/>
  <c r="J109" i="3" s="1"/>
  <c r="C107" i="3"/>
  <c r="J107" i="3" s="1"/>
  <c r="C110" i="3"/>
  <c r="J110" i="3" s="1"/>
  <c r="C106" i="3"/>
  <c r="J106" i="3" s="1"/>
  <c r="C108" i="3"/>
  <c r="J108" i="3" s="1"/>
  <c r="I107" i="3"/>
  <c r="I110" i="3"/>
  <c r="I108" i="3"/>
  <c r="I106" i="3"/>
  <c r="F110" i="3"/>
  <c r="F109" i="3"/>
  <c r="F107" i="3"/>
  <c r="F108" i="3"/>
  <c r="F106" i="3"/>
  <c r="I109" i="3"/>
  <c r="C104" i="3"/>
  <c r="J104" i="3" s="1"/>
  <c r="C102" i="3"/>
  <c r="J102" i="3" s="1"/>
  <c r="C103" i="3"/>
  <c r="J103" i="3" s="1"/>
  <c r="C101" i="3"/>
  <c r="J101" i="3" s="1"/>
  <c r="F102" i="3"/>
  <c r="I104" i="3"/>
  <c r="F104" i="3"/>
  <c r="I103" i="3"/>
  <c r="I102" i="3"/>
  <c r="I101" i="3"/>
  <c r="F101" i="3"/>
  <c r="F103" i="3"/>
  <c r="C98" i="3"/>
  <c r="J98" i="3" s="1"/>
  <c r="C99" i="3"/>
  <c r="J99" i="3" s="1"/>
  <c r="I99" i="3"/>
  <c r="F99" i="3"/>
  <c r="F98" i="3"/>
  <c r="I98" i="3"/>
  <c r="C152" i="3"/>
  <c r="C153" i="3" s="1"/>
  <c r="I152" i="3"/>
  <c r="F152" i="3"/>
  <c r="F154" i="3" s="1"/>
  <c r="C154" i="3" l="1"/>
  <c r="I154" i="3"/>
  <c r="F153" i="3"/>
  <c r="I153" i="3"/>
  <c r="J152" i="3"/>
  <c r="J153" i="3" s="1"/>
  <c r="J154" i="3" l="1"/>
  <c r="C6" i="6"/>
  <c r="C98" i="6" s="1"/>
  <c r="F6" i="6"/>
  <c r="I147" i="6" s="1"/>
  <c r="F7" i="6"/>
  <c r="I194" i="6" s="1"/>
  <c r="F5" i="6"/>
  <c r="I62" i="6" s="1"/>
  <c r="I4" i="6"/>
  <c r="I7" i="6"/>
  <c r="I3" i="6"/>
  <c r="I5" i="6"/>
  <c r="I6" i="6"/>
  <c r="F4" i="6"/>
  <c r="I23" i="6" s="1"/>
  <c r="F3" i="6"/>
  <c r="F9" i="6" s="1"/>
  <c r="C3" i="6"/>
  <c r="C22" i="6" s="1"/>
  <c r="C7" i="6"/>
  <c r="C191" i="6" s="1"/>
  <c r="C4" i="6"/>
  <c r="C30" i="6" s="1"/>
  <c r="C5" i="6"/>
  <c r="C66" i="6" s="1"/>
  <c r="F98" i="6" l="1"/>
  <c r="F101" i="6" s="1"/>
  <c r="I115" i="6"/>
  <c r="C164" i="6"/>
  <c r="C167" i="6" s="1"/>
  <c r="C157" i="6"/>
  <c r="C110" i="6"/>
  <c r="C112" i="6" s="1"/>
  <c r="F110" i="6"/>
  <c r="I113" i="6" s="1"/>
  <c r="I98" i="6"/>
  <c r="I81" i="6"/>
  <c r="I78" i="6"/>
  <c r="C62" i="6"/>
  <c r="C65" i="6" s="1"/>
  <c r="C118" i="6"/>
  <c r="C137" i="6"/>
  <c r="C141" i="6" s="1"/>
  <c r="C143" i="6" s="1"/>
  <c r="I75" i="6"/>
  <c r="J6" i="6"/>
  <c r="J157" i="6" s="1"/>
  <c r="F72" i="6"/>
  <c r="I74" i="6" s="1"/>
  <c r="F26" i="6"/>
  <c r="F29" i="6" s="1"/>
  <c r="F75" i="6"/>
  <c r="I77" i="6" s="1"/>
  <c r="I10" i="6"/>
  <c r="I26" i="6"/>
  <c r="F17" i="6"/>
  <c r="C119" i="6"/>
  <c r="I49" i="6"/>
  <c r="F15" i="6"/>
  <c r="I18" i="6"/>
  <c r="I118" i="6"/>
  <c r="F44" i="6"/>
  <c r="I48" i="6" s="1"/>
  <c r="C129" i="6"/>
  <c r="C135" i="6" s="1"/>
  <c r="F49" i="6"/>
  <c r="I54" i="6" s="1"/>
  <c r="F137" i="6"/>
  <c r="I138" i="6" s="1"/>
  <c r="F30" i="6"/>
  <c r="I31" i="6" s="1"/>
  <c r="C35" i="6"/>
  <c r="C40" i="6"/>
  <c r="C43" i="6"/>
  <c r="C31" i="6"/>
  <c r="C101" i="6"/>
  <c r="C104" i="6"/>
  <c r="C105" i="6"/>
  <c r="C107" i="6"/>
  <c r="C99" i="6"/>
  <c r="C106" i="6"/>
  <c r="C103" i="6"/>
  <c r="C102" i="6"/>
  <c r="C100" i="6"/>
  <c r="C109" i="6"/>
  <c r="C108" i="6"/>
  <c r="C70" i="6"/>
  <c r="C68" i="6"/>
  <c r="C67" i="6"/>
  <c r="C69" i="6"/>
  <c r="C71" i="6"/>
  <c r="I15" i="6"/>
  <c r="I21" i="6"/>
  <c r="I119" i="6"/>
  <c r="F147" i="6"/>
  <c r="F60" i="6"/>
  <c r="I30" i="6"/>
  <c r="C60" i="6"/>
  <c r="F191" i="6"/>
  <c r="C170" i="6"/>
  <c r="I22" i="6"/>
  <c r="F16" i="6"/>
  <c r="I157" i="6"/>
  <c r="I137" i="6"/>
  <c r="I80" i="6"/>
  <c r="I191" i="6"/>
  <c r="C75" i="6"/>
  <c r="F14" i="6"/>
  <c r="I164" i="6"/>
  <c r="F78" i="6"/>
  <c r="F66" i="6"/>
  <c r="I108" i="6"/>
  <c r="F105" i="6"/>
  <c r="F194" i="6"/>
  <c r="F62" i="6"/>
  <c r="C59" i="6"/>
  <c r="J3" i="6"/>
  <c r="J22" i="6" s="1"/>
  <c r="F19" i="6"/>
  <c r="I11" i="6"/>
  <c r="I110" i="6"/>
  <c r="F79" i="6"/>
  <c r="F182" i="6"/>
  <c r="C80" i="6"/>
  <c r="I193" i="6"/>
  <c r="C19" i="6"/>
  <c r="C171" i="6"/>
  <c r="I192" i="6"/>
  <c r="C111" i="6"/>
  <c r="C44" i="6"/>
  <c r="C58" i="6"/>
  <c r="I16" i="6"/>
  <c r="F18" i="6"/>
  <c r="I13" i="6"/>
  <c r="I144" i="6"/>
  <c r="I72" i="6"/>
  <c r="I59" i="6"/>
  <c r="C194" i="6"/>
  <c r="F192" i="6"/>
  <c r="F21" i="6"/>
  <c r="F103" i="6"/>
  <c r="C21" i="6"/>
  <c r="F12" i="6"/>
  <c r="F144" i="6"/>
  <c r="I66" i="6"/>
  <c r="F23" i="6"/>
  <c r="C9" i="6"/>
  <c r="F193" i="6"/>
  <c r="C78" i="6"/>
  <c r="I14" i="6"/>
  <c r="F11" i="6"/>
  <c r="F13" i="6"/>
  <c r="F22" i="6"/>
  <c r="F129" i="6"/>
  <c r="F81" i="6"/>
  <c r="F59" i="6"/>
  <c r="I182" i="6"/>
  <c r="C81" i="6"/>
  <c r="C16" i="6"/>
  <c r="C193" i="6"/>
  <c r="J7" i="6"/>
  <c r="J191" i="6" s="1"/>
  <c r="C15" i="6"/>
  <c r="C192" i="6"/>
  <c r="C49" i="6"/>
  <c r="C144" i="6"/>
  <c r="I12" i="6"/>
  <c r="C113" i="6"/>
  <c r="I17" i="6"/>
  <c r="F164" i="6"/>
  <c r="F58" i="6"/>
  <c r="J5" i="6"/>
  <c r="C72" i="6"/>
  <c r="C23" i="6"/>
  <c r="C14" i="6"/>
  <c r="C79" i="6"/>
  <c r="C182" i="6"/>
  <c r="C26" i="6"/>
  <c r="C115" i="6"/>
  <c r="C8" i="6"/>
  <c r="C13" i="6"/>
  <c r="I60" i="6"/>
  <c r="F10" i="6"/>
  <c r="F8" i="6"/>
  <c r="F157" i="6"/>
  <c r="F80" i="6"/>
  <c r="I58" i="6"/>
  <c r="C147" i="6"/>
  <c r="I8" i="6"/>
  <c r="F119" i="6"/>
  <c r="C17" i="6"/>
  <c r="I9" i="6"/>
  <c r="F118" i="6"/>
  <c r="F115" i="6"/>
  <c r="I79" i="6"/>
  <c r="I44" i="6"/>
  <c r="I106" i="6"/>
  <c r="I109" i="6"/>
  <c r="J4" i="6"/>
  <c r="J30" i="6" s="1"/>
  <c r="C18" i="6"/>
  <c r="C11" i="6"/>
  <c r="C12" i="6"/>
  <c r="I19" i="6"/>
  <c r="I129" i="6"/>
  <c r="C10" i="6"/>
  <c r="I111" i="6" l="1"/>
  <c r="C168" i="6"/>
  <c r="C166" i="6"/>
  <c r="C177" i="6"/>
  <c r="C180" i="6" s="1"/>
  <c r="C172" i="6"/>
  <c r="C165" i="6"/>
  <c r="C169" i="6"/>
  <c r="I112" i="6"/>
  <c r="I99" i="6"/>
  <c r="I100" i="6"/>
  <c r="F76" i="6"/>
  <c r="F106" i="6"/>
  <c r="I101" i="6"/>
  <c r="F109" i="6"/>
  <c r="I103" i="6"/>
  <c r="F107" i="6"/>
  <c r="I107" i="6"/>
  <c r="I102" i="6"/>
  <c r="F102" i="6"/>
  <c r="I104" i="6"/>
  <c r="F100" i="6"/>
  <c r="F108" i="6"/>
  <c r="F99" i="6"/>
  <c r="I105" i="6"/>
  <c r="F104" i="6"/>
  <c r="I27" i="6"/>
  <c r="I28" i="6"/>
  <c r="F27" i="6"/>
  <c r="F28" i="6"/>
  <c r="I35" i="6"/>
  <c r="F113" i="6"/>
  <c r="F31" i="6"/>
  <c r="F34" i="6" s="1"/>
  <c r="F40" i="6"/>
  <c r="I42" i="6" s="1"/>
  <c r="F43" i="6"/>
  <c r="F35" i="6"/>
  <c r="F36" i="6" s="1"/>
  <c r="I29" i="6"/>
  <c r="F112" i="6"/>
  <c r="C114" i="6"/>
  <c r="I40" i="6"/>
  <c r="I76" i="6"/>
  <c r="F77" i="6"/>
  <c r="F46" i="6"/>
  <c r="F114" i="6"/>
  <c r="J137" i="6"/>
  <c r="J141" i="6" s="1"/>
  <c r="J143" i="6" s="1"/>
  <c r="J11" i="6"/>
  <c r="J10" i="6"/>
  <c r="J13" i="6"/>
  <c r="J62" i="6"/>
  <c r="J65" i="6" s="1"/>
  <c r="J8" i="6"/>
  <c r="C142" i="6"/>
  <c r="I45" i="6"/>
  <c r="F138" i="6"/>
  <c r="F139" i="6" s="1"/>
  <c r="C63" i="6"/>
  <c r="F73" i="6"/>
  <c r="F74" i="6"/>
  <c r="I141" i="6"/>
  <c r="I43" i="6"/>
  <c r="I73" i="6"/>
  <c r="C138" i="6"/>
  <c r="C140" i="6" s="1"/>
  <c r="C64" i="6"/>
  <c r="I52" i="6"/>
  <c r="I57" i="6"/>
  <c r="C130" i="6"/>
  <c r="C134" i="6"/>
  <c r="J98" i="6"/>
  <c r="J107" i="6" s="1"/>
  <c r="C133" i="6"/>
  <c r="F51" i="6"/>
  <c r="J129" i="6"/>
  <c r="J135" i="6" s="1"/>
  <c r="I47" i="6"/>
  <c r="I51" i="6"/>
  <c r="I50" i="6"/>
  <c r="F55" i="6"/>
  <c r="J110" i="6"/>
  <c r="J113" i="6" s="1"/>
  <c r="J193" i="6"/>
  <c r="F48" i="6"/>
  <c r="F45" i="6"/>
  <c r="I46" i="6"/>
  <c r="F47" i="6"/>
  <c r="I56" i="6"/>
  <c r="C136" i="6"/>
  <c r="F53" i="6"/>
  <c r="C131" i="6"/>
  <c r="F57" i="6"/>
  <c r="F54" i="6"/>
  <c r="I55" i="6"/>
  <c r="F52" i="6"/>
  <c r="C132" i="6"/>
  <c r="J118" i="6"/>
  <c r="J164" i="6"/>
  <c r="J167" i="6" s="1"/>
  <c r="J192" i="6"/>
  <c r="C158" i="6"/>
  <c r="C159" i="6" s="1"/>
  <c r="C160" i="6"/>
  <c r="J16" i="6"/>
  <c r="F50" i="6"/>
  <c r="F56" i="6"/>
  <c r="F111" i="6"/>
  <c r="I114" i="6"/>
  <c r="J14" i="6"/>
  <c r="F141" i="6"/>
  <c r="I143" i="6" s="1"/>
  <c r="J9" i="6"/>
  <c r="J18" i="6"/>
  <c r="J119" i="6"/>
  <c r="C120" i="6"/>
  <c r="C128" i="6"/>
  <c r="C121" i="6"/>
  <c r="C122" i="6"/>
  <c r="C124" i="6"/>
  <c r="C126" i="6"/>
  <c r="I53" i="6"/>
  <c r="F20" i="6"/>
  <c r="I20" i="6"/>
  <c r="I170" i="6"/>
  <c r="I168" i="6"/>
  <c r="F170" i="6"/>
  <c r="I169" i="6"/>
  <c r="F171" i="6"/>
  <c r="F172" i="6"/>
  <c r="F168" i="6"/>
  <c r="I167" i="6"/>
  <c r="I166" i="6"/>
  <c r="F177" i="6"/>
  <c r="F169" i="6"/>
  <c r="F167" i="6"/>
  <c r="F166" i="6"/>
  <c r="I165" i="6"/>
  <c r="I177" i="6"/>
  <c r="I171" i="6"/>
  <c r="I172" i="6"/>
  <c r="F165" i="6"/>
  <c r="J78" i="6"/>
  <c r="C20" i="6"/>
  <c r="J19" i="6"/>
  <c r="I61" i="6"/>
  <c r="F61" i="6"/>
  <c r="I156" i="6"/>
  <c r="I150" i="6"/>
  <c r="F148" i="6"/>
  <c r="I154" i="6"/>
  <c r="F149" i="6"/>
  <c r="I148" i="6"/>
  <c r="F156" i="6"/>
  <c r="I153" i="6"/>
  <c r="F155" i="6"/>
  <c r="I151" i="6"/>
  <c r="F153" i="6"/>
  <c r="I149" i="6"/>
  <c r="I155" i="6"/>
  <c r="F154" i="6"/>
  <c r="I152" i="6"/>
  <c r="F151" i="6"/>
  <c r="F152" i="6"/>
  <c r="F150" i="6"/>
  <c r="C179" i="6"/>
  <c r="C178" i="6"/>
  <c r="F121" i="6"/>
  <c r="I124" i="6"/>
  <c r="F126" i="6"/>
  <c r="I126" i="6"/>
  <c r="I128" i="6"/>
  <c r="F124" i="6"/>
  <c r="I121" i="6"/>
  <c r="I122" i="6"/>
  <c r="I120" i="6"/>
  <c r="F128" i="6"/>
  <c r="F120" i="6"/>
  <c r="F122" i="6"/>
  <c r="C27" i="6"/>
  <c r="J26" i="6"/>
  <c r="C28" i="6"/>
  <c r="C29" i="6"/>
  <c r="J66" i="6"/>
  <c r="J71" i="6" s="1"/>
  <c r="C187" i="6"/>
  <c r="C189" i="6"/>
  <c r="J182" i="6"/>
  <c r="C186" i="6"/>
  <c r="C183" i="6"/>
  <c r="C188" i="6"/>
  <c r="C190" i="6"/>
  <c r="C185" i="6"/>
  <c r="C184" i="6"/>
  <c r="I24" i="6"/>
  <c r="F25" i="6"/>
  <c r="F24" i="6"/>
  <c r="I25" i="6"/>
  <c r="J80" i="6"/>
  <c r="C175" i="6"/>
  <c r="C174" i="6"/>
  <c r="C173" i="6"/>
  <c r="C176" i="6"/>
  <c r="J59" i="6"/>
  <c r="C152" i="6"/>
  <c r="J147" i="6"/>
  <c r="C153" i="6"/>
  <c r="C148" i="6"/>
  <c r="C149" i="6"/>
  <c r="C155" i="6"/>
  <c r="C151" i="6"/>
  <c r="C150" i="6"/>
  <c r="C154" i="6"/>
  <c r="C156" i="6"/>
  <c r="C56" i="6"/>
  <c r="C50" i="6"/>
  <c r="C54" i="6"/>
  <c r="J49" i="6"/>
  <c r="C51" i="6"/>
  <c r="C52" i="6"/>
  <c r="C53" i="6"/>
  <c r="C57" i="6"/>
  <c r="C55" i="6"/>
  <c r="F87" i="6"/>
  <c r="I82" i="6"/>
  <c r="F89" i="6"/>
  <c r="I90" i="6"/>
  <c r="F95" i="6"/>
  <c r="I84" i="6"/>
  <c r="F84" i="6"/>
  <c r="F85" i="6"/>
  <c r="I97" i="6"/>
  <c r="F86" i="6"/>
  <c r="F88" i="6"/>
  <c r="I87" i="6"/>
  <c r="F90" i="6"/>
  <c r="F82" i="6"/>
  <c r="I95" i="6"/>
  <c r="F97" i="6"/>
  <c r="F83" i="6"/>
  <c r="I83" i="6"/>
  <c r="I89" i="6"/>
  <c r="F93" i="6"/>
  <c r="I88" i="6"/>
  <c r="I93" i="6"/>
  <c r="I86" i="6"/>
  <c r="I85" i="6"/>
  <c r="J58" i="6"/>
  <c r="F63" i="6"/>
  <c r="I65" i="6"/>
  <c r="I63" i="6"/>
  <c r="F65" i="6"/>
  <c r="F64" i="6"/>
  <c r="I64" i="6"/>
  <c r="C77" i="6"/>
  <c r="C76" i="6"/>
  <c r="J75" i="6"/>
  <c r="C25" i="6"/>
  <c r="J23" i="6"/>
  <c r="C24" i="6"/>
  <c r="I134" i="6"/>
  <c r="I130" i="6"/>
  <c r="F133" i="6"/>
  <c r="I133" i="6"/>
  <c r="F132" i="6"/>
  <c r="F135" i="6"/>
  <c r="F136" i="6"/>
  <c r="I131" i="6"/>
  <c r="I136" i="6"/>
  <c r="F131" i="6"/>
  <c r="I132" i="6"/>
  <c r="I135" i="6"/>
  <c r="F134" i="6"/>
  <c r="F130" i="6"/>
  <c r="J21" i="6"/>
  <c r="I183" i="6"/>
  <c r="I190" i="6"/>
  <c r="F188" i="6"/>
  <c r="F186" i="6"/>
  <c r="F187" i="6"/>
  <c r="I186" i="6"/>
  <c r="I184" i="6"/>
  <c r="F183" i="6"/>
  <c r="I188" i="6"/>
  <c r="F189" i="6"/>
  <c r="F184" i="6"/>
  <c r="I185" i="6"/>
  <c r="I189" i="6"/>
  <c r="I187" i="6"/>
  <c r="F190" i="6"/>
  <c r="F185" i="6"/>
  <c r="C117" i="6"/>
  <c r="J115" i="6"/>
  <c r="C116" i="6"/>
  <c r="J79" i="6"/>
  <c r="C146" i="6"/>
  <c r="J144" i="6"/>
  <c r="C145" i="6"/>
  <c r="I146" i="6"/>
  <c r="F146" i="6"/>
  <c r="F145" i="6"/>
  <c r="I145" i="6"/>
  <c r="J12" i="6"/>
  <c r="I158" i="6"/>
  <c r="F158" i="6"/>
  <c r="F160" i="6"/>
  <c r="I160" i="6"/>
  <c r="J72" i="6"/>
  <c r="C74" i="6"/>
  <c r="C73" i="6"/>
  <c r="J15" i="6"/>
  <c r="C46" i="6"/>
  <c r="C48" i="6"/>
  <c r="C45" i="6"/>
  <c r="J44" i="6"/>
  <c r="C47" i="6"/>
  <c r="C33" i="6"/>
  <c r="C32" i="6"/>
  <c r="C34" i="6"/>
  <c r="J31" i="6"/>
  <c r="C61" i="6"/>
  <c r="J60" i="6"/>
  <c r="J43" i="6"/>
  <c r="C90" i="6"/>
  <c r="C93" i="6"/>
  <c r="C95" i="6"/>
  <c r="C84" i="6"/>
  <c r="J81" i="6"/>
  <c r="C97" i="6"/>
  <c r="C89" i="6"/>
  <c r="C86" i="6"/>
  <c r="C82" i="6"/>
  <c r="C87" i="6"/>
  <c r="C88" i="6"/>
  <c r="C83" i="6"/>
  <c r="C85" i="6"/>
  <c r="I117" i="6"/>
  <c r="F116" i="6"/>
  <c r="F117" i="6"/>
  <c r="I116" i="6"/>
  <c r="J40" i="6"/>
  <c r="C41" i="6"/>
  <c r="C42" i="6"/>
  <c r="I69" i="6"/>
  <c r="F68" i="6"/>
  <c r="F69" i="6"/>
  <c r="I71" i="6"/>
  <c r="F67" i="6"/>
  <c r="I67" i="6"/>
  <c r="F70" i="6"/>
  <c r="F71" i="6"/>
  <c r="I70" i="6"/>
  <c r="I68" i="6"/>
  <c r="J17" i="6"/>
  <c r="J194" i="6"/>
  <c r="C39" i="6"/>
  <c r="C38" i="6"/>
  <c r="C37" i="6"/>
  <c r="C36" i="6"/>
  <c r="J35" i="6"/>
  <c r="C181" i="6" l="1"/>
  <c r="J111" i="6"/>
  <c r="F33" i="6"/>
  <c r="J99" i="6"/>
  <c r="I34" i="6"/>
  <c r="I32" i="6"/>
  <c r="I33" i="6"/>
  <c r="I38" i="6"/>
  <c r="I36" i="6"/>
  <c r="F32" i="6"/>
  <c r="J47" i="6"/>
  <c r="F39" i="6"/>
  <c r="I41" i="6"/>
  <c r="F42" i="6"/>
  <c r="F41" i="6"/>
  <c r="J67" i="6"/>
  <c r="J105" i="6"/>
  <c r="I37" i="6"/>
  <c r="F142" i="6"/>
  <c r="F37" i="6"/>
  <c r="I39" i="6"/>
  <c r="F38" i="6"/>
  <c r="J188" i="6"/>
  <c r="F143" i="6"/>
  <c r="I142" i="6"/>
  <c r="J142" i="6"/>
  <c r="J131" i="6"/>
  <c r="J138" i="6"/>
  <c r="J140" i="6" s="1"/>
  <c r="J112" i="6"/>
  <c r="J171" i="6"/>
  <c r="J106" i="6"/>
  <c r="J101" i="6"/>
  <c r="C139" i="6"/>
  <c r="J63" i="6"/>
  <c r="J103" i="6"/>
  <c r="J133" i="6"/>
  <c r="J102" i="6"/>
  <c r="J108" i="6"/>
  <c r="J136" i="6"/>
  <c r="J134" i="6"/>
  <c r="I140" i="6"/>
  <c r="J132" i="6"/>
  <c r="J109" i="6"/>
  <c r="I139" i="6"/>
  <c r="J64" i="6"/>
  <c r="J117" i="6"/>
  <c r="J100" i="6"/>
  <c r="J70" i="6"/>
  <c r="F140" i="6"/>
  <c r="J130" i="6"/>
  <c r="J116" i="6"/>
  <c r="J68" i="6"/>
  <c r="J165" i="6"/>
  <c r="J48" i="6"/>
  <c r="J69" i="6"/>
  <c r="J177" i="6"/>
  <c r="J181" i="6" s="1"/>
  <c r="J85" i="6"/>
  <c r="J73" i="6"/>
  <c r="J120" i="6"/>
  <c r="J172" i="6"/>
  <c r="J176" i="6" s="1"/>
  <c r="J166" i="6"/>
  <c r="J104" i="6"/>
  <c r="J84" i="6"/>
  <c r="J95" i="6"/>
  <c r="J46" i="6"/>
  <c r="J114" i="6"/>
  <c r="J185" i="6"/>
  <c r="J88" i="6"/>
  <c r="J89" i="6"/>
  <c r="J97" i="6"/>
  <c r="C161" i="6"/>
  <c r="C162" i="6"/>
  <c r="C163" i="6"/>
  <c r="J160" i="6"/>
  <c r="J29" i="6"/>
  <c r="J93" i="6"/>
  <c r="J27" i="6"/>
  <c r="J170" i="6"/>
  <c r="J169" i="6"/>
  <c r="J148" i="6"/>
  <c r="J183" i="6"/>
  <c r="J168" i="6"/>
  <c r="J158" i="6"/>
  <c r="J159" i="6" s="1"/>
  <c r="J76" i="6"/>
  <c r="J77" i="6"/>
  <c r="J28" i="6"/>
  <c r="J83" i="6"/>
  <c r="J87" i="6"/>
  <c r="J82" i="6"/>
  <c r="J121" i="6"/>
  <c r="J86" i="6"/>
  <c r="J128" i="6"/>
  <c r="J53" i="6"/>
  <c r="J151" i="6"/>
  <c r="J36" i="6"/>
  <c r="J126" i="6"/>
  <c r="C127" i="6"/>
  <c r="J124" i="6"/>
  <c r="C125" i="6"/>
  <c r="C123" i="6"/>
  <c r="J122" i="6"/>
  <c r="J37" i="6"/>
  <c r="J24" i="6"/>
  <c r="J156" i="6"/>
  <c r="J154" i="6"/>
  <c r="J145" i="6"/>
  <c r="J184" i="6"/>
  <c r="J55" i="6"/>
  <c r="J57" i="6"/>
  <c r="J150" i="6"/>
  <c r="J90" i="6"/>
  <c r="C94" i="6"/>
  <c r="C91" i="6"/>
  <c r="C96" i="6"/>
  <c r="C92" i="6"/>
  <c r="J146" i="6"/>
  <c r="I92" i="6"/>
  <c r="F91" i="6"/>
  <c r="F96" i="6"/>
  <c r="I96" i="6"/>
  <c r="I91" i="6"/>
  <c r="F92" i="6"/>
  <c r="F94" i="6"/>
  <c r="I94" i="6"/>
  <c r="J52" i="6"/>
  <c r="J155" i="6"/>
  <c r="J190" i="6"/>
  <c r="I123" i="6"/>
  <c r="F123" i="6"/>
  <c r="I181" i="6"/>
  <c r="I179" i="6"/>
  <c r="F179" i="6"/>
  <c r="I180" i="6"/>
  <c r="F178" i="6"/>
  <c r="F180" i="6"/>
  <c r="I178" i="6"/>
  <c r="F181" i="6"/>
  <c r="J51" i="6"/>
  <c r="J149" i="6"/>
  <c r="J74" i="6"/>
  <c r="J54" i="6"/>
  <c r="J153" i="6"/>
  <c r="J186" i="6"/>
  <c r="J50" i="6"/>
  <c r="F176" i="6"/>
  <c r="F175" i="6"/>
  <c r="I175" i="6"/>
  <c r="I173" i="6"/>
  <c r="I176" i="6"/>
  <c r="F174" i="6"/>
  <c r="F173" i="6"/>
  <c r="I174" i="6"/>
  <c r="J34" i="6"/>
  <c r="J56" i="6"/>
  <c r="J152" i="6"/>
  <c r="J189" i="6"/>
  <c r="J33" i="6"/>
  <c r="I162" i="6"/>
  <c r="F161" i="6"/>
  <c r="F163" i="6"/>
  <c r="I161" i="6"/>
  <c r="F162" i="6"/>
  <c r="I163" i="6"/>
  <c r="J187" i="6"/>
  <c r="I125" i="6"/>
  <c r="F125" i="6"/>
  <c r="J20" i="6"/>
  <c r="J39" i="6"/>
  <c r="J42" i="6"/>
  <c r="J25" i="6"/>
  <c r="F127" i="6"/>
  <c r="I127" i="6"/>
  <c r="J32" i="6"/>
  <c r="F159" i="6"/>
  <c r="I159" i="6"/>
  <c r="J41" i="6"/>
  <c r="J45" i="6"/>
  <c r="J61" i="6"/>
  <c r="J38" i="6"/>
  <c r="C4" i="7"/>
  <c r="C24" i="7" s="1"/>
  <c r="C5" i="7"/>
  <c r="C59" i="7" s="1"/>
  <c r="C6" i="7"/>
  <c r="C90" i="7" s="1"/>
  <c r="C3" i="7"/>
  <c r="C15" i="7" s="1"/>
  <c r="I5" i="7"/>
  <c r="I4" i="7"/>
  <c r="F3" i="7"/>
  <c r="F20" i="7" s="1"/>
  <c r="F5" i="7"/>
  <c r="I59" i="7" s="1"/>
  <c r="F4" i="7"/>
  <c r="F43" i="7" s="1"/>
  <c r="I3" i="7"/>
  <c r="F6" i="7"/>
  <c r="I88" i="7" s="1"/>
  <c r="I6" i="7"/>
  <c r="J178" i="6" l="1"/>
  <c r="J174" i="6"/>
  <c r="I45" i="7"/>
  <c r="I42" i="7"/>
  <c r="F37" i="7"/>
  <c r="F41" i="7"/>
  <c r="J139" i="6"/>
  <c r="J161" i="6"/>
  <c r="J179" i="6"/>
  <c r="J175" i="6"/>
  <c r="J180" i="6"/>
  <c r="I40" i="7"/>
  <c r="I52" i="7"/>
  <c r="I65" i="7"/>
  <c r="I58" i="7"/>
  <c r="I77" i="7"/>
  <c r="I38" i="7"/>
  <c r="F39" i="7"/>
  <c r="I43" i="7"/>
  <c r="I33" i="7"/>
  <c r="I37" i="7"/>
  <c r="I34" i="7"/>
  <c r="F29" i="7"/>
  <c r="I24" i="7"/>
  <c r="I26" i="7"/>
  <c r="F34" i="7"/>
  <c r="I50" i="7"/>
  <c r="C7" i="7"/>
  <c r="F57" i="7"/>
  <c r="I28" i="7"/>
  <c r="I22" i="7"/>
  <c r="C21" i="7"/>
  <c r="F25" i="7"/>
  <c r="C65" i="7"/>
  <c r="C66" i="7" s="1"/>
  <c r="F42" i="7"/>
  <c r="I41" i="7"/>
  <c r="F27" i="7"/>
  <c r="F65" i="7"/>
  <c r="I66" i="7" s="1"/>
  <c r="I36" i="7"/>
  <c r="I54" i="7"/>
  <c r="F31" i="7"/>
  <c r="I49" i="7"/>
  <c r="I31" i="7"/>
  <c r="F24" i="7"/>
  <c r="I57" i="7"/>
  <c r="F38" i="7"/>
  <c r="F28" i="7"/>
  <c r="F22" i="7"/>
  <c r="I48" i="7"/>
  <c r="I23" i="7"/>
  <c r="F26" i="7"/>
  <c r="F49" i="7"/>
  <c r="F32" i="7"/>
  <c r="I62" i="7"/>
  <c r="C14" i="7"/>
  <c r="I32" i="7"/>
  <c r="F36" i="7"/>
  <c r="I55" i="7"/>
  <c r="F33" i="7"/>
  <c r="I25" i="7"/>
  <c r="F47" i="7"/>
  <c r="I27" i="7"/>
  <c r="F56" i="7"/>
  <c r="I44" i="7"/>
  <c r="C8" i="7"/>
  <c r="F30" i="7"/>
  <c r="F60" i="7"/>
  <c r="I61" i="7" s="1"/>
  <c r="C40" i="7"/>
  <c r="I39" i="7"/>
  <c r="F55" i="7"/>
  <c r="I30" i="7"/>
  <c r="F59" i="7"/>
  <c r="F44" i="7"/>
  <c r="F23" i="7"/>
  <c r="F40" i="7"/>
  <c r="F53" i="7"/>
  <c r="J173" i="6"/>
  <c r="J96" i="6"/>
  <c r="J94" i="6"/>
  <c r="F18" i="7"/>
  <c r="I104" i="7"/>
  <c r="F7" i="7"/>
  <c r="F45" i="7"/>
  <c r="F46" i="7" s="1"/>
  <c r="I13" i="7"/>
  <c r="I60" i="7"/>
  <c r="I87" i="7"/>
  <c r="F16" i="7"/>
  <c r="F17" i="7" s="1"/>
  <c r="F90" i="7"/>
  <c r="I93" i="7" s="1"/>
  <c r="F9" i="7"/>
  <c r="C58" i="7"/>
  <c r="I105" i="7"/>
  <c r="I19" i="7"/>
  <c r="I16" i="7"/>
  <c r="F8" i="7"/>
  <c r="F19" i="7"/>
  <c r="F62" i="7"/>
  <c r="F63" i="7" s="1"/>
  <c r="I64" i="7" s="1"/>
  <c r="I89" i="7"/>
  <c r="C23" i="7"/>
  <c r="I20" i="7"/>
  <c r="F52" i="7"/>
  <c r="F88" i="7"/>
  <c r="C36" i="7"/>
  <c r="I18" i="7"/>
  <c r="F48" i="7"/>
  <c r="F104" i="7"/>
  <c r="C38" i="7"/>
  <c r="F14" i="7"/>
  <c r="C89" i="7"/>
  <c r="F12" i="7"/>
  <c r="I67" i="7"/>
  <c r="I14" i="7"/>
  <c r="C105" i="7"/>
  <c r="C104" i="7"/>
  <c r="C10" i="7"/>
  <c r="C12" i="7"/>
  <c r="I9" i="7"/>
  <c r="C67" i="7"/>
  <c r="F15" i="7"/>
  <c r="I90" i="7"/>
  <c r="C56" i="7"/>
  <c r="I15" i="7"/>
  <c r="F77" i="7"/>
  <c r="F81" i="7" s="1"/>
  <c r="J162" i="6"/>
  <c r="J125" i="6"/>
  <c r="J163" i="6"/>
  <c r="J123" i="6"/>
  <c r="J91" i="6"/>
  <c r="J127" i="6"/>
  <c r="J92" i="6"/>
  <c r="I21" i="7"/>
  <c r="I10" i="7"/>
  <c r="C37" i="7"/>
  <c r="F21" i="7"/>
  <c r="I7" i="7"/>
  <c r="C50" i="7"/>
  <c r="C43" i="7"/>
  <c r="C57" i="7"/>
  <c r="C29" i="7"/>
  <c r="J5" i="7"/>
  <c r="C39" i="7"/>
  <c r="C33" i="7"/>
  <c r="C52" i="7"/>
  <c r="C11" i="7"/>
  <c r="C47" i="7"/>
  <c r="C48" i="7"/>
  <c r="C35" i="7"/>
  <c r="I11" i="7"/>
  <c r="F11" i="7"/>
  <c r="J3" i="7"/>
  <c r="C51" i="7"/>
  <c r="C42" i="7"/>
  <c r="I12" i="7"/>
  <c r="F10" i="7"/>
  <c r="C25" i="7"/>
  <c r="C31" i="7"/>
  <c r="I35" i="7"/>
  <c r="F35" i="7"/>
  <c r="F13" i="7"/>
  <c r="I94" i="7"/>
  <c r="J6" i="7"/>
  <c r="C16" i="7"/>
  <c r="C17" i="7" s="1"/>
  <c r="I29" i="7"/>
  <c r="I8" i="7"/>
  <c r="F89" i="7"/>
  <c r="C49" i="7"/>
  <c r="C55" i="7"/>
  <c r="C22" i="7"/>
  <c r="C91" i="7"/>
  <c r="C92" i="7"/>
  <c r="C93" i="7"/>
  <c r="C60" i="7"/>
  <c r="C45" i="7"/>
  <c r="C88" i="7"/>
  <c r="F51" i="7"/>
  <c r="F58" i="7"/>
  <c r="F94" i="7"/>
  <c r="C26" i="7"/>
  <c r="J4" i="7"/>
  <c r="C19" i="7"/>
  <c r="C44" i="7"/>
  <c r="I53" i="7"/>
  <c r="F67" i="7"/>
  <c r="C20" i="7"/>
  <c r="F105" i="7"/>
  <c r="C53" i="7"/>
  <c r="C41" i="7"/>
  <c r="C62" i="7"/>
  <c r="C13" i="7"/>
  <c r="C94" i="7"/>
  <c r="C30" i="7"/>
  <c r="C18" i="7"/>
  <c r="I51" i="7"/>
  <c r="F50" i="7"/>
  <c r="F87" i="7"/>
  <c r="C54" i="7"/>
  <c r="C87" i="7"/>
  <c r="C27" i="7"/>
  <c r="I47" i="7"/>
  <c r="I56" i="7"/>
  <c r="C32" i="7"/>
  <c r="F54" i="7"/>
  <c r="C9" i="7"/>
  <c r="C77" i="7"/>
  <c r="C28" i="7"/>
  <c r="C34" i="7"/>
  <c r="F61" i="7" l="1"/>
  <c r="F66" i="7"/>
  <c r="J8" i="7"/>
  <c r="J53" i="7"/>
  <c r="I46" i="7"/>
  <c r="J104" i="7"/>
  <c r="J65" i="7"/>
  <c r="J66" i="7" s="1"/>
  <c r="J21" i="7"/>
  <c r="J59" i="7"/>
  <c r="I91" i="7"/>
  <c r="J54" i="7"/>
  <c r="J48" i="7"/>
  <c r="J37" i="7"/>
  <c r="F91" i="7"/>
  <c r="F93" i="7"/>
  <c r="I63" i="7"/>
  <c r="F78" i="7"/>
  <c r="J55" i="7"/>
  <c r="F82" i="7"/>
  <c r="F64" i="7"/>
  <c r="I85" i="7"/>
  <c r="J20" i="7"/>
  <c r="I17" i="7"/>
  <c r="F83" i="7"/>
  <c r="F92" i="7"/>
  <c r="F85" i="7"/>
  <c r="J87" i="7"/>
  <c r="I79" i="7"/>
  <c r="J40" i="7"/>
  <c r="J27" i="7"/>
  <c r="J41" i="7"/>
  <c r="J39" i="7"/>
  <c r="J29" i="7"/>
  <c r="J34" i="7"/>
  <c r="J18" i="7"/>
  <c r="J26" i="7"/>
  <c r="J14" i="7"/>
  <c r="I92" i="7"/>
  <c r="J42" i="7"/>
  <c r="J9" i="7"/>
  <c r="J51" i="7"/>
  <c r="I84" i="7"/>
  <c r="F86" i="7"/>
  <c r="I78" i="7"/>
  <c r="I83" i="7"/>
  <c r="I80" i="7"/>
  <c r="J88" i="7"/>
  <c r="I81" i="7"/>
  <c r="F79" i="7"/>
  <c r="C76" i="7"/>
  <c r="C73" i="7"/>
  <c r="C71" i="7"/>
  <c r="C75" i="7"/>
  <c r="F84" i="7"/>
  <c r="F80" i="7"/>
  <c r="C70" i="7"/>
  <c r="I82" i="7"/>
  <c r="C74" i="7"/>
  <c r="C72" i="7"/>
  <c r="J25" i="7"/>
  <c r="J7" i="7"/>
  <c r="C68" i="7"/>
  <c r="C69" i="7"/>
  <c r="I86" i="7"/>
  <c r="J13" i="7"/>
  <c r="J36" i="7"/>
  <c r="J23" i="7"/>
  <c r="J24" i="7"/>
  <c r="J38" i="7"/>
  <c r="J105" i="7"/>
  <c r="J56" i="7"/>
  <c r="J57" i="7"/>
  <c r="J58" i="7"/>
  <c r="J12" i="7"/>
  <c r="J90" i="7"/>
  <c r="J93" i="7" s="1"/>
  <c r="J28" i="7"/>
  <c r="J44" i="7"/>
  <c r="J31" i="7"/>
  <c r="J30" i="7"/>
  <c r="J19" i="7"/>
  <c r="J47" i="7"/>
  <c r="J50" i="7"/>
  <c r="J16" i="7"/>
  <c r="J17" i="7" s="1"/>
  <c r="J32" i="7"/>
  <c r="J49" i="7"/>
  <c r="J15" i="7"/>
  <c r="J11" i="7"/>
  <c r="J67" i="7"/>
  <c r="J35" i="7"/>
  <c r="J10" i="7"/>
  <c r="J52" i="7"/>
  <c r="J89" i="7"/>
  <c r="C95" i="7"/>
  <c r="C100" i="7"/>
  <c r="C101" i="7"/>
  <c r="J94" i="7"/>
  <c r="C78" i="7"/>
  <c r="C84" i="7"/>
  <c r="C86" i="7"/>
  <c r="J77" i="7"/>
  <c r="C81" i="7"/>
  <c r="C79" i="7"/>
  <c r="C82" i="7"/>
  <c r="C85" i="7"/>
  <c r="C83" i="7"/>
  <c r="C80" i="7"/>
  <c r="J62" i="7"/>
  <c r="C63" i="7"/>
  <c r="F100" i="7"/>
  <c r="F95" i="7"/>
  <c r="F101" i="7"/>
  <c r="I101" i="7"/>
  <c r="I100" i="7"/>
  <c r="I95" i="7"/>
  <c r="C61" i="7"/>
  <c r="J60" i="7"/>
  <c r="J43" i="7"/>
  <c r="C46" i="7"/>
  <c r="J45" i="7"/>
  <c r="J22" i="7"/>
  <c r="I69" i="7"/>
  <c r="I71" i="7"/>
  <c r="I70" i="7"/>
  <c r="F72" i="7"/>
  <c r="I72" i="7"/>
  <c r="F70" i="7"/>
  <c r="F75" i="7"/>
  <c r="F69" i="7"/>
  <c r="I74" i="7"/>
  <c r="F68" i="7"/>
  <c r="F73" i="7"/>
  <c r="I73" i="7"/>
  <c r="F76" i="7"/>
  <c r="F74" i="7"/>
  <c r="I75" i="7"/>
  <c r="F71" i="7"/>
  <c r="I68" i="7"/>
  <c r="I76" i="7"/>
  <c r="J33" i="7"/>
  <c r="J81" i="7" l="1"/>
  <c r="J79" i="7"/>
  <c r="J83" i="7"/>
  <c r="J82" i="7"/>
  <c r="J61" i="7"/>
  <c r="J91" i="7"/>
  <c r="J85" i="7"/>
  <c r="J73" i="7"/>
  <c r="J92" i="7"/>
  <c r="J75" i="7"/>
  <c r="J72" i="7"/>
  <c r="J69" i="7"/>
  <c r="J74" i="7"/>
  <c r="J70" i="7"/>
  <c r="J71" i="7"/>
  <c r="J68" i="7"/>
  <c r="J100" i="7"/>
  <c r="J76" i="7"/>
  <c r="J80" i="7"/>
  <c r="J63" i="7"/>
  <c r="C64" i="7"/>
  <c r="J46" i="7"/>
  <c r="J86" i="7"/>
  <c r="J84" i="7"/>
  <c r="J78" i="7"/>
  <c r="I102" i="7"/>
  <c r="F102" i="7"/>
  <c r="J101" i="7"/>
  <c r="C102" i="7"/>
  <c r="F96" i="7"/>
  <c r="I96" i="7"/>
  <c r="J95" i="7"/>
  <c r="C96" i="7"/>
  <c r="J64" i="7" l="1"/>
  <c r="J102" i="7"/>
  <c r="C103" i="7"/>
  <c r="F103" i="7"/>
  <c r="I103" i="7"/>
  <c r="C98" i="7"/>
  <c r="C97" i="7"/>
  <c r="J96" i="7"/>
  <c r="C99" i="7"/>
  <c r="I97" i="7"/>
  <c r="F97" i="7"/>
  <c r="I99" i="7"/>
  <c r="I98" i="7"/>
  <c r="F98" i="7"/>
  <c r="F99" i="7"/>
  <c r="C5" i="8"/>
  <c r="C31" i="8" s="1"/>
  <c r="C3" i="8"/>
  <c r="J3" i="8" s="1"/>
  <c r="F4" i="8"/>
  <c r="F28" i="8" s="1"/>
  <c r="I5" i="8"/>
  <c r="F3" i="8"/>
  <c r="F7" i="8" s="1"/>
  <c r="I3" i="8"/>
  <c r="I6" i="8"/>
  <c r="I4" i="8"/>
  <c r="F6" i="8"/>
  <c r="I44" i="8" s="1"/>
  <c r="F5" i="8"/>
  <c r="F33" i="8" s="1"/>
  <c r="C6" i="8"/>
  <c r="C38" i="8" s="1"/>
  <c r="C4" i="8"/>
  <c r="C17" i="8" s="1"/>
  <c r="F9" i="8"/>
  <c r="F12" i="8"/>
  <c r="F14" i="8" s="1"/>
  <c r="J99" i="7" l="1"/>
  <c r="C11" i="8"/>
  <c r="J11" i="8" s="1"/>
  <c r="C7" i="8"/>
  <c r="J7" i="8" s="1"/>
  <c r="C9" i="8"/>
  <c r="J9" i="8" s="1"/>
  <c r="C10" i="8"/>
  <c r="J103" i="7"/>
  <c r="F20" i="8"/>
  <c r="F21" i="8" s="1"/>
  <c r="I20" i="8"/>
  <c r="I7" i="8"/>
  <c r="I9" i="8"/>
  <c r="F17" i="8"/>
  <c r="I19" i="8" s="1"/>
  <c r="F29" i="8"/>
  <c r="I10" i="8"/>
  <c r="I12" i="8"/>
  <c r="I29" i="8"/>
  <c r="I11" i="8"/>
  <c r="F11" i="8"/>
  <c r="F10" i="8"/>
  <c r="F8" i="8"/>
  <c r="I16" i="8"/>
  <c r="F27" i="8"/>
  <c r="I28" i="8"/>
  <c r="I17" i="8"/>
  <c r="I27" i="8"/>
  <c r="F40" i="8"/>
  <c r="I8" i="8"/>
  <c r="F32" i="8"/>
  <c r="I34" i="8"/>
  <c r="I32" i="8"/>
  <c r="C43" i="8"/>
  <c r="J97" i="7"/>
  <c r="J98" i="7"/>
  <c r="J6" i="8"/>
  <c r="F37" i="8"/>
  <c r="I30" i="8"/>
  <c r="I33" i="8"/>
  <c r="C28" i="8"/>
  <c r="F34" i="8"/>
  <c r="I37" i="8"/>
  <c r="F36" i="8"/>
  <c r="C33" i="8"/>
  <c r="I35" i="8"/>
  <c r="I36" i="8"/>
  <c r="C32" i="8"/>
  <c r="C30" i="8"/>
  <c r="C34" i="8"/>
  <c r="C36" i="8"/>
  <c r="C8" i="8"/>
  <c r="J8" i="8" s="1"/>
  <c r="F35" i="8"/>
  <c r="F16" i="8"/>
  <c r="F30" i="8"/>
  <c r="C35" i="8"/>
  <c r="C12" i="8"/>
  <c r="C14" i="8" s="1"/>
  <c r="C19" i="8"/>
  <c r="C18" i="8"/>
  <c r="J10" i="8"/>
  <c r="I40" i="8"/>
  <c r="C46" i="8"/>
  <c r="J4" i="8"/>
  <c r="J17" i="8" s="1"/>
  <c r="C29" i="8"/>
  <c r="F38" i="8"/>
  <c r="I42" i="8"/>
  <c r="F44" i="8"/>
  <c r="I41" i="8"/>
  <c r="F15" i="8"/>
  <c r="F47" i="8"/>
  <c r="C39" i="8"/>
  <c r="F13" i="8"/>
  <c r="C20" i="8"/>
  <c r="C42" i="8"/>
  <c r="C44" i="8"/>
  <c r="I43" i="8"/>
  <c r="F42" i="8"/>
  <c r="I45" i="8"/>
  <c r="I14" i="8"/>
  <c r="I39" i="8"/>
  <c r="F45" i="8"/>
  <c r="I15" i="8"/>
  <c r="C27" i="8"/>
  <c r="C41" i="8"/>
  <c r="I46" i="8"/>
  <c r="F31" i="8"/>
  <c r="I13" i="8"/>
  <c r="J5" i="8"/>
  <c r="C16" i="8"/>
  <c r="C47" i="8"/>
  <c r="F41" i="8"/>
  <c r="C40" i="8"/>
  <c r="C37" i="8"/>
  <c r="F43" i="8"/>
  <c r="F46" i="8"/>
  <c r="C45" i="8"/>
  <c r="I38" i="8"/>
  <c r="F39" i="8"/>
  <c r="I31" i="8"/>
  <c r="I47" i="8"/>
  <c r="I24" i="8" l="1"/>
  <c r="F24" i="8"/>
  <c r="F19" i="8"/>
  <c r="F18" i="8"/>
  <c r="J44" i="8"/>
  <c r="I18" i="8"/>
  <c r="I21" i="8"/>
  <c r="I25" i="8"/>
  <c r="J47" i="8"/>
  <c r="I22" i="8"/>
  <c r="F25" i="8"/>
  <c r="I26" i="8" s="1"/>
  <c r="F22" i="8"/>
  <c r="F23" i="8" s="1"/>
  <c r="J43" i="8"/>
  <c r="J42" i="8"/>
  <c r="J46" i="8"/>
  <c r="J40" i="8"/>
  <c r="J38" i="8"/>
  <c r="J39" i="8"/>
  <c r="J45" i="8"/>
  <c r="J34" i="8"/>
  <c r="J41" i="8"/>
  <c r="J35" i="8"/>
  <c r="J28" i="8"/>
  <c r="J12" i="8"/>
  <c r="J14" i="8" s="1"/>
  <c r="J37" i="8"/>
  <c r="J29" i="8"/>
  <c r="J16" i="8"/>
  <c r="J27" i="8"/>
  <c r="C13" i="8"/>
  <c r="C15" i="8"/>
  <c r="C21" i="8"/>
  <c r="C24" i="8"/>
  <c r="J20" i="8"/>
  <c r="C25" i="8"/>
  <c r="C22" i="8"/>
  <c r="J36" i="8"/>
  <c r="J18" i="8"/>
  <c r="J19" i="8"/>
  <c r="J30" i="8"/>
  <c r="J32" i="8"/>
  <c r="J33" i="8"/>
  <c r="J31" i="8"/>
  <c r="I23" i="8" l="1"/>
  <c r="F26" i="8"/>
  <c r="J13" i="8"/>
  <c r="J15" i="8"/>
  <c r="J24" i="8"/>
  <c r="C23" i="8"/>
  <c r="J22" i="8"/>
  <c r="J25" i="8"/>
  <c r="C26" i="8"/>
  <c r="J21" i="8"/>
  <c r="J23" i="8" l="1"/>
  <c r="J26" i="8"/>
  <c r="C4" i="9"/>
  <c r="J4" i="9" s="1"/>
  <c r="C3" i="9"/>
  <c r="J3" i="9" s="1"/>
  <c r="C5" i="9"/>
  <c r="C51" i="9" s="1"/>
  <c r="I3" i="9"/>
  <c r="I4" i="9"/>
  <c r="F4" i="9"/>
  <c r="I20" i="9" s="1"/>
  <c r="I5" i="9"/>
  <c r="F3" i="9"/>
  <c r="I8" i="9" s="1"/>
  <c r="I6" i="9"/>
  <c r="F6" i="9"/>
  <c r="I56" i="9" s="1"/>
  <c r="F5" i="9"/>
  <c r="F39" i="9" s="1"/>
  <c r="C6" i="9"/>
  <c r="C71" i="9" s="1"/>
  <c r="C9" i="9"/>
  <c r="C7" i="9"/>
  <c r="C23" i="9" l="1"/>
  <c r="C28" i="9" s="1"/>
  <c r="C8" i="9"/>
  <c r="J8" i="9" s="1"/>
  <c r="J6" i="9"/>
  <c r="J71" i="9" s="1"/>
  <c r="J7" i="9"/>
  <c r="C31" i="9"/>
  <c r="C37" i="9" s="1"/>
  <c r="I68" i="9"/>
  <c r="F76" i="9"/>
  <c r="I80" i="9" s="1"/>
  <c r="I57" i="9"/>
  <c r="I76" i="9"/>
  <c r="I71" i="9"/>
  <c r="F68" i="9"/>
  <c r="F70" i="9" s="1"/>
  <c r="C11" i="9"/>
  <c r="C19" i="9" s="1"/>
  <c r="F71" i="9"/>
  <c r="I72" i="9" s="1"/>
  <c r="C42" i="9"/>
  <c r="C47" i="9" s="1"/>
  <c r="F8" i="9"/>
  <c r="C20" i="9"/>
  <c r="C22" i="9" s="1"/>
  <c r="F31" i="9"/>
  <c r="I38" i="9" s="1"/>
  <c r="F42" i="9"/>
  <c r="I43" i="9" s="1"/>
  <c r="F56" i="9"/>
  <c r="I51" i="9"/>
  <c r="F57" i="9"/>
  <c r="F62" i="9" s="1"/>
  <c r="I7" i="9"/>
  <c r="I10" i="9"/>
  <c r="F51" i="9"/>
  <c r="F55" i="9" s="1"/>
  <c r="C68" i="9"/>
  <c r="C69" i="9" s="1"/>
  <c r="I42" i="9"/>
  <c r="C10" i="9"/>
  <c r="J10" i="9" s="1"/>
  <c r="I31" i="9"/>
  <c r="F41" i="9"/>
  <c r="I41" i="9"/>
  <c r="F40" i="9"/>
  <c r="I40" i="9"/>
  <c r="C52" i="9"/>
  <c r="C53" i="9"/>
  <c r="C55" i="9"/>
  <c r="C54" i="9"/>
  <c r="C75" i="9"/>
  <c r="C72" i="9"/>
  <c r="C73" i="9"/>
  <c r="C74" i="9"/>
  <c r="J9" i="9"/>
  <c r="C76" i="9"/>
  <c r="C32" i="9"/>
  <c r="C57" i="9"/>
  <c r="F9" i="9"/>
  <c r="C33" i="9"/>
  <c r="F23" i="9"/>
  <c r="I39" i="9"/>
  <c r="J5" i="9"/>
  <c r="J51" i="9" s="1"/>
  <c r="C56" i="9"/>
  <c r="J56" i="9" s="1"/>
  <c r="I23" i="9"/>
  <c r="I11" i="9"/>
  <c r="C39" i="9"/>
  <c r="F20" i="9"/>
  <c r="F10" i="9"/>
  <c r="F11" i="9"/>
  <c r="F7" i="9"/>
  <c r="I9" i="9"/>
  <c r="C35" i="9" l="1"/>
  <c r="C34" i="9"/>
  <c r="C36" i="9"/>
  <c r="F43" i="9"/>
  <c r="F45" i="9"/>
  <c r="F48" i="9"/>
  <c r="F47" i="9"/>
  <c r="C38" i="9"/>
  <c r="I49" i="9"/>
  <c r="I78" i="9"/>
  <c r="I81" i="9"/>
  <c r="F34" i="9"/>
  <c r="F32" i="9"/>
  <c r="I69" i="9"/>
  <c r="F69" i="9"/>
  <c r="F46" i="9"/>
  <c r="F80" i="9"/>
  <c r="F61" i="9"/>
  <c r="I48" i="9"/>
  <c r="C25" i="9"/>
  <c r="J23" i="9"/>
  <c r="J28" i="9" s="1"/>
  <c r="C14" i="9"/>
  <c r="F75" i="9"/>
  <c r="C12" i="9"/>
  <c r="F77" i="9"/>
  <c r="C24" i="9"/>
  <c r="C16" i="9"/>
  <c r="C26" i="9"/>
  <c r="C30" i="9"/>
  <c r="C49" i="9"/>
  <c r="C21" i="9"/>
  <c r="C29" i="9"/>
  <c r="I73" i="9"/>
  <c r="C27" i="9"/>
  <c r="F54" i="9"/>
  <c r="F74" i="9"/>
  <c r="F81" i="9"/>
  <c r="C50" i="9"/>
  <c r="F78" i="9"/>
  <c r="F82" i="9"/>
  <c r="F79" i="9"/>
  <c r="F37" i="9"/>
  <c r="I34" i="9"/>
  <c r="I55" i="9"/>
  <c r="I52" i="9"/>
  <c r="I36" i="9"/>
  <c r="F35" i="9"/>
  <c r="I37" i="9"/>
  <c r="F49" i="9"/>
  <c r="I44" i="9"/>
  <c r="F50" i="9"/>
  <c r="F44" i="9"/>
  <c r="I47" i="9"/>
  <c r="C45" i="9"/>
  <c r="C43" i="9"/>
  <c r="C46" i="9"/>
  <c r="C48" i="9"/>
  <c r="F72" i="9"/>
  <c r="F73" i="9"/>
  <c r="I75" i="9"/>
  <c r="C17" i="9"/>
  <c r="C15" i="9"/>
  <c r="C18" i="9"/>
  <c r="I50" i="9"/>
  <c r="I46" i="9"/>
  <c r="I33" i="9"/>
  <c r="J20" i="9"/>
  <c r="J22" i="9" s="1"/>
  <c r="F33" i="9"/>
  <c r="I32" i="9"/>
  <c r="I35" i="9"/>
  <c r="F53" i="9"/>
  <c r="F36" i="9"/>
  <c r="I74" i="9"/>
  <c r="I70" i="9"/>
  <c r="C13" i="9"/>
  <c r="J11" i="9"/>
  <c r="I77" i="9"/>
  <c r="I82" i="9"/>
  <c r="I79" i="9"/>
  <c r="F38" i="9"/>
  <c r="C44" i="9"/>
  <c r="I45" i="9"/>
  <c r="I61" i="9"/>
  <c r="I66" i="9"/>
  <c r="I65" i="9"/>
  <c r="I62" i="9"/>
  <c r="J54" i="9"/>
  <c r="I58" i="9"/>
  <c r="J55" i="9"/>
  <c r="F58" i="9"/>
  <c r="J42" i="9"/>
  <c r="J47" i="9" s="1"/>
  <c r="J31" i="9"/>
  <c r="J37" i="9" s="1"/>
  <c r="J68" i="9"/>
  <c r="J69" i="9" s="1"/>
  <c r="C70" i="9"/>
  <c r="I59" i="9"/>
  <c r="F65" i="9"/>
  <c r="I67" i="9"/>
  <c r="I63" i="9"/>
  <c r="F64" i="9"/>
  <c r="F66" i="9"/>
  <c r="F59" i="9"/>
  <c r="F60" i="9"/>
  <c r="I64" i="9"/>
  <c r="I53" i="9"/>
  <c r="F52" i="9"/>
  <c r="I54" i="9"/>
  <c r="I60" i="9"/>
  <c r="F67" i="9"/>
  <c r="F63" i="9"/>
  <c r="F22" i="9"/>
  <c r="I22" i="9"/>
  <c r="F21" i="9"/>
  <c r="I21" i="9"/>
  <c r="J72" i="9"/>
  <c r="J75" i="9"/>
  <c r="C63" i="9"/>
  <c r="C61" i="9"/>
  <c r="C59" i="9"/>
  <c r="C62" i="9"/>
  <c r="C66" i="9"/>
  <c r="C67" i="9"/>
  <c r="C64" i="9"/>
  <c r="C58" i="9"/>
  <c r="J57" i="9"/>
  <c r="C65" i="9"/>
  <c r="C60" i="9"/>
  <c r="I24" i="9"/>
  <c r="F24" i="9"/>
  <c r="F29" i="9"/>
  <c r="I30" i="9"/>
  <c r="F30" i="9"/>
  <c r="F28" i="9"/>
  <c r="I27" i="9"/>
  <c r="I26" i="9"/>
  <c r="I25" i="9"/>
  <c r="F26" i="9"/>
  <c r="F27" i="9"/>
  <c r="F25" i="9"/>
  <c r="I29" i="9"/>
  <c r="I28" i="9"/>
  <c r="C78" i="9"/>
  <c r="C81" i="9"/>
  <c r="C79" i="9"/>
  <c r="C80" i="9"/>
  <c r="J76" i="9"/>
  <c r="C77" i="9"/>
  <c r="C82" i="9"/>
  <c r="J39" i="9"/>
  <c r="C40" i="9"/>
  <c r="C41" i="9"/>
  <c r="J53" i="9"/>
  <c r="J52" i="9"/>
  <c r="I12" i="9"/>
  <c r="I14" i="9"/>
  <c r="F12" i="9"/>
  <c r="F17" i="9"/>
  <c r="F19" i="9"/>
  <c r="I15" i="9"/>
  <c r="I18" i="9"/>
  <c r="F16" i="9"/>
  <c r="F13" i="9"/>
  <c r="F15" i="9"/>
  <c r="I16" i="9"/>
  <c r="F14" i="9"/>
  <c r="I17" i="9"/>
  <c r="I13" i="9"/>
  <c r="I19" i="9"/>
  <c r="F18" i="9"/>
  <c r="J74" i="9"/>
  <c r="J73" i="9"/>
  <c r="J24" i="9" l="1"/>
  <c r="J17" i="9"/>
  <c r="J29" i="9"/>
  <c r="J30" i="9"/>
  <c r="J26" i="9"/>
  <c r="J25" i="9"/>
  <c r="J27" i="9"/>
  <c r="J40" i="9"/>
  <c r="J15" i="9"/>
  <c r="J80" i="9"/>
  <c r="J65" i="9"/>
  <c r="J18" i="9"/>
  <c r="J13" i="9"/>
  <c r="J21" i="9"/>
  <c r="J12" i="9"/>
  <c r="J16" i="9"/>
  <c r="J19" i="9"/>
  <c r="J70" i="9"/>
  <c r="J14" i="9"/>
  <c r="J38" i="9"/>
  <c r="J79" i="9"/>
  <c r="J34" i="9"/>
  <c r="J44" i="9"/>
  <c r="J49" i="9"/>
  <c r="J77" i="9"/>
  <c r="J36" i="9"/>
  <c r="J43" i="9"/>
  <c r="J45" i="9"/>
  <c r="J46" i="9"/>
  <c r="J35" i="9"/>
  <c r="J32" i="9"/>
  <c r="J82" i="9"/>
  <c r="J33" i="9"/>
  <c r="J50" i="9"/>
  <c r="J48" i="9"/>
  <c r="J41" i="9"/>
  <c r="J58" i="9"/>
  <c r="J64" i="9"/>
  <c r="J67" i="9"/>
  <c r="J66" i="9"/>
  <c r="J62" i="9"/>
  <c r="J59" i="9"/>
  <c r="J61" i="9"/>
  <c r="J63" i="9"/>
  <c r="J81" i="9"/>
  <c r="J78" i="9"/>
  <c r="J60" i="9"/>
  <c r="C4" i="10"/>
  <c r="C45" i="10" s="1"/>
  <c r="C5" i="10"/>
  <c r="C76" i="10" s="1"/>
  <c r="C3" i="10"/>
  <c r="C22" i="10" s="1"/>
  <c r="F5" i="10"/>
  <c r="I66" i="10" s="1"/>
  <c r="F3" i="10"/>
  <c r="I11" i="10" s="1"/>
  <c r="F4" i="10"/>
  <c r="F45" i="10" s="1"/>
  <c r="I4" i="10"/>
  <c r="I6" i="10"/>
  <c r="I5" i="10"/>
  <c r="I7" i="10"/>
  <c r="I3" i="10"/>
  <c r="F6" i="10"/>
  <c r="I94" i="10" s="1"/>
  <c r="F7" i="10"/>
  <c r="F103" i="10" s="1"/>
  <c r="C6" i="10"/>
  <c r="C84" i="10" s="1"/>
  <c r="C7" i="10"/>
  <c r="C103" i="10" s="1"/>
  <c r="C23" i="10" l="1"/>
  <c r="C25" i="10" s="1"/>
  <c r="I17" i="10"/>
  <c r="F11" i="10"/>
  <c r="I12" i="10"/>
  <c r="C16" i="10"/>
  <c r="F18" i="10"/>
  <c r="I19" i="10" s="1"/>
  <c r="I9" i="10"/>
  <c r="I22" i="10"/>
  <c r="I103" i="10"/>
  <c r="I81" i="10"/>
  <c r="F83" i="10"/>
  <c r="F102" i="10"/>
  <c r="I82" i="10"/>
  <c r="I102" i="10"/>
  <c r="F85" i="10"/>
  <c r="I90" i="10" s="1"/>
  <c r="F66" i="10"/>
  <c r="F67" i="10" s="1"/>
  <c r="I72" i="10" s="1"/>
  <c r="C26" i="10"/>
  <c r="C31" i="10" s="1"/>
  <c r="I79" i="10"/>
  <c r="I54" i="10"/>
  <c r="I76" i="10"/>
  <c r="F54" i="10"/>
  <c r="C34" i="10"/>
  <c r="C37" i="10" s="1"/>
  <c r="I56" i="10"/>
  <c r="C13" i="10"/>
  <c r="F56" i="10"/>
  <c r="I58" i="10" s="1"/>
  <c r="F76" i="10"/>
  <c r="I47" i="10"/>
  <c r="I51" i="10"/>
  <c r="F50" i="10"/>
  <c r="I49" i="10"/>
  <c r="F49" i="10"/>
  <c r="I46" i="10"/>
  <c r="I52" i="10"/>
  <c r="F47" i="10"/>
  <c r="F46" i="10"/>
  <c r="I53" i="10"/>
  <c r="F48" i="10"/>
  <c r="F51" i="10"/>
  <c r="I50" i="10"/>
  <c r="F53" i="10"/>
  <c r="F52" i="10"/>
  <c r="I48" i="10"/>
  <c r="C49" i="10"/>
  <c r="C47" i="10"/>
  <c r="C53" i="10"/>
  <c r="C48" i="10"/>
  <c r="C52" i="10"/>
  <c r="C50" i="10"/>
  <c r="C51" i="10"/>
  <c r="C46" i="10"/>
  <c r="J5" i="10"/>
  <c r="J76" i="10" s="1"/>
  <c r="C78" i="10"/>
  <c r="F23" i="10"/>
  <c r="C85" i="10"/>
  <c r="C77" i="10"/>
  <c r="C64" i="10"/>
  <c r="C65" i="10"/>
  <c r="C12" i="10"/>
  <c r="F16" i="10"/>
  <c r="I84" i="10"/>
  <c r="I13" i="10"/>
  <c r="J7" i="10"/>
  <c r="J103" i="10" s="1"/>
  <c r="I77" i="10"/>
  <c r="I10" i="10"/>
  <c r="I16" i="10"/>
  <c r="F55" i="10"/>
  <c r="C102" i="10"/>
  <c r="C80" i="10"/>
  <c r="C17" i="10"/>
  <c r="F84" i="10"/>
  <c r="I15" i="10"/>
  <c r="I8" i="10"/>
  <c r="C81" i="10"/>
  <c r="F9" i="10"/>
  <c r="J6" i="10"/>
  <c r="J84" i="10" s="1"/>
  <c r="C11" i="10"/>
  <c r="F22" i="10"/>
  <c r="F81" i="10"/>
  <c r="F13" i="10"/>
  <c r="C10" i="10"/>
  <c r="I65" i="10"/>
  <c r="I26" i="10"/>
  <c r="C15" i="10"/>
  <c r="C55" i="10"/>
  <c r="C82" i="10"/>
  <c r="C18" i="10"/>
  <c r="C8" i="10"/>
  <c r="I83" i="10"/>
  <c r="F14" i="10"/>
  <c r="C66" i="10"/>
  <c r="I64" i="10"/>
  <c r="F8" i="10"/>
  <c r="J4" i="10"/>
  <c r="F34" i="10"/>
  <c r="C94" i="10"/>
  <c r="F17" i="10"/>
  <c r="I23" i="10"/>
  <c r="C83" i="10"/>
  <c r="C79" i="10"/>
  <c r="C14" i="10"/>
  <c r="F78" i="10"/>
  <c r="I85" i="10"/>
  <c r="I18" i="10"/>
  <c r="F64" i="10"/>
  <c r="F26" i="10"/>
  <c r="C56" i="10"/>
  <c r="F80" i="10"/>
  <c r="C9" i="10"/>
  <c r="C54" i="10"/>
  <c r="F10" i="10"/>
  <c r="F77" i="10"/>
  <c r="F12" i="10"/>
  <c r="I55" i="10"/>
  <c r="I34" i="10"/>
  <c r="F15" i="10"/>
  <c r="I45" i="10"/>
  <c r="F79" i="10"/>
  <c r="I14" i="10"/>
  <c r="F65" i="10"/>
  <c r="F82" i="10"/>
  <c r="F94" i="10"/>
  <c r="I78" i="10"/>
  <c r="I80" i="10"/>
  <c r="C28" i="10"/>
  <c r="J3" i="10"/>
  <c r="C35" i="10" l="1"/>
  <c r="J16" i="10"/>
  <c r="C42" i="10"/>
  <c r="J54" i="10"/>
  <c r="C24" i="10"/>
  <c r="C33" i="10"/>
  <c r="C30" i="10"/>
  <c r="C32" i="10"/>
  <c r="J8" i="10"/>
  <c r="F93" i="10"/>
  <c r="I87" i="10"/>
  <c r="I91" i="10"/>
  <c r="F92" i="10"/>
  <c r="F86" i="10"/>
  <c r="I89" i="10"/>
  <c r="I86" i="10"/>
  <c r="F89" i="10"/>
  <c r="F59" i="10"/>
  <c r="J34" i="10"/>
  <c r="J42" i="10" s="1"/>
  <c r="I61" i="10"/>
  <c r="F63" i="10"/>
  <c r="I93" i="10"/>
  <c r="F19" i="10"/>
  <c r="F20" i="10" s="1"/>
  <c r="F58" i="10"/>
  <c r="F87" i="10"/>
  <c r="F90" i="10"/>
  <c r="I88" i="10"/>
  <c r="F61" i="10"/>
  <c r="J9" i="10"/>
  <c r="I69" i="10"/>
  <c r="F70" i="10"/>
  <c r="F72" i="10"/>
  <c r="I57" i="10"/>
  <c r="F60" i="10"/>
  <c r="F71" i="10"/>
  <c r="F68" i="10"/>
  <c r="I67" i="10"/>
  <c r="I73" i="10"/>
  <c r="F73" i="10"/>
  <c r="I92" i="10"/>
  <c r="I70" i="10"/>
  <c r="C29" i="10"/>
  <c r="C27" i="10"/>
  <c r="F69" i="10"/>
  <c r="C39" i="10"/>
  <c r="C41" i="10"/>
  <c r="C38" i="10"/>
  <c r="C40" i="10"/>
  <c r="C36" i="10"/>
  <c r="C43" i="10"/>
  <c r="C44" i="10" s="1"/>
  <c r="J14" i="10"/>
  <c r="J11" i="10"/>
  <c r="J79" i="10"/>
  <c r="I75" i="10"/>
  <c r="J55" i="10"/>
  <c r="J83" i="10"/>
  <c r="F88" i="10"/>
  <c r="F91" i="10"/>
  <c r="F75" i="10"/>
  <c r="I71" i="10"/>
  <c r="I68" i="10"/>
  <c r="J65" i="10"/>
  <c r="J13" i="10"/>
  <c r="I74" i="10"/>
  <c r="J64" i="10"/>
  <c r="F74" i="10"/>
  <c r="J80" i="10"/>
  <c r="J77" i="10"/>
  <c r="F62" i="10"/>
  <c r="I59" i="10"/>
  <c r="I63" i="10"/>
  <c r="F57" i="10"/>
  <c r="I60" i="10"/>
  <c r="I62" i="10"/>
  <c r="J102" i="10"/>
  <c r="I95" i="10"/>
  <c r="F95" i="10"/>
  <c r="J10" i="10"/>
  <c r="J17" i="10"/>
  <c r="J12" i="10"/>
  <c r="J45" i="10"/>
  <c r="J48" i="10" s="1"/>
  <c r="J66" i="10"/>
  <c r="C67" i="10"/>
  <c r="C89" i="10"/>
  <c r="C92" i="10"/>
  <c r="C87" i="10"/>
  <c r="C93" i="10"/>
  <c r="C86" i="10"/>
  <c r="C90" i="10"/>
  <c r="J85" i="10"/>
  <c r="C91" i="10"/>
  <c r="C88" i="10"/>
  <c r="J26" i="10"/>
  <c r="F24" i="10"/>
  <c r="I25" i="10"/>
  <c r="F25" i="10"/>
  <c r="I24" i="10"/>
  <c r="J78" i="10"/>
  <c r="J22" i="10"/>
  <c r="C19" i="10"/>
  <c r="J18" i="10"/>
  <c r="J82" i="10"/>
  <c r="J81" i="10"/>
  <c r="J23" i="10"/>
  <c r="J56" i="10"/>
  <c r="C62" i="10"/>
  <c r="C63" i="10"/>
  <c r="C58" i="10"/>
  <c r="C59" i="10"/>
  <c r="C61" i="10"/>
  <c r="C60" i="10"/>
  <c r="C57" i="10"/>
  <c r="J15" i="10"/>
  <c r="I29" i="10"/>
  <c r="F27" i="10"/>
  <c r="F32" i="10"/>
  <c r="I28" i="10"/>
  <c r="I27" i="10"/>
  <c r="F30" i="10"/>
  <c r="F28" i="10"/>
  <c r="F31" i="10"/>
  <c r="I31" i="10"/>
  <c r="I33" i="10"/>
  <c r="F33" i="10"/>
  <c r="I32" i="10"/>
  <c r="F29" i="10"/>
  <c r="I30" i="10"/>
  <c r="C95" i="10"/>
  <c r="J94" i="10"/>
  <c r="I37" i="10"/>
  <c r="F42" i="10"/>
  <c r="F38" i="10"/>
  <c r="F36" i="10"/>
  <c r="F39" i="10"/>
  <c r="F41" i="10"/>
  <c r="I43" i="10"/>
  <c r="I36" i="10"/>
  <c r="I38" i="10"/>
  <c r="I41" i="10"/>
  <c r="F35" i="10"/>
  <c r="I42" i="10"/>
  <c r="F40" i="10"/>
  <c r="F43" i="10"/>
  <c r="I39" i="10"/>
  <c r="I35" i="10"/>
  <c r="F37" i="10"/>
  <c r="I40" i="10"/>
  <c r="J32" i="10" l="1"/>
  <c r="J51" i="10"/>
  <c r="J35" i="10"/>
  <c r="J36" i="10"/>
  <c r="J40" i="10"/>
  <c r="I20" i="10"/>
  <c r="I21" i="10"/>
  <c r="J37" i="10"/>
  <c r="J41" i="10"/>
  <c r="F21" i="10"/>
  <c r="J38" i="10"/>
  <c r="J39" i="10"/>
  <c r="J50" i="10"/>
  <c r="J90" i="10"/>
  <c r="J58" i="10"/>
  <c r="J62" i="10"/>
  <c r="J91" i="10"/>
  <c r="J63" i="10"/>
  <c r="J88" i="10"/>
  <c r="J43" i="10"/>
  <c r="J44" i="10" s="1"/>
  <c r="J61" i="10"/>
  <c r="J59" i="10"/>
  <c r="J86" i="10"/>
  <c r="J27" i="10"/>
  <c r="J93" i="10"/>
  <c r="J28" i="10"/>
  <c r="J87" i="10"/>
  <c r="J52" i="10"/>
  <c r="J92" i="10"/>
  <c r="J89" i="10"/>
  <c r="J29" i="10"/>
  <c r="J49" i="10"/>
  <c r="J47" i="10"/>
  <c r="J46" i="10"/>
  <c r="J53" i="10"/>
  <c r="J57" i="10"/>
  <c r="J60" i="10"/>
  <c r="J24" i="10"/>
  <c r="J25" i="10"/>
  <c r="I101" i="10"/>
  <c r="F100" i="10"/>
  <c r="I100" i="10"/>
  <c r="F96" i="10"/>
  <c r="I96" i="10"/>
  <c r="F101" i="10"/>
  <c r="F44" i="10"/>
  <c r="I44" i="10"/>
  <c r="J95" i="10"/>
  <c r="C96" i="10"/>
  <c r="C100" i="10"/>
  <c r="C101" i="10"/>
  <c r="C21" i="10"/>
  <c r="C20" i="10"/>
  <c r="J19" i="10"/>
  <c r="C74" i="10"/>
  <c r="C75" i="10"/>
  <c r="C68" i="10"/>
  <c r="C72" i="10"/>
  <c r="C73" i="10"/>
  <c r="C69" i="10"/>
  <c r="J67" i="10"/>
  <c r="C70" i="10"/>
  <c r="C71" i="10"/>
  <c r="J71" i="10" s="1"/>
  <c r="J31" i="10"/>
  <c r="J33" i="10"/>
  <c r="J30" i="10"/>
  <c r="J70" i="10" l="1"/>
  <c r="J101" i="10"/>
  <c r="J100" i="10"/>
  <c r="J21" i="10"/>
  <c r="J20" i="10"/>
  <c r="J96" i="10"/>
  <c r="C98" i="10"/>
  <c r="J98" i="10" s="1"/>
  <c r="C99" i="10"/>
  <c r="C97" i="10"/>
  <c r="J73" i="10"/>
  <c r="I97" i="10"/>
  <c r="I98" i="10"/>
  <c r="F98" i="10"/>
  <c r="F97" i="10"/>
  <c r="F99" i="10"/>
  <c r="I99" i="10"/>
  <c r="J72" i="10"/>
  <c r="J69" i="10"/>
  <c r="J75" i="10"/>
  <c r="J74" i="10"/>
  <c r="J68" i="10"/>
  <c r="J97" i="10" l="1"/>
  <c r="J99" i="10"/>
  <c r="E2" i="11"/>
  <c r="F6" i="11" l="1"/>
  <c r="F86" i="11" s="1"/>
  <c r="I88" i="11" s="1"/>
  <c r="AI2" i="11"/>
  <c r="I3" i="11"/>
  <c r="I5" i="11"/>
  <c r="F9" i="11"/>
  <c r="I163" i="11" s="1"/>
  <c r="I6" i="11"/>
  <c r="I7" i="11"/>
  <c r="C5" i="11"/>
  <c r="C68" i="11" s="1"/>
  <c r="C8" i="11"/>
  <c r="J8" i="11" s="1"/>
  <c r="I8" i="11"/>
  <c r="A5" i="13"/>
  <c r="E5" i="13" s="1"/>
  <c r="X5" i="13" s="1"/>
  <c r="A21" i="13"/>
  <c r="E21" i="13" s="1"/>
  <c r="X21" i="13" s="1"/>
  <c r="A37" i="13"/>
  <c r="E37" i="13" s="1"/>
  <c r="X37" i="13" s="1"/>
  <c r="A53" i="13"/>
  <c r="E53" i="13" s="1"/>
  <c r="X53" i="13" s="1"/>
  <c r="A69" i="13"/>
  <c r="E69" i="13" s="1"/>
  <c r="X69" i="13" s="1"/>
  <c r="A85" i="13"/>
  <c r="E85" i="13" s="1"/>
  <c r="X85" i="13" s="1"/>
  <c r="A14" i="13"/>
  <c r="E14" i="13" s="1"/>
  <c r="X14" i="13" s="1"/>
  <c r="A31" i="13"/>
  <c r="E31" i="13" s="1"/>
  <c r="X31" i="13" s="1"/>
  <c r="A48" i="13"/>
  <c r="E48" i="13" s="1"/>
  <c r="X48" i="13" s="1"/>
  <c r="A65" i="13"/>
  <c r="E65" i="13" s="1"/>
  <c r="X65" i="13" s="1"/>
  <c r="A82" i="13"/>
  <c r="E82" i="13" s="1"/>
  <c r="X82" i="13" s="1"/>
  <c r="A15" i="13"/>
  <c r="E15" i="13" s="1"/>
  <c r="X15" i="13" s="1"/>
  <c r="A32" i="13"/>
  <c r="E32" i="13" s="1"/>
  <c r="X32" i="13" s="1"/>
  <c r="A49" i="13"/>
  <c r="E49" i="13" s="1"/>
  <c r="X49" i="13" s="1"/>
  <c r="A66" i="13"/>
  <c r="E66" i="13" s="1"/>
  <c r="X66" i="13" s="1"/>
  <c r="A83" i="13"/>
  <c r="E83" i="13" s="1"/>
  <c r="X83" i="13" s="1"/>
  <c r="A16" i="13"/>
  <c r="E16" i="13" s="1"/>
  <c r="X16" i="13" s="1"/>
  <c r="A33" i="13"/>
  <c r="E33" i="13" s="1"/>
  <c r="X33" i="13" s="1"/>
  <c r="A50" i="13"/>
  <c r="E50" i="13" s="1"/>
  <c r="X50" i="13" s="1"/>
  <c r="A67" i="13"/>
  <c r="E67" i="13" s="1"/>
  <c r="X67" i="13" s="1"/>
  <c r="A84" i="13"/>
  <c r="E84" i="13" s="1"/>
  <c r="X84" i="13" s="1"/>
  <c r="A17" i="13"/>
  <c r="E17" i="13" s="1"/>
  <c r="X17" i="13" s="1"/>
  <c r="A34" i="13"/>
  <c r="E34" i="13" s="1"/>
  <c r="X34" i="13" s="1"/>
  <c r="A51" i="13"/>
  <c r="E51" i="13" s="1"/>
  <c r="X51" i="13" s="1"/>
  <c r="A68" i="13"/>
  <c r="E68" i="13" s="1"/>
  <c r="X68" i="13" s="1"/>
  <c r="A86" i="13"/>
  <c r="E86" i="13" s="1"/>
  <c r="X86" i="13" s="1"/>
  <c r="A18" i="13"/>
  <c r="E18" i="13" s="1"/>
  <c r="X18" i="13" s="1"/>
  <c r="A35" i="13"/>
  <c r="E35" i="13" s="1"/>
  <c r="X35" i="13" s="1"/>
  <c r="A52" i="13"/>
  <c r="E52" i="13" s="1"/>
  <c r="X52" i="13" s="1"/>
  <c r="A70" i="13"/>
  <c r="E70" i="13" s="1"/>
  <c r="X70" i="13" s="1"/>
  <c r="A87" i="13"/>
  <c r="E87" i="13" s="1"/>
  <c r="X87" i="13" s="1"/>
  <c r="A8" i="13"/>
  <c r="E8" i="13" s="1"/>
  <c r="X8" i="13" s="1"/>
  <c r="A26" i="13"/>
  <c r="E26" i="13" s="1"/>
  <c r="X26" i="13" s="1"/>
  <c r="A54" i="13"/>
  <c r="E54" i="13" s="1"/>
  <c r="X54" i="13" s="1"/>
  <c r="A76" i="13"/>
  <c r="E76" i="13" s="1"/>
  <c r="X76" i="13" s="1"/>
  <c r="A2" i="13"/>
  <c r="E2" i="13" s="1"/>
  <c r="X2" i="13" s="1"/>
  <c r="A55" i="13"/>
  <c r="E55" i="13" s="1"/>
  <c r="X55" i="13" s="1"/>
  <c r="A3" i="13"/>
  <c r="E3" i="13" s="1"/>
  <c r="X3" i="13" s="1"/>
  <c r="A27" i="13"/>
  <c r="E27" i="13" s="1"/>
  <c r="X27" i="13" s="1"/>
  <c r="A77" i="13"/>
  <c r="E77" i="13" s="1"/>
  <c r="X77" i="13" s="1"/>
  <c r="A6" i="13"/>
  <c r="E6" i="13" s="1"/>
  <c r="X6" i="13" s="1"/>
  <c r="A4" i="13"/>
  <c r="E4" i="13" s="1"/>
  <c r="X4" i="13" s="1"/>
  <c r="A28" i="13"/>
  <c r="E28" i="13" s="1"/>
  <c r="X28" i="13" s="1"/>
  <c r="A56" i="13"/>
  <c r="E56" i="13" s="1"/>
  <c r="X56" i="13" s="1"/>
  <c r="A78" i="13"/>
  <c r="E78" i="13" s="1"/>
  <c r="X78" i="13" s="1"/>
  <c r="A29" i="13"/>
  <c r="E29" i="13" s="1"/>
  <c r="X29" i="13" s="1"/>
  <c r="A57" i="13"/>
  <c r="E57" i="13" s="1"/>
  <c r="X57" i="13" s="1"/>
  <c r="A79" i="13"/>
  <c r="E79" i="13" s="1"/>
  <c r="X79" i="13" s="1"/>
  <c r="A7" i="13"/>
  <c r="E7" i="13" s="1"/>
  <c r="X7" i="13" s="1"/>
  <c r="A30" i="13"/>
  <c r="E30" i="13" s="1"/>
  <c r="X30" i="13" s="1"/>
  <c r="A58" i="13"/>
  <c r="E58" i="13" s="1"/>
  <c r="X58" i="13" s="1"/>
  <c r="A80" i="13"/>
  <c r="E80" i="13" s="1"/>
  <c r="X80" i="13" s="1"/>
  <c r="A36" i="13"/>
  <c r="E36" i="13" s="1"/>
  <c r="X36" i="13" s="1"/>
  <c r="A59" i="13"/>
  <c r="E59" i="13" s="1"/>
  <c r="X59" i="13" s="1"/>
  <c r="A13" i="13"/>
  <c r="E13" i="13" s="1"/>
  <c r="X13" i="13" s="1"/>
  <c r="A47" i="13"/>
  <c r="E47" i="13" s="1"/>
  <c r="X47" i="13" s="1"/>
  <c r="A92" i="13"/>
  <c r="E92" i="13" s="1"/>
  <c r="X92" i="13" s="1"/>
  <c r="A72" i="13"/>
  <c r="E72" i="13" s="1"/>
  <c r="X72" i="13" s="1"/>
  <c r="A73" i="13"/>
  <c r="E73" i="13" s="1"/>
  <c r="X73" i="13" s="1"/>
  <c r="A74" i="13"/>
  <c r="E74" i="13" s="1"/>
  <c r="X74" i="13" s="1"/>
  <c r="A75" i="13"/>
  <c r="E75" i="13" s="1"/>
  <c r="X75" i="13" s="1"/>
  <c r="A19" i="13"/>
  <c r="E19" i="13" s="1"/>
  <c r="X19" i="13" s="1"/>
  <c r="A60" i="13"/>
  <c r="E60" i="13" s="1"/>
  <c r="X60" i="13" s="1"/>
  <c r="A93" i="13"/>
  <c r="E93" i="13" s="1"/>
  <c r="X93" i="13" s="1"/>
  <c r="A20" i="13"/>
  <c r="E20" i="13" s="1"/>
  <c r="X20" i="13" s="1"/>
  <c r="A61" i="13"/>
  <c r="E61" i="13" s="1"/>
  <c r="X61" i="13" s="1"/>
  <c r="A25" i="13"/>
  <c r="E25" i="13" s="1"/>
  <c r="X25" i="13" s="1"/>
  <c r="A38" i="13"/>
  <c r="E38" i="13" s="1"/>
  <c r="X38" i="13" s="1"/>
  <c r="A40" i="13"/>
  <c r="E40" i="13" s="1"/>
  <c r="X40" i="13" s="1"/>
  <c r="A94" i="13"/>
  <c r="E94" i="13" s="1"/>
  <c r="X94" i="13" s="1"/>
  <c r="A22" i="13"/>
  <c r="E22" i="13" s="1"/>
  <c r="X22" i="13" s="1"/>
  <c r="A62" i="13"/>
  <c r="E62" i="13" s="1"/>
  <c r="X62" i="13" s="1"/>
  <c r="A95" i="13"/>
  <c r="E95" i="13" s="1"/>
  <c r="X95" i="13" s="1"/>
  <c r="A23" i="13"/>
  <c r="E23" i="13" s="1"/>
  <c r="X23" i="13" s="1"/>
  <c r="A63" i="13"/>
  <c r="E63" i="13" s="1"/>
  <c r="X63" i="13" s="1"/>
  <c r="A96" i="13"/>
  <c r="E96" i="13" s="1"/>
  <c r="X96" i="13" s="1"/>
  <c r="A71" i="13"/>
  <c r="E71" i="13" s="1"/>
  <c r="X71" i="13" s="1"/>
  <c r="A39" i="13"/>
  <c r="E39" i="13" s="1"/>
  <c r="X39" i="13" s="1"/>
  <c r="A41" i="13"/>
  <c r="E41" i="13" s="1"/>
  <c r="X41" i="13" s="1"/>
  <c r="A24" i="13"/>
  <c r="E24" i="13" s="1"/>
  <c r="X24" i="13" s="1"/>
  <c r="A64" i="13"/>
  <c r="E64" i="13" s="1"/>
  <c r="X64" i="13" s="1"/>
  <c r="A97" i="13"/>
  <c r="E97" i="13" s="1"/>
  <c r="X97" i="13" s="1"/>
  <c r="A81" i="13"/>
  <c r="E81" i="13" s="1"/>
  <c r="X81" i="13" s="1"/>
  <c r="A46" i="13"/>
  <c r="E46" i="13" s="1"/>
  <c r="X46" i="13" s="1"/>
  <c r="A88" i="13"/>
  <c r="E88" i="13" s="1"/>
  <c r="X88" i="13" s="1"/>
  <c r="A89" i="13"/>
  <c r="E89" i="13" s="1"/>
  <c r="X89" i="13" s="1"/>
  <c r="A43" i="13"/>
  <c r="E43" i="13" s="1"/>
  <c r="X43" i="13" s="1"/>
  <c r="A90" i="13"/>
  <c r="E90" i="13" s="1"/>
  <c r="X90" i="13" s="1"/>
  <c r="A10" i="13"/>
  <c r="E10" i="13" s="1"/>
  <c r="X10" i="13" s="1"/>
  <c r="A91" i="13"/>
  <c r="E91" i="13" s="1"/>
  <c r="X91" i="13" s="1"/>
  <c r="A9" i="13"/>
  <c r="E9" i="13" s="1"/>
  <c r="X9" i="13" s="1"/>
  <c r="A42" i="13"/>
  <c r="E42" i="13" s="1"/>
  <c r="X42" i="13" s="1"/>
  <c r="A12" i="13"/>
  <c r="E12" i="13" s="1"/>
  <c r="X12" i="13" s="1"/>
  <c r="A44" i="13"/>
  <c r="E44" i="13" s="1"/>
  <c r="X44" i="13" s="1"/>
  <c r="A45" i="13"/>
  <c r="E45" i="13" s="1"/>
  <c r="X45" i="13" s="1"/>
  <c r="A11" i="13"/>
  <c r="E11" i="13" s="1"/>
  <c r="X11" i="13" s="1"/>
  <c r="F5" i="11"/>
  <c r="F66" i="11" s="1"/>
  <c r="F176" i="11"/>
  <c r="I165" i="11"/>
  <c r="F177" i="11"/>
  <c r="I166" i="11"/>
  <c r="F164" i="11"/>
  <c r="F175" i="11"/>
  <c r="F178" i="11"/>
  <c r="C6" i="11"/>
  <c r="C89" i="11" s="1"/>
  <c r="F180" i="11"/>
  <c r="I178" i="11"/>
  <c r="C9" i="11"/>
  <c r="C170" i="11" s="1"/>
  <c r="F4" i="11"/>
  <c r="F63" i="11" s="1"/>
  <c r="F7" i="11"/>
  <c r="F99" i="11" s="1"/>
  <c r="F147" i="11"/>
  <c r="I157" i="11" s="1"/>
  <c r="I171" i="11"/>
  <c r="I179" i="11"/>
  <c r="C3" i="11"/>
  <c r="C18" i="11" s="1"/>
  <c r="I176" i="11"/>
  <c r="I168" i="11"/>
  <c r="I2" i="11"/>
  <c r="I4" i="11"/>
  <c r="F3" i="11"/>
  <c r="F22" i="11" s="1"/>
  <c r="I9" i="11"/>
  <c r="I177" i="11"/>
  <c r="F171" i="11"/>
  <c r="F170" i="11"/>
  <c r="I175" i="11"/>
  <c r="C4" i="11"/>
  <c r="C47" i="11" s="1"/>
  <c r="I180" i="11"/>
  <c r="F8" i="11"/>
  <c r="I103" i="11" s="1"/>
  <c r="F179" i="11"/>
  <c r="F173" i="11"/>
  <c r="C7" i="11"/>
  <c r="C99" i="11" s="1"/>
  <c r="I167" i="11" l="1"/>
  <c r="I170" i="11"/>
  <c r="F162" i="11"/>
  <c r="I160" i="11"/>
  <c r="I162" i="11"/>
  <c r="I161" i="11"/>
  <c r="F160" i="11"/>
  <c r="F163" i="11"/>
  <c r="F169" i="11"/>
  <c r="I169" i="11"/>
  <c r="I147" i="11"/>
  <c r="I174" i="11"/>
  <c r="I173" i="11"/>
  <c r="F165" i="11"/>
  <c r="C65" i="11"/>
  <c r="F90" i="11"/>
  <c r="I91" i="11" s="1"/>
  <c r="I79" i="11"/>
  <c r="I89" i="11"/>
  <c r="I86" i="11"/>
  <c r="F79" i="11"/>
  <c r="F81" i="11" s="1"/>
  <c r="F89" i="11"/>
  <c r="I93" i="11"/>
  <c r="I90" i="11"/>
  <c r="F95" i="11"/>
  <c r="I98" i="11" s="1"/>
  <c r="I95" i="11"/>
  <c r="F93" i="11"/>
  <c r="I94" i="11" s="1"/>
  <c r="C64" i="11"/>
  <c r="J5" i="11"/>
  <c r="J68" i="11" s="1"/>
  <c r="C69" i="11"/>
  <c r="C73" i="11" s="1"/>
  <c r="C40" i="11"/>
  <c r="C103" i="11"/>
  <c r="C108" i="11" s="1"/>
  <c r="C66" i="11"/>
  <c r="C133" i="11"/>
  <c r="C144" i="11" s="1"/>
  <c r="I164" i="11"/>
  <c r="F167" i="11"/>
  <c r="F166" i="11"/>
  <c r="F161" i="11"/>
  <c r="F174" i="11"/>
  <c r="F168" i="11"/>
  <c r="C101" i="11"/>
  <c r="C102" i="11" s="1"/>
  <c r="F69" i="11"/>
  <c r="F76" i="11" s="1"/>
  <c r="C145" i="11"/>
  <c r="J145" i="11" s="1"/>
  <c r="C67" i="11"/>
  <c r="C123" i="11"/>
  <c r="J123" i="11" s="1"/>
  <c r="F88" i="11"/>
  <c r="C164" i="11"/>
  <c r="C175" i="11"/>
  <c r="C45" i="11"/>
  <c r="C61" i="11"/>
  <c r="F65" i="11"/>
  <c r="F67" i="11"/>
  <c r="I84" i="11"/>
  <c r="F87" i="11"/>
  <c r="I69" i="11"/>
  <c r="F68" i="11"/>
  <c r="I68" i="11"/>
  <c r="I148" i="11"/>
  <c r="I67" i="11"/>
  <c r="I65" i="11"/>
  <c r="C42" i="11"/>
  <c r="I58" i="11"/>
  <c r="F62" i="11"/>
  <c r="C46" i="11"/>
  <c r="I66" i="11"/>
  <c r="A18" i="14"/>
  <c r="E18" i="14" s="1"/>
  <c r="W18" i="14" s="1"/>
  <c r="A34" i="14"/>
  <c r="E34" i="14" s="1"/>
  <c r="W34" i="14" s="1"/>
  <c r="A50" i="14"/>
  <c r="E50" i="14" s="1"/>
  <c r="W50" i="14" s="1"/>
  <c r="A66" i="14"/>
  <c r="E66" i="14" s="1"/>
  <c r="W66" i="14" s="1"/>
  <c r="A7" i="14"/>
  <c r="E7" i="14" s="1"/>
  <c r="W7" i="14" s="1"/>
  <c r="A5" i="14"/>
  <c r="E5" i="14" s="1"/>
  <c r="W5" i="14" s="1"/>
  <c r="A23" i="14"/>
  <c r="E23" i="14" s="1"/>
  <c r="W23" i="14" s="1"/>
  <c r="A40" i="14"/>
  <c r="E40" i="14" s="1"/>
  <c r="W40" i="14" s="1"/>
  <c r="A57" i="14"/>
  <c r="E57" i="14" s="1"/>
  <c r="W57" i="14" s="1"/>
  <c r="A74" i="14"/>
  <c r="E74" i="14" s="1"/>
  <c r="W74" i="14" s="1"/>
  <c r="A6" i="14"/>
  <c r="E6" i="14" s="1"/>
  <c r="W6" i="14" s="1"/>
  <c r="A24" i="14"/>
  <c r="E24" i="14" s="1"/>
  <c r="W24" i="14" s="1"/>
  <c r="A41" i="14"/>
  <c r="E41" i="14" s="1"/>
  <c r="W41" i="14" s="1"/>
  <c r="A58" i="14"/>
  <c r="E58" i="14" s="1"/>
  <c r="W58" i="14" s="1"/>
  <c r="A75" i="14"/>
  <c r="E75" i="14" s="1"/>
  <c r="W75" i="14" s="1"/>
  <c r="A8" i="14"/>
  <c r="E8" i="14" s="1"/>
  <c r="W8" i="14" s="1"/>
  <c r="A25" i="14"/>
  <c r="E25" i="14" s="1"/>
  <c r="W25" i="14" s="1"/>
  <c r="A42" i="14"/>
  <c r="E42" i="14" s="1"/>
  <c r="W42" i="14" s="1"/>
  <c r="A59" i="14"/>
  <c r="E59" i="14" s="1"/>
  <c r="W59" i="14" s="1"/>
  <c r="A76" i="14"/>
  <c r="E76" i="14" s="1"/>
  <c r="W76" i="14" s="1"/>
  <c r="A9" i="14"/>
  <c r="E9" i="14" s="1"/>
  <c r="W9" i="14" s="1"/>
  <c r="A26" i="14"/>
  <c r="E26" i="14" s="1"/>
  <c r="W26" i="14" s="1"/>
  <c r="A43" i="14"/>
  <c r="E43" i="14" s="1"/>
  <c r="W43" i="14" s="1"/>
  <c r="A60" i="14"/>
  <c r="E60" i="14" s="1"/>
  <c r="W60" i="14" s="1"/>
  <c r="A77" i="14"/>
  <c r="E77" i="14" s="1"/>
  <c r="W77" i="14" s="1"/>
  <c r="A10" i="14"/>
  <c r="E10" i="14" s="1"/>
  <c r="W10" i="14" s="1"/>
  <c r="A27" i="14"/>
  <c r="E27" i="14" s="1"/>
  <c r="W27" i="14" s="1"/>
  <c r="A44" i="14"/>
  <c r="E44" i="14" s="1"/>
  <c r="W44" i="14" s="1"/>
  <c r="A61" i="14"/>
  <c r="E61" i="14" s="1"/>
  <c r="W61" i="14" s="1"/>
  <c r="A78" i="14"/>
  <c r="E78" i="14" s="1"/>
  <c r="W78" i="14" s="1"/>
  <c r="A16" i="14"/>
  <c r="E16" i="14" s="1"/>
  <c r="W16" i="14" s="1"/>
  <c r="A33" i="14"/>
  <c r="E33" i="14" s="1"/>
  <c r="W33" i="14" s="1"/>
  <c r="A51" i="14"/>
  <c r="E51" i="14" s="1"/>
  <c r="W51" i="14" s="1"/>
  <c r="A68" i="14"/>
  <c r="E68" i="14" s="1"/>
  <c r="W68" i="14" s="1"/>
  <c r="A21" i="14"/>
  <c r="E21" i="14" s="1"/>
  <c r="W21" i="14" s="1"/>
  <c r="A49" i="14"/>
  <c r="E49" i="14" s="1"/>
  <c r="W49" i="14" s="1"/>
  <c r="A2" i="14"/>
  <c r="E2" i="14" s="1"/>
  <c r="W2" i="14" s="1"/>
  <c r="A54" i="14"/>
  <c r="E54" i="14" s="1"/>
  <c r="W54" i="14" s="1"/>
  <c r="A22" i="14"/>
  <c r="E22" i="14" s="1"/>
  <c r="W22" i="14" s="1"/>
  <c r="A52" i="14"/>
  <c r="E52" i="14" s="1"/>
  <c r="W52" i="14" s="1"/>
  <c r="A28" i="14"/>
  <c r="E28" i="14" s="1"/>
  <c r="W28" i="14" s="1"/>
  <c r="A53" i="14"/>
  <c r="E53" i="14" s="1"/>
  <c r="W53" i="14" s="1"/>
  <c r="A29" i="14"/>
  <c r="E29" i="14" s="1"/>
  <c r="W29" i="14" s="1"/>
  <c r="A30" i="14"/>
  <c r="E30" i="14" s="1"/>
  <c r="W30" i="14" s="1"/>
  <c r="A55" i="14"/>
  <c r="E55" i="14" s="1"/>
  <c r="W55" i="14" s="1"/>
  <c r="A31" i="14"/>
  <c r="E31" i="14" s="1"/>
  <c r="W31" i="14" s="1"/>
  <c r="A12" i="14"/>
  <c r="E12" i="14" s="1"/>
  <c r="W12" i="14" s="1"/>
  <c r="A48" i="14"/>
  <c r="E48" i="14" s="1"/>
  <c r="W48" i="14" s="1"/>
  <c r="A67" i="14"/>
  <c r="E67" i="14" s="1"/>
  <c r="W67" i="14" s="1"/>
  <c r="A32" i="14"/>
  <c r="E32" i="14" s="1"/>
  <c r="W32" i="14" s="1"/>
  <c r="A70" i="14"/>
  <c r="E70" i="14" s="1"/>
  <c r="W70" i="14" s="1"/>
  <c r="A36" i="14"/>
  <c r="E36" i="14" s="1"/>
  <c r="W36" i="14" s="1"/>
  <c r="A72" i="14"/>
  <c r="E72" i="14" s="1"/>
  <c r="W72" i="14" s="1"/>
  <c r="A73" i="14"/>
  <c r="E73" i="14" s="1"/>
  <c r="W73" i="14" s="1"/>
  <c r="A13" i="14"/>
  <c r="E13" i="14" s="1"/>
  <c r="W13" i="14" s="1"/>
  <c r="A56" i="14"/>
  <c r="E56" i="14" s="1"/>
  <c r="W56" i="14" s="1"/>
  <c r="A62" i="14"/>
  <c r="E62" i="14" s="1"/>
  <c r="W62" i="14" s="1"/>
  <c r="A35" i="14"/>
  <c r="E35" i="14" s="1"/>
  <c r="W35" i="14" s="1"/>
  <c r="A14" i="14"/>
  <c r="E14" i="14" s="1"/>
  <c r="W14" i="14" s="1"/>
  <c r="A15" i="14"/>
  <c r="E15" i="14" s="1"/>
  <c r="W15" i="14" s="1"/>
  <c r="A63" i="14"/>
  <c r="E63" i="14" s="1"/>
  <c r="W63" i="14" s="1"/>
  <c r="A17" i="14"/>
  <c r="E17" i="14" s="1"/>
  <c r="W17" i="14" s="1"/>
  <c r="A64" i="14"/>
  <c r="E64" i="14" s="1"/>
  <c r="W64" i="14" s="1"/>
  <c r="A20" i="14"/>
  <c r="E20" i="14" s="1"/>
  <c r="W20" i="14" s="1"/>
  <c r="A69" i="14"/>
  <c r="E69" i="14" s="1"/>
  <c r="W69" i="14" s="1"/>
  <c r="A71" i="14"/>
  <c r="E71" i="14" s="1"/>
  <c r="W71" i="14" s="1"/>
  <c r="A38" i="14"/>
  <c r="E38" i="14" s="1"/>
  <c r="W38" i="14" s="1"/>
  <c r="A19" i="14"/>
  <c r="E19" i="14" s="1"/>
  <c r="W19" i="14" s="1"/>
  <c r="A65" i="14"/>
  <c r="E65" i="14" s="1"/>
  <c r="W65" i="14" s="1"/>
  <c r="A37" i="14"/>
  <c r="E37" i="14" s="1"/>
  <c r="W37" i="14" s="1"/>
  <c r="A3" i="14"/>
  <c r="E3" i="14" s="1"/>
  <c r="W3" i="14" s="1"/>
  <c r="A4" i="14"/>
  <c r="E4" i="14" s="1"/>
  <c r="W4" i="14" s="1"/>
  <c r="A11" i="14"/>
  <c r="E11" i="14" s="1"/>
  <c r="W11" i="14" s="1"/>
  <c r="A39" i="14"/>
  <c r="E39" i="14" s="1"/>
  <c r="W39" i="14" s="1"/>
  <c r="A45" i="14"/>
  <c r="E45" i="14" s="1"/>
  <c r="W45" i="14" s="1"/>
  <c r="A46" i="14"/>
  <c r="E46" i="14" s="1"/>
  <c r="W46" i="14" s="1"/>
  <c r="A47" i="14"/>
  <c r="E47" i="14" s="1"/>
  <c r="W47" i="14" s="1"/>
  <c r="I2" i="13"/>
  <c r="C3" i="13"/>
  <c r="C28" i="13" s="1"/>
  <c r="I3" i="13"/>
  <c r="I6" i="13"/>
  <c r="F3" i="13"/>
  <c r="I21" i="13" s="1"/>
  <c r="I4" i="13"/>
  <c r="F4" i="13"/>
  <c r="F36" i="13" s="1"/>
  <c r="I38" i="13" s="1"/>
  <c r="I5" i="13"/>
  <c r="C6" i="13"/>
  <c r="C97" i="13" s="1"/>
  <c r="F6" i="13"/>
  <c r="I97" i="13" s="1"/>
  <c r="F5" i="13"/>
  <c r="I61" i="13" s="1"/>
  <c r="C4" i="13"/>
  <c r="C36" i="13" s="1"/>
  <c r="C38" i="13" s="1"/>
  <c r="C5" i="13"/>
  <c r="C71" i="13" s="1"/>
  <c r="F46" i="11"/>
  <c r="C174" i="11"/>
  <c r="C28" i="11"/>
  <c r="C25" i="11"/>
  <c r="I80" i="11"/>
  <c r="C14" i="11"/>
  <c r="I83" i="11"/>
  <c r="C11" i="11"/>
  <c r="F64" i="11"/>
  <c r="C162" i="11"/>
  <c r="C12" i="11"/>
  <c r="I25" i="11"/>
  <c r="F145" i="11"/>
  <c r="I146" i="11" s="1"/>
  <c r="C171" i="11"/>
  <c r="C172" i="11" s="1"/>
  <c r="I87" i="11"/>
  <c r="C26" i="11"/>
  <c r="C41" i="11"/>
  <c r="F80" i="11"/>
  <c r="F133" i="11"/>
  <c r="F143" i="11" s="1"/>
  <c r="C10" i="11"/>
  <c r="F15" i="11"/>
  <c r="C22" i="11"/>
  <c r="C24" i="11" s="1"/>
  <c r="I85" i="11"/>
  <c r="I20" i="11"/>
  <c r="I100" i="11"/>
  <c r="C44" i="11"/>
  <c r="F85" i="11"/>
  <c r="I64" i="11"/>
  <c r="F45" i="11"/>
  <c r="F11" i="11"/>
  <c r="F18" i="11"/>
  <c r="C178" i="11"/>
  <c r="C179" i="11"/>
  <c r="I81" i="11"/>
  <c r="C51" i="11"/>
  <c r="C50" i="11"/>
  <c r="C48" i="11"/>
  <c r="C49" i="11"/>
  <c r="I24" i="11"/>
  <c r="I23" i="11"/>
  <c r="F24" i="11"/>
  <c r="F23" i="11"/>
  <c r="I155" i="11"/>
  <c r="F157" i="11"/>
  <c r="F156" i="11"/>
  <c r="F155" i="11"/>
  <c r="I153" i="11"/>
  <c r="I150" i="11"/>
  <c r="I154" i="11"/>
  <c r="F150" i="11"/>
  <c r="F152" i="11"/>
  <c r="I152" i="11"/>
  <c r="F154" i="11"/>
  <c r="I14" i="11"/>
  <c r="F26" i="11"/>
  <c r="I22" i="11"/>
  <c r="I13" i="11"/>
  <c r="F40" i="11"/>
  <c r="F25" i="11"/>
  <c r="F19" i="11"/>
  <c r="F12" i="11"/>
  <c r="I19" i="11"/>
  <c r="I43" i="11"/>
  <c r="I29" i="11"/>
  <c r="F42" i="11"/>
  <c r="F29" i="11"/>
  <c r="I42" i="11"/>
  <c r="I12" i="11"/>
  <c r="I40" i="11"/>
  <c r="F30" i="11"/>
  <c r="F20" i="11"/>
  <c r="F27" i="11"/>
  <c r="I44" i="11"/>
  <c r="I28" i="11"/>
  <c r="F43" i="11"/>
  <c r="F16" i="11"/>
  <c r="F13" i="11"/>
  <c r="F41" i="11"/>
  <c r="I26" i="11"/>
  <c r="F14" i="11"/>
  <c r="F17" i="11"/>
  <c r="I16" i="11"/>
  <c r="F21" i="11"/>
  <c r="I30" i="11"/>
  <c r="C93" i="11"/>
  <c r="C95" i="11"/>
  <c r="J6" i="11"/>
  <c r="J89" i="11" s="1"/>
  <c r="I159" i="11"/>
  <c r="C29" i="11"/>
  <c r="F28" i="11"/>
  <c r="I149" i="11"/>
  <c r="C86" i="11"/>
  <c r="C16" i="11"/>
  <c r="I11" i="11"/>
  <c r="C63" i="11"/>
  <c r="I151" i="11"/>
  <c r="I17" i="11"/>
  <c r="I18" i="11"/>
  <c r="I41" i="11"/>
  <c r="I10" i="11"/>
  <c r="C20" i="11"/>
  <c r="F153" i="11"/>
  <c r="C52" i="11"/>
  <c r="I99" i="11"/>
  <c r="F101" i="11"/>
  <c r="I101" i="11"/>
  <c r="F100" i="11"/>
  <c r="C90" i="11"/>
  <c r="F158" i="11"/>
  <c r="C30" i="11"/>
  <c r="F123" i="11"/>
  <c r="I133" i="11"/>
  <c r="I145" i="11"/>
  <c r="I123" i="11"/>
  <c r="F103" i="11"/>
  <c r="F149" i="11"/>
  <c r="F10" i="11"/>
  <c r="I63" i="11"/>
  <c r="I45" i="11"/>
  <c r="I46" i="11"/>
  <c r="F47" i="11"/>
  <c r="F58" i="11"/>
  <c r="I52" i="11"/>
  <c r="I47" i="11"/>
  <c r="F52" i="11"/>
  <c r="I61" i="11"/>
  <c r="F61" i="11"/>
  <c r="I62" i="11"/>
  <c r="I156" i="11"/>
  <c r="I15" i="11"/>
  <c r="C43" i="11"/>
  <c r="C15" i="11"/>
  <c r="J3" i="11"/>
  <c r="C13" i="11"/>
  <c r="C27" i="11"/>
  <c r="C17" i="11"/>
  <c r="C19" i="11"/>
  <c r="I21" i="11"/>
  <c r="C79" i="11"/>
  <c r="C21" i="11"/>
  <c r="F151" i="11"/>
  <c r="I27" i="11"/>
  <c r="C100" i="11"/>
  <c r="J7" i="11"/>
  <c r="J99" i="11" s="1"/>
  <c r="J4" i="11"/>
  <c r="C58" i="11"/>
  <c r="C62" i="11"/>
  <c r="F172" i="11"/>
  <c r="I172" i="11"/>
  <c r="F44" i="11"/>
  <c r="C165" i="11"/>
  <c r="C147" i="11"/>
  <c r="C160" i="11"/>
  <c r="C163" i="11"/>
  <c r="C177" i="11"/>
  <c r="C167" i="11"/>
  <c r="C169" i="11"/>
  <c r="J9" i="11"/>
  <c r="C173" i="11"/>
  <c r="C168" i="11"/>
  <c r="C176" i="11"/>
  <c r="C180" i="11"/>
  <c r="C166" i="11"/>
  <c r="C161" i="11"/>
  <c r="F148" i="11"/>
  <c r="F159" i="11"/>
  <c r="I158" i="11"/>
  <c r="C134" i="11" l="1"/>
  <c r="C135" i="11"/>
  <c r="I82" i="11"/>
  <c r="C138" i="11"/>
  <c r="J133" i="11"/>
  <c r="C140" i="11"/>
  <c r="C116" i="11"/>
  <c r="I92" i="11"/>
  <c r="C141" i="11"/>
  <c r="C142" i="11"/>
  <c r="C136" i="11"/>
  <c r="F92" i="11"/>
  <c r="C137" i="11"/>
  <c r="F84" i="11"/>
  <c r="F83" i="11"/>
  <c r="F82" i="11"/>
  <c r="F91" i="11"/>
  <c r="C77" i="11"/>
  <c r="C74" i="11"/>
  <c r="C119" i="11"/>
  <c r="C104" i="11"/>
  <c r="C70" i="11"/>
  <c r="F96" i="11"/>
  <c r="C75" i="11"/>
  <c r="I97" i="11"/>
  <c r="C121" i="11"/>
  <c r="C72" i="11"/>
  <c r="C114" i="11"/>
  <c r="C122" i="11"/>
  <c r="J69" i="11"/>
  <c r="C109" i="11"/>
  <c r="C105" i="11"/>
  <c r="C71" i="11"/>
  <c r="C78" i="11"/>
  <c r="C110" i="11"/>
  <c r="F98" i="11"/>
  <c r="C113" i="11"/>
  <c r="F97" i="11"/>
  <c r="C120" i="11"/>
  <c r="C111" i="11"/>
  <c r="C76" i="11"/>
  <c r="I96" i="11"/>
  <c r="J103" i="11"/>
  <c r="J108" i="11" s="1"/>
  <c r="C112" i="11"/>
  <c r="C106" i="11"/>
  <c r="J66" i="11"/>
  <c r="F94" i="11"/>
  <c r="J65" i="11"/>
  <c r="C118" i="11"/>
  <c r="C107" i="11"/>
  <c r="C115" i="11"/>
  <c r="C117" i="11"/>
  <c r="J67" i="11"/>
  <c r="C143" i="11"/>
  <c r="C139" i="11"/>
  <c r="J139" i="11" s="1"/>
  <c r="C126" i="11"/>
  <c r="J126" i="11" s="1"/>
  <c r="C146" i="11"/>
  <c r="J146" i="11" s="1"/>
  <c r="I71" i="11"/>
  <c r="J17" i="11"/>
  <c r="I78" i="11"/>
  <c r="F71" i="11"/>
  <c r="F72" i="11"/>
  <c r="C125" i="11"/>
  <c r="J125" i="11" s="1"/>
  <c r="F77" i="11"/>
  <c r="F73" i="11"/>
  <c r="I73" i="11"/>
  <c r="F75" i="11"/>
  <c r="C124" i="11"/>
  <c r="J124" i="11" s="1"/>
  <c r="F78" i="11"/>
  <c r="I96" i="13"/>
  <c r="I88" i="13"/>
  <c r="I75" i="11"/>
  <c r="I74" i="11"/>
  <c r="C20" i="13"/>
  <c r="C11" i="13"/>
  <c r="C10" i="13"/>
  <c r="F74" i="11"/>
  <c r="I72" i="11"/>
  <c r="C19" i="13"/>
  <c r="I140" i="11"/>
  <c r="I70" i="11"/>
  <c r="J175" i="11"/>
  <c r="F144" i="11"/>
  <c r="C27" i="13"/>
  <c r="I144" i="11"/>
  <c r="J10" i="11"/>
  <c r="C22" i="13"/>
  <c r="I77" i="11"/>
  <c r="F59" i="13"/>
  <c r="I143" i="11"/>
  <c r="I76" i="13"/>
  <c r="C128" i="11"/>
  <c r="J128" i="11" s="1"/>
  <c r="C127" i="11"/>
  <c r="J127" i="11" s="1"/>
  <c r="C132" i="11"/>
  <c r="J132" i="11" s="1"/>
  <c r="C131" i="11"/>
  <c r="J131" i="11" s="1"/>
  <c r="C129" i="11"/>
  <c r="J129" i="11" s="1"/>
  <c r="J21" i="11"/>
  <c r="F69" i="13"/>
  <c r="I91" i="13"/>
  <c r="J25" i="11"/>
  <c r="J44" i="11"/>
  <c r="F73" i="13"/>
  <c r="C46" i="13"/>
  <c r="J41" i="11"/>
  <c r="I57" i="13"/>
  <c r="F142" i="11"/>
  <c r="C23" i="11"/>
  <c r="C130" i="11"/>
  <c r="J130" i="11" s="1"/>
  <c r="F70" i="11"/>
  <c r="I76" i="11"/>
  <c r="F57" i="13"/>
  <c r="F61" i="13"/>
  <c r="F63" i="13" s="1"/>
  <c r="I74" i="13"/>
  <c r="F96" i="13"/>
  <c r="C25" i="13"/>
  <c r="C18" i="13"/>
  <c r="I58" i="13"/>
  <c r="C24" i="13"/>
  <c r="C14" i="13"/>
  <c r="J143" i="11"/>
  <c r="C16" i="13"/>
  <c r="C21" i="13"/>
  <c r="C9" i="13"/>
  <c r="I9" i="13"/>
  <c r="C12" i="13"/>
  <c r="C23" i="13"/>
  <c r="C26" i="13"/>
  <c r="F74" i="13"/>
  <c r="I59" i="13"/>
  <c r="F72" i="13"/>
  <c r="C13" i="13"/>
  <c r="I73" i="13"/>
  <c r="F70" i="13"/>
  <c r="C8" i="13"/>
  <c r="F78" i="13"/>
  <c r="I78" i="13"/>
  <c r="J46" i="11"/>
  <c r="C17" i="13"/>
  <c r="I92" i="13"/>
  <c r="F89" i="13"/>
  <c r="F53" i="13"/>
  <c r="C48" i="13"/>
  <c r="J42" i="11"/>
  <c r="F41" i="13"/>
  <c r="C49" i="13"/>
  <c r="C51" i="13" s="1"/>
  <c r="C44" i="13"/>
  <c r="C42" i="13"/>
  <c r="C53" i="13"/>
  <c r="I75" i="13"/>
  <c r="F75" i="13"/>
  <c r="F8" i="13"/>
  <c r="I42" i="13"/>
  <c r="J16" i="11"/>
  <c r="C55" i="13"/>
  <c r="I60" i="13"/>
  <c r="F71" i="13"/>
  <c r="I70" i="13"/>
  <c r="I43" i="13"/>
  <c r="C56" i="13"/>
  <c r="F27" i="13"/>
  <c r="F60" i="13"/>
  <c r="F25" i="13"/>
  <c r="J15" i="11"/>
  <c r="F21" i="13"/>
  <c r="C41" i="13"/>
  <c r="I72" i="13"/>
  <c r="F48" i="13"/>
  <c r="J167" i="11"/>
  <c r="J177" i="11"/>
  <c r="F7" i="13"/>
  <c r="J163" i="11"/>
  <c r="J178" i="11"/>
  <c r="C54" i="13"/>
  <c r="C72" i="13"/>
  <c r="F11" i="13"/>
  <c r="I25" i="13"/>
  <c r="F91" i="13"/>
  <c r="F95" i="13"/>
  <c r="I77" i="13"/>
  <c r="I90" i="13"/>
  <c r="A4" i="15"/>
  <c r="E4" i="15" s="1"/>
  <c r="Z4" i="15" s="1"/>
  <c r="A20" i="15"/>
  <c r="E20" i="15" s="1"/>
  <c r="Z20" i="15" s="1"/>
  <c r="A36" i="15"/>
  <c r="E36" i="15" s="1"/>
  <c r="Z36" i="15" s="1"/>
  <c r="A52" i="15"/>
  <c r="E52" i="15" s="1"/>
  <c r="Z52" i="15" s="1"/>
  <c r="A68" i="15"/>
  <c r="E68" i="15" s="1"/>
  <c r="Z68" i="15" s="1"/>
  <c r="A84" i="15"/>
  <c r="E84" i="15" s="1"/>
  <c r="Z84" i="15" s="1"/>
  <c r="A100" i="15"/>
  <c r="E100" i="15" s="1"/>
  <c r="Z100" i="15" s="1"/>
  <c r="A116" i="15"/>
  <c r="E116" i="15" s="1"/>
  <c r="Z116" i="15" s="1"/>
  <c r="A132" i="15"/>
  <c r="E132" i="15" s="1"/>
  <c r="Z132" i="15" s="1"/>
  <c r="A148" i="15"/>
  <c r="E148" i="15" s="1"/>
  <c r="Z148" i="15" s="1"/>
  <c r="A164" i="15"/>
  <c r="E164" i="15" s="1"/>
  <c r="Z164" i="15" s="1"/>
  <c r="A180" i="15"/>
  <c r="E180" i="15" s="1"/>
  <c r="Z180" i="15" s="1"/>
  <c r="A196" i="15"/>
  <c r="E196" i="15" s="1"/>
  <c r="Z196" i="15" s="1"/>
  <c r="A2" i="15"/>
  <c r="E2" i="15" s="1"/>
  <c r="Z2" i="15" s="1"/>
  <c r="A9" i="15"/>
  <c r="E9" i="15" s="1"/>
  <c r="Z9" i="15" s="1"/>
  <c r="A25" i="15"/>
  <c r="E25" i="15" s="1"/>
  <c r="Z25" i="15" s="1"/>
  <c r="A41" i="15"/>
  <c r="E41" i="15" s="1"/>
  <c r="Z41" i="15" s="1"/>
  <c r="A57" i="15"/>
  <c r="E57" i="15" s="1"/>
  <c r="Z57" i="15" s="1"/>
  <c r="A73" i="15"/>
  <c r="E73" i="15" s="1"/>
  <c r="Z73" i="15" s="1"/>
  <c r="A89" i="15"/>
  <c r="E89" i="15" s="1"/>
  <c r="Z89" i="15" s="1"/>
  <c r="A105" i="15"/>
  <c r="E105" i="15" s="1"/>
  <c r="Z105" i="15" s="1"/>
  <c r="A121" i="15"/>
  <c r="E121" i="15" s="1"/>
  <c r="Z121" i="15" s="1"/>
  <c r="A137" i="15"/>
  <c r="E137" i="15" s="1"/>
  <c r="Z137" i="15" s="1"/>
  <c r="A153" i="15"/>
  <c r="E153" i="15" s="1"/>
  <c r="Z153" i="15" s="1"/>
  <c r="A169" i="15"/>
  <c r="E169" i="15" s="1"/>
  <c r="Z169" i="15" s="1"/>
  <c r="A185" i="15"/>
  <c r="E185" i="15" s="1"/>
  <c r="Z185" i="15" s="1"/>
  <c r="A201" i="15"/>
  <c r="E201" i="15" s="1"/>
  <c r="Z201" i="15" s="1"/>
  <c r="A17" i="15"/>
  <c r="E17" i="15" s="1"/>
  <c r="Z17" i="15" s="1"/>
  <c r="A33" i="15"/>
  <c r="E33" i="15" s="1"/>
  <c r="Z33" i="15" s="1"/>
  <c r="A49" i="15"/>
  <c r="E49" i="15" s="1"/>
  <c r="Z49" i="15" s="1"/>
  <c r="A11" i="15"/>
  <c r="E11" i="15" s="1"/>
  <c r="Z11" i="15" s="1"/>
  <c r="A30" i="15"/>
  <c r="E30" i="15" s="1"/>
  <c r="Z30" i="15" s="1"/>
  <c r="A50" i="15"/>
  <c r="E50" i="15" s="1"/>
  <c r="Z50" i="15" s="1"/>
  <c r="A69" i="15"/>
  <c r="E69" i="15" s="1"/>
  <c r="Z69" i="15" s="1"/>
  <c r="A87" i="15"/>
  <c r="E87" i="15" s="1"/>
  <c r="Z87" i="15" s="1"/>
  <c r="A106" i="15"/>
  <c r="E106" i="15" s="1"/>
  <c r="Z106" i="15" s="1"/>
  <c r="A124" i="15"/>
  <c r="E124" i="15" s="1"/>
  <c r="Z124" i="15" s="1"/>
  <c r="A142" i="15"/>
  <c r="E142" i="15" s="1"/>
  <c r="Z142" i="15" s="1"/>
  <c r="A160" i="15"/>
  <c r="E160" i="15" s="1"/>
  <c r="Z160" i="15" s="1"/>
  <c r="A178" i="15"/>
  <c r="E178" i="15" s="1"/>
  <c r="Z178" i="15" s="1"/>
  <c r="A197" i="15"/>
  <c r="E197" i="15" s="1"/>
  <c r="Z197" i="15" s="1"/>
  <c r="A12" i="15"/>
  <c r="E12" i="15" s="1"/>
  <c r="Z12" i="15" s="1"/>
  <c r="A31" i="15"/>
  <c r="E31" i="15" s="1"/>
  <c r="Z31" i="15" s="1"/>
  <c r="A51" i="15"/>
  <c r="E51" i="15" s="1"/>
  <c r="Z51" i="15" s="1"/>
  <c r="A70" i="15"/>
  <c r="E70" i="15" s="1"/>
  <c r="Z70" i="15" s="1"/>
  <c r="A88" i="15"/>
  <c r="E88" i="15" s="1"/>
  <c r="Z88" i="15" s="1"/>
  <c r="A107" i="15"/>
  <c r="E107" i="15" s="1"/>
  <c r="Z107" i="15" s="1"/>
  <c r="A125" i="15"/>
  <c r="E125" i="15" s="1"/>
  <c r="Z125" i="15" s="1"/>
  <c r="A143" i="15"/>
  <c r="E143" i="15" s="1"/>
  <c r="Z143" i="15" s="1"/>
  <c r="A161" i="15"/>
  <c r="E161" i="15" s="1"/>
  <c r="Z161" i="15" s="1"/>
  <c r="A179" i="15"/>
  <c r="E179" i="15" s="1"/>
  <c r="Z179" i="15" s="1"/>
  <c r="A198" i="15"/>
  <c r="E198" i="15" s="1"/>
  <c r="Z198" i="15" s="1"/>
  <c r="A13" i="15"/>
  <c r="E13" i="15" s="1"/>
  <c r="Z13" i="15" s="1"/>
  <c r="A32" i="15"/>
  <c r="E32" i="15" s="1"/>
  <c r="Z32" i="15" s="1"/>
  <c r="A53" i="15"/>
  <c r="E53" i="15" s="1"/>
  <c r="Z53" i="15" s="1"/>
  <c r="A71" i="15"/>
  <c r="E71" i="15" s="1"/>
  <c r="Z71" i="15" s="1"/>
  <c r="A90" i="15"/>
  <c r="E90" i="15" s="1"/>
  <c r="Z90" i="15" s="1"/>
  <c r="A108" i="15"/>
  <c r="E108" i="15" s="1"/>
  <c r="Z108" i="15" s="1"/>
  <c r="A126" i="15"/>
  <c r="E126" i="15" s="1"/>
  <c r="Z126" i="15" s="1"/>
  <c r="A144" i="15"/>
  <c r="E144" i="15" s="1"/>
  <c r="Z144" i="15" s="1"/>
  <c r="A162" i="15"/>
  <c r="E162" i="15" s="1"/>
  <c r="Z162" i="15" s="1"/>
  <c r="A181" i="15"/>
  <c r="E181" i="15" s="1"/>
  <c r="Z181" i="15" s="1"/>
  <c r="A199" i="15"/>
  <c r="E199" i="15" s="1"/>
  <c r="Z199" i="15" s="1"/>
  <c r="A14" i="15"/>
  <c r="E14" i="15" s="1"/>
  <c r="Z14" i="15" s="1"/>
  <c r="A34" i="15"/>
  <c r="E34" i="15" s="1"/>
  <c r="Z34" i="15" s="1"/>
  <c r="A54" i="15"/>
  <c r="E54" i="15" s="1"/>
  <c r="Z54" i="15" s="1"/>
  <c r="A72" i="15"/>
  <c r="E72" i="15" s="1"/>
  <c r="Z72" i="15" s="1"/>
  <c r="A91" i="15"/>
  <c r="E91" i="15" s="1"/>
  <c r="Z91" i="15" s="1"/>
  <c r="A109" i="15"/>
  <c r="E109" i="15" s="1"/>
  <c r="Z109" i="15" s="1"/>
  <c r="A127" i="15"/>
  <c r="E127" i="15" s="1"/>
  <c r="Z127" i="15" s="1"/>
  <c r="A145" i="15"/>
  <c r="E145" i="15" s="1"/>
  <c r="Z145" i="15" s="1"/>
  <c r="A163" i="15"/>
  <c r="E163" i="15" s="1"/>
  <c r="Z163" i="15" s="1"/>
  <c r="A182" i="15"/>
  <c r="E182" i="15" s="1"/>
  <c r="Z182" i="15" s="1"/>
  <c r="A200" i="15"/>
  <c r="E200" i="15" s="1"/>
  <c r="Z200" i="15" s="1"/>
  <c r="A15" i="15"/>
  <c r="E15" i="15" s="1"/>
  <c r="Z15" i="15" s="1"/>
  <c r="A35" i="15"/>
  <c r="E35" i="15" s="1"/>
  <c r="Z35" i="15" s="1"/>
  <c r="A55" i="15"/>
  <c r="E55" i="15" s="1"/>
  <c r="Z55" i="15" s="1"/>
  <c r="A74" i="15"/>
  <c r="E74" i="15" s="1"/>
  <c r="Z74" i="15" s="1"/>
  <c r="A92" i="15"/>
  <c r="E92" i="15" s="1"/>
  <c r="Z92" i="15" s="1"/>
  <c r="A110" i="15"/>
  <c r="E110" i="15" s="1"/>
  <c r="Z110" i="15" s="1"/>
  <c r="A128" i="15"/>
  <c r="E128" i="15" s="1"/>
  <c r="Z128" i="15" s="1"/>
  <c r="A146" i="15"/>
  <c r="E146" i="15" s="1"/>
  <c r="Z146" i="15" s="1"/>
  <c r="A165" i="15"/>
  <c r="E165" i="15" s="1"/>
  <c r="Z165" i="15" s="1"/>
  <c r="A183" i="15"/>
  <c r="E183" i="15" s="1"/>
  <c r="Z183" i="15" s="1"/>
  <c r="A202" i="15"/>
  <c r="E202" i="15" s="1"/>
  <c r="Z202" i="15" s="1"/>
  <c r="A3" i="15"/>
  <c r="E3" i="15" s="1"/>
  <c r="Z3" i="15" s="1"/>
  <c r="A23" i="15"/>
  <c r="E23" i="15" s="1"/>
  <c r="Z23" i="15" s="1"/>
  <c r="A43" i="15"/>
  <c r="E43" i="15" s="1"/>
  <c r="Z43" i="15" s="1"/>
  <c r="A62" i="15"/>
  <c r="E62" i="15" s="1"/>
  <c r="Z62" i="15" s="1"/>
  <c r="A80" i="15"/>
  <c r="E80" i="15" s="1"/>
  <c r="Z80" i="15" s="1"/>
  <c r="A98" i="15"/>
  <c r="E98" i="15" s="1"/>
  <c r="Z98" i="15" s="1"/>
  <c r="A117" i="15"/>
  <c r="E117" i="15" s="1"/>
  <c r="Z117" i="15" s="1"/>
  <c r="A135" i="15"/>
  <c r="E135" i="15" s="1"/>
  <c r="Z135" i="15" s="1"/>
  <c r="A154" i="15"/>
  <c r="E154" i="15" s="1"/>
  <c r="Z154" i="15" s="1"/>
  <c r="A172" i="15"/>
  <c r="E172" i="15" s="1"/>
  <c r="Z172" i="15" s="1"/>
  <c r="A190" i="15"/>
  <c r="E190" i="15" s="1"/>
  <c r="Z190" i="15" s="1"/>
  <c r="A208" i="15"/>
  <c r="E208" i="15" s="1"/>
  <c r="Z208" i="15" s="1"/>
  <c r="A26" i="15"/>
  <c r="E26" i="15" s="1"/>
  <c r="Z26" i="15" s="1"/>
  <c r="A59" i="15"/>
  <c r="E59" i="15" s="1"/>
  <c r="Z59" i="15" s="1"/>
  <c r="A85" i="15"/>
  <c r="E85" i="15" s="1"/>
  <c r="Z85" i="15" s="1"/>
  <c r="A115" i="15"/>
  <c r="E115" i="15" s="1"/>
  <c r="Z115" i="15" s="1"/>
  <c r="A147" i="15"/>
  <c r="E147" i="15" s="1"/>
  <c r="Z147" i="15" s="1"/>
  <c r="A174" i="15"/>
  <c r="E174" i="15" s="1"/>
  <c r="Z174" i="15" s="1"/>
  <c r="A205" i="15"/>
  <c r="E205" i="15" s="1"/>
  <c r="Z205" i="15" s="1"/>
  <c r="A27" i="15"/>
  <c r="E27" i="15" s="1"/>
  <c r="Z27" i="15" s="1"/>
  <c r="A60" i="15"/>
  <c r="E60" i="15" s="1"/>
  <c r="Z60" i="15" s="1"/>
  <c r="A86" i="15"/>
  <c r="E86" i="15" s="1"/>
  <c r="Z86" i="15" s="1"/>
  <c r="A118" i="15"/>
  <c r="E118" i="15" s="1"/>
  <c r="Z118" i="15" s="1"/>
  <c r="A149" i="15"/>
  <c r="E149" i="15" s="1"/>
  <c r="Z149" i="15" s="1"/>
  <c r="A175" i="15"/>
  <c r="E175" i="15" s="1"/>
  <c r="Z175" i="15" s="1"/>
  <c r="A206" i="15"/>
  <c r="E206" i="15" s="1"/>
  <c r="Z206" i="15" s="1"/>
  <c r="A28" i="15"/>
  <c r="E28" i="15" s="1"/>
  <c r="Z28" i="15" s="1"/>
  <c r="A61" i="15"/>
  <c r="E61" i="15" s="1"/>
  <c r="Z61" i="15" s="1"/>
  <c r="A93" i="15"/>
  <c r="E93" i="15" s="1"/>
  <c r="Z93" i="15" s="1"/>
  <c r="A119" i="15"/>
  <c r="E119" i="15" s="1"/>
  <c r="Z119" i="15" s="1"/>
  <c r="A150" i="15"/>
  <c r="E150" i="15" s="1"/>
  <c r="Z150" i="15" s="1"/>
  <c r="A176" i="15"/>
  <c r="E176" i="15" s="1"/>
  <c r="Z176" i="15" s="1"/>
  <c r="A207" i="15"/>
  <c r="E207" i="15" s="1"/>
  <c r="Z207" i="15" s="1"/>
  <c r="A29" i="15"/>
  <c r="E29" i="15" s="1"/>
  <c r="Z29" i="15" s="1"/>
  <c r="A63" i="15"/>
  <c r="E63" i="15" s="1"/>
  <c r="Z63" i="15" s="1"/>
  <c r="A94" i="15"/>
  <c r="E94" i="15" s="1"/>
  <c r="Z94" i="15" s="1"/>
  <c r="A120" i="15"/>
  <c r="E120" i="15" s="1"/>
  <c r="Z120" i="15" s="1"/>
  <c r="A151" i="15"/>
  <c r="E151" i="15" s="1"/>
  <c r="Z151" i="15" s="1"/>
  <c r="A177" i="15"/>
  <c r="E177" i="15" s="1"/>
  <c r="Z177" i="15" s="1"/>
  <c r="A209" i="15"/>
  <c r="E209" i="15" s="1"/>
  <c r="Z209" i="15" s="1"/>
  <c r="A37" i="15"/>
  <c r="E37" i="15" s="1"/>
  <c r="Z37" i="15" s="1"/>
  <c r="A64" i="15"/>
  <c r="E64" i="15" s="1"/>
  <c r="Z64" i="15" s="1"/>
  <c r="A95" i="15"/>
  <c r="E95" i="15" s="1"/>
  <c r="Z95" i="15" s="1"/>
  <c r="A122" i="15"/>
  <c r="E122" i="15" s="1"/>
  <c r="Z122" i="15" s="1"/>
  <c r="A152" i="15"/>
  <c r="E152" i="15" s="1"/>
  <c r="Z152" i="15" s="1"/>
  <c r="A184" i="15"/>
  <c r="E184" i="15" s="1"/>
  <c r="Z184" i="15" s="1"/>
  <c r="A210" i="15"/>
  <c r="E210" i="15" s="1"/>
  <c r="Z210" i="15" s="1"/>
  <c r="A5" i="15"/>
  <c r="E5" i="15" s="1"/>
  <c r="Z5" i="15" s="1"/>
  <c r="A38" i="15"/>
  <c r="E38" i="15" s="1"/>
  <c r="Z38" i="15" s="1"/>
  <c r="A65" i="15"/>
  <c r="E65" i="15" s="1"/>
  <c r="Z65" i="15" s="1"/>
  <c r="A96" i="15"/>
  <c r="E96" i="15" s="1"/>
  <c r="Z96" i="15" s="1"/>
  <c r="A123" i="15"/>
  <c r="E123" i="15" s="1"/>
  <c r="Z123" i="15" s="1"/>
  <c r="A155" i="15"/>
  <c r="E155" i="15" s="1"/>
  <c r="Z155" i="15" s="1"/>
  <c r="A186" i="15"/>
  <c r="E186" i="15" s="1"/>
  <c r="Z186" i="15" s="1"/>
  <c r="A211" i="15"/>
  <c r="E211" i="15" s="1"/>
  <c r="Z211" i="15" s="1"/>
  <c r="A24" i="15"/>
  <c r="E24" i="15" s="1"/>
  <c r="Z24" i="15" s="1"/>
  <c r="A78" i="15"/>
  <c r="E78" i="15" s="1"/>
  <c r="Z78" i="15" s="1"/>
  <c r="A130" i="15"/>
  <c r="E130" i="15" s="1"/>
  <c r="Z130" i="15" s="1"/>
  <c r="A170" i="15"/>
  <c r="E170" i="15" s="1"/>
  <c r="Z170" i="15" s="1"/>
  <c r="A99" i="15"/>
  <c r="E99" i="15" s="1"/>
  <c r="Z99" i="15" s="1"/>
  <c r="A191" i="15"/>
  <c r="E191" i="15" s="1"/>
  <c r="Z191" i="15" s="1"/>
  <c r="A47" i="15"/>
  <c r="E47" i="15" s="1"/>
  <c r="Z47" i="15" s="1"/>
  <c r="A140" i="15"/>
  <c r="E140" i="15" s="1"/>
  <c r="Z140" i="15" s="1"/>
  <c r="A7" i="15"/>
  <c r="E7" i="15" s="1"/>
  <c r="Z7" i="15" s="1"/>
  <c r="A141" i="15"/>
  <c r="E141" i="15" s="1"/>
  <c r="Z141" i="15" s="1"/>
  <c r="A56" i="15"/>
  <c r="E56" i="15" s="1"/>
  <c r="Z56" i="15" s="1"/>
  <c r="A58" i="15"/>
  <c r="E58" i="15" s="1"/>
  <c r="Z58" i="15" s="1"/>
  <c r="A66" i="15"/>
  <c r="E66" i="15" s="1"/>
  <c r="Z66" i="15" s="1"/>
  <c r="A203" i="15"/>
  <c r="E203" i="15" s="1"/>
  <c r="Z203" i="15" s="1"/>
  <c r="A39" i="15"/>
  <c r="E39" i="15" s="1"/>
  <c r="Z39" i="15" s="1"/>
  <c r="A79" i="15"/>
  <c r="E79" i="15" s="1"/>
  <c r="Z79" i="15" s="1"/>
  <c r="A131" i="15"/>
  <c r="E131" i="15" s="1"/>
  <c r="Z131" i="15" s="1"/>
  <c r="A171" i="15"/>
  <c r="E171" i="15" s="1"/>
  <c r="Z171" i="15" s="1"/>
  <c r="A173" i="15"/>
  <c r="E173" i="15" s="1"/>
  <c r="Z173" i="15" s="1"/>
  <c r="A46" i="15"/>
  <c r="E46" i="15" s="1"/>
  <c r="Z46" i="15" s="1"/>
  <c r="A6" i="15"/>
  <c r="E6" i="15" s="1"/>
  <c r="Z6" i="15" s="1"/>
  <c r="A192" i="15"/>
  <c r="E192" i="15" s="1"/>
  <c r="Z192" i="15" s="1"/>
  <c r="A102" i="15"/>
  <c r="E102" i="15" s="1"/>
  <c r="Z102" i="15" s="1"/>
  <c r="A156" i="15"/>
  <c r="E156" i="15" s="1"/>
  <c r="Z156" i="15" s="1"/>
  <c r="A157" i="15"/>
  <c r="E157" i="15" s="1"/>
  <c r="Z157" i="15" s="1"/>
  <c r="A40" i="15"/>
  <c r="E40" i="15" s="1"/>
  <c r="Z40" i="15" s="1"/>
  <c r="A81" i="15"/>
  <c r="E81" i="15" s="1"/>
  <c r="Z81" i="15" s="1"/>
  <c r="A133" i="15"/>
  <c r="E133" i="15" s="1"/>
  <c r="Z133" i="15" s="1"/>
  <c r="A103" i="15"/>
  <c r="E103" i="15" s="1"/>
  <c r="Z103" i="15" s="1"/>
  <c r="A195" i="15"/>
  <c r="E195" i="15" s="1"/>
  <c r="Z195" i="15" s="1"/>
  <c r="A42" i="15"/>
  <c r="E42" i="15" s="1"/>
  <c r="Z42" i="15" s="1"/>
  <c r="A82" i="15"/>
  <c r="E82" i="15" s="1"/>
  <c r="Z82" i="15" s="1"/>
  <c r="A134" i="15"/>
  <c r="E134" i="15" s="1"/>
  <c r="Z134" i="15" s="1"/>
  <c r="A187" i="15"/>
  <c r="E187" i="15" s="1"/>
  <c r="Z187" i="15" s="1"/>
  <c r="A44" i="15"/>
  <c r="E44" i="15" s="1"/>
  <c r="Z44" i="15" s="1"/>
  <c r="A83" i="15"/>
  <c r="E83" i="15" s="1"/>
  <c r="Z83" i="15" s="1"/>
  <c r="A136" i="15"/>
  <c r="E136" i="15" s="1"/>
  <c r="Z136" i="15" s="1"/>
  <c r="A188" i="15"/>
  <c r="E188" i="15" s="1"/>
  <c r="Z188" i="15" s="1"/>
  <c r="A139" i="15"/>
  <c r="E139" i="15" s="1"/>
  <c r="Z139" i="15" s="1"/>
  <c r="A101" i="15"/>
  <c r="E101" i="15" s="1"/>
  <c r="Z101" i="15" s="1"/>
  <c r="A48" i="15"/>
  <c r="E48" i="15" s="1"/>
  <c r="Z48" i="15" s="1"/>
  <c r="A8" i="15"/>
  <c r="E8" i="15" s="1"/>
  <c r="Z8" i="15" s="1"/>
  <c r="A10" i="15"/>
  <c r="E10" i="15" s="1"/>
  <c r="Z10" i="15" s="1"/>
  <c r="A16" i="15"/>
  <c r="E16" i="15" s="1"/>
  <c r="Z16" i="15" s="1"/>
  <c r="A158" i="15"/>
  <c r="E158" i="15" s="1"/>
  <c r="Z158" i="15" s="1"/>
  <c r="A45" i="15"/>
  <c r="E45" i="15" s="1"/>
  <c r="Z45" i="15" s="1"/>
  <c r="A97" i="15"/>
  <c r="E97" i="15" s="1"/>
  <c r="Z97" i="15" s="1"/>
  <c r="A138" i="15"/>
  <c r="E138" i="15" s="1"/>
  <c r="Z138" i="15" s="1"/>
  <c r="A189" i="15"/>
  <c r="E189" i="15" s="1"/>
  <c r="Z189" i="15" s="1"/>
  <c r="A193" i="15"/>
  <c r="E193" i="15" s="1"/>
  <c r="Z193" i="15" s="1"/>
  <c r="A194" i="15"/>
  <c r="E194" i="15" s="1"/>
  <c r="Z194" i="15" s="1"/>
  <c r="A111" i="15"/>
  <c r="E111" i="15" s="1"/>
  <c r="Z111" i="15" s="1"/>
  <c r="A104" i="15"/>
  <c r="E104" i="15" s="1"/>
  <c r="Z104" i="15" s="1"/>
  <c r="A18" i="15"/>
  <c r="E18" i="15" s="1"/>
  <c r="Z18" i="15" s="1"/>
  <c r="A204" i="15"/>
  <c r="E204" i="15" s="1"/>
  <c r="Z204" i="15" s="1"/>
  <c r="A19" i="15"/>
  <c r="E19" i="15" s="1"/>
  <c r="Z19" i="15" s="1"/>
  <c r="A166" i="15"/>
  <c r="E166" i="15" s="1"/>
  <c r="Z166" i="15" s="1"/>
  <c r="A21" i="15"/>
  <c r="E21" i="15" s="1"/>
  <c r="Z21" i="15" s="1"/>
  <c r="A22" i="15"/>
  <c r="E22" i="15" s="1"/>
  <c r="Z22" i="15" s="1"/>
  <c r="A77" i="15"/>
  <c r="E77" i="15" s="1"/>
  <c r="Z77" i="15" s="1"/>
  <c r="A112" i="15"/>
  <c r="E112" i="15" s="1"/>
  <c r="Z112" i="15" s="1"/>
  <c r="A129" i="15"/>
  <c r="E129" i="15" s="1"/>
  <c r="Z129" i="15" s="1"/>
  <c r="A67" i="15"/>
  <c r="E67" i="15" s="1"/>
  <c r="Z67" i="15" s="1"/>
  <c r="A113" i="15"/>
  <c r="E113" i="15" s="1"/>
  <c r="Z113" i="15" s="1"/>
  <c r="A75" i="15"/>
  <c r="E75" i="15" s="1"/>
  <c r="Z75" i="15" s="1"/>
  <c r="A167" i="15"/>
  <c r="E167" i="15" s="1"/>
  <c r="Z167" i="15" s="1"/>
  <c r="A168" i="15"/>
  <c r="E168" i="15" s="1"/>
  <c r="Z168" i="15" s="1"/>
  <c r="A76" i="15"/>
  <c r="E76" i="15" s="1"/>
  <c r="Z76" i="15" s="1"/>
  <c r="A159" i="15"/>
  <c r="E159" i="15" s="1"/>
  <c r="Z159" i="15" s="1"/>
  <c r="A114" i="15"/>
  <c r="E114" i="15" s="1"/>
  <c r="Z114" i="15" s="1"/>
  <c r="I2" i="14"/>
  <c r="I7" i="14"/>
  <c r="F5" i="14"/>
  <c r="F44" i="14" s="1"/>
  <c r="F6" i="14"/>
  <c r="F52" i="14" s="1"/>
  <c r="C6" i="14"/>
  <c r="C53" i="14" s="1"/>
  <c r="C7" i="14"/>
  <c r="C4" i="14"/>
  <c r="J4" i="14" s="1"/>
  <c r="C5" i="14"/>
  <c r="C35" i="14" s="1"/>
  <c r="C3" i="14"/>
  <c r="C11" i="14" s="1"/>
  <c r="I6" i="14"/>
  <c r="F3" i="14"/>
  <c r="I10" i="14" s="1"/>
  <c r="F7" i="14"/>
  <c r="I78" i="14" s="1"/>
  <c r="I4" i="14"/>
  <c r="F4" i="14"/>
  <c r="F19" i="14" s="1"/>
  <c r="I5" i="14"/>
  <c r="I3" i="14"/>
  <c r="C95" i="13"/>
  <c r="J6" i="13"/>
  <c r="J97" i="13" s="1"/>
  <c r="I20" i="13"/>
  <c r="I95" i="13"/>
  <c r="J169" i="11"/>
  <c r="I36" i="13"/>
  <c r="C74" i="13"/>
  <c r="I24" i="13"/>
  <c r="F56" i="13"/>
  <c r="C96" i="13"/>
  <c r="I29" i="13"/>
  <c r="F12" i="13"/>
  <c r="I49" i="13"/>
  <c r="F14" i="13"/>
  <c r="I28" i="13"/>
  <c r="I55" i="13"/>
  <c r="I19" i="13"/>
  <c r="I79" i="13"/>
  <c r="I27" i="13"/>
  <c r="F22" i="13"/>
  <c r="F39" i="13"/>
  <c r="I26" i="13"/>
  <c r="F43" i="13"/>
  <c r="I44" i="13"/>
  <c r="F29" i="13"/>
  <c r="F93" i="13"/>
  <c r="I22" i="13"/>
  <c r="F88" i="13"/>
  <c r="I37" i="13"/>
  <c r="I87" i="13"/>
  <c r="F44" i="13"/>
  <c r="I17" i="13"/>
  <c r="I52" i="13"/>
  <c r="J165" i="11"/>
  <c r="I39" i="13"/>
  <c r="C91" i="13"/>
  <c r="F17" i="13"/>
  <c r="C37" i="13"/>
  <c r="I71" i="13"/>
  <c r="F37" i="13"/>
  <c r="I18" i="13"/>
  <c r="C79" i="13"/>
  <c r="F18" i="13"/>
  <c r="F90" i="13"/>
  <c r="I16" i="13"/>
  <c r="F23" i="13"/>
  <c r="I13" i="13"/>
  <c r="C15" i="13"/>
  <c r="J3" i="13"/>
  <c r="C57" i="13"/>
  <c r="J5" i="13"/>
  <c r="J174" i="11"/>
  <c r="C61" i="13"/>
  <c r="F45" i="13"/>
  <c r="F47" i="13"/>
  <c r="I53" i="13"/>
  <c r="J179" i="11"/>
  <c r="I94" i="13"/>
  <c r="J161" i="11"/>
  <c r="C73" i="13"/>
  <c r="F15" i="13"/>
  <c r="F24" i="13"/>
  <c r="C88" i="13"/>
  <c r="C58" i="13"/>
  <c r="C93" i="13"/>
  <c r="I46" i="13"/>
  <c r="F55" i="13"/>
  <c r="F77" i="13"/>
  <c r="J166" i="11"/>
  <c r="J171" i="11"/>
  <c r="J172" i="11" s="1"/>
  <c r="I40" i="13"/>
  <c r="F58" i="13"/>
  <c r="I69" i="13"/>
  <c r="C77" i="13"/>
  <c r="I15" i="13"/>
  <c r="F40" i="13"/>
  <c r="I47" i="13"/>
  <c r="I7" i="13"/>
  <c r="F94" i="13"/>
  <c r="F87" i="13"/>
  <c r="C60" i="13"/>
  <c r="I11" i="13"/>
  <c r="I48" i="13"/>
  <c r="C92" i="13"/>
  <c r="I12" i="13"/>
  <c r="I93" i="13"/>
  <c r="I41" i="13"/>
  <c r="F46" i="13"/>
  <c r="F42" i="13"/>
  <c r="F54" i="13"/>
  <c r="C39" i="13"/>
  <c r="C78" i="13"/>
  <c r="F38" i="13"/>
  <c r="F97" i="13"/>
  <c r="I14" i="13"/>
  <c r="J176" i="11"/>
  <c r="C40" i="13"/>
  <c r="C43" i="13"/>
  <c r="F49" i="13"/>
  <c r="C45" i="13"/>
  <c r="I54" i="13"/>
  <c r="F19" i="13"/>
  <c r="F52" i="13"/>
  <c r="C52" i="13"/>
  <c r="I10" i="13"/>
  <c r="F20" i="13"/>
  <c r="F76" i="13"/>
  <c r="F16" i="13"/>
  <c r="F79" i="13"/>
  <c r="F9" i="13"/>
  <c r="C94" i="13"/>
  <c r="J160" i="11"/>
  <c r="J61" i="11"/>
  <c r="I45" i="13"/>
  <c r="F92" i="13"/>
  <c r="J180" i="11"/>
  <c r="J168" i="11"/>
  <c r="I56" i="13"/>
  <c r="C47" i="13"/>
  <c r="C75" i="13"/>
  <c r="C87" i="13"/>
  <c r="C89" i="13"/>
  <c r="C29" i="13"/>
  <c r="J4" i="13"/>
  <c r="J36" i="13" s="1"/>
  <c r="J38" i="13" s="1"/>
  <c r="I89" i="13"/>
  <c r="F146" i="11"/>
  <c r="J40" i="11"/>
  <c r="C69" i="13"/>
  <c r="F13" i="13"/>
  <c r="C59" i="13"/>
  <c r="I23" i="13"/>
  <c r="C76" i="13"/>
  <c r="C70" i="13"/>
  <c r="C90" i="13"/>
  <c r="F28" i="13"/>
  <c r="I8" i="13"/>
  <c r="F10" i="13"/>
  <c r="F26" i="13"/>
  <c r="C7" i="13"/>
  <c r="I139" i="11"/>
  <c r="J164" i="11"/>
  <c r="J63" i="11"/>
  <c r="I138" i="11"/>
  <c r="F136" i="11"/>
  <c r="J45" i="11"/>
  <c r="I141" i="11"/>
  <c r="I137" i="11"/>
  <c r="F134" i="11"/>
  <c r="I142" i="11"/>
  <c r="F140" i="11"/>
  <c r="F137" i="11"/>
  <c r="F138" i="11"/>
  <c r="I134" i="11"/>
  <c r="J173" i="11"/>
  <c r="J27" i="11"/>
  <c r="F139" i="11"/>
  <c r="J13" i="11"/>
  <c r="J20" i="11"/>
  <c r="F135" i="11"/>
  <c r="I136" i="11"/>
  <c r="F141" i="11"/>
  <c r="I135" i="11"/>
  <c r="C36" i="11"/>
  <c r="C31" i="11"/>
  <c r="J30" i="11"/>
  <c r="C32" i="11"/>
  <c r="C35" i="11"/>
  <c r="C33" i="11"/>
  <c r="C39" i="11"/>
  <c r="C38" i="11"/>
  <c r="C37" i="11"/>
  <c r="C34" i="11"/>
  <c r="J162" i="11"/>
  <c r="J86" i="11"/>
  <c r="C87" i="11"/>
  <c r="C88" i="11"/>
  <c r="J144" i="11"/>
  <c r="J90" i="11"/>
  <c r="C92" i="11"/>
  <c r="C91" i="11"/>
  <c r="J138" i="11"/>
  <c r="J79" i="11"/>
  <c r="C85" i="11"/>
  <c r="C82" i="11"/>
  <c r="C84" i="11"/>
  <c r="C81" i="11"/>
  <c r="C80" i="11"/>
  <c r="C83" i="11"/>
  <c r="J64" i="11"/>
  <c r="J26" i="11"/>
  <c r="J14" i="11"/>
  <c r="J12" i="11"/>
  <c r="J135" i="11"/>
  <c r="J62" i="11"/>
  <c r="J19" i="11"/>
  <c r="J28" i="11"/>
  <c r="J22" i="11"/>
  <c r="J24" i="11" s="1"/>
  <c r="J101" i="11"/>
  <c r="J102" i="11" s="1"/>
  <c r="J29" i="11"/>
  <c r="J18" i="11"/>
  <c r="J134" i="11"/>
  <c r="J58" i="11"/>
  <c r="C60" i="11"/>
  <c r="C59" i="11"/>
  <c r="I105" i="11"/>
  <c r="I110" i="11"/>
  <c r="I113" i="11"/>
  <c r="F110" i="11"/>
  <c r="I112" i="11"/>
  <c r="I117" i="11"/>
  <c r="F119" i="11"/>
  <c r="I119" i="11"/>
  <c r="F120" i="11"/>
  <c r="F114" i="11"/>
  <c r="I122" i="11"/>
  <c r="I109" i="11"/>
  <c r="F106" i="11"/>
  <c r="I111" i="11"/>
  <c r="F118" i="11"/>
  <c r="I106" i="11"/>
  <c r="F108" i="11"/>
  <c r="F117" i="11"/>
  <c r="I108" i="11"/>
  <c r="F104" i="11"/>
  <c r="F121" i="11"/>
  <c r="F113" i="11"/>
  <c r="I114" i="11"/>
  <c r="F122" i="11"/>
  <c r="I116" i="11"/>
  <c r="I115" i="11"/>
  <c r="I118" i="11"/>
  <c r="F105" i="11"/>
  <c r="I107" i="11"/>
  <c r="F112" i="11"/>
  <c r="F107" i="11"/>
  <c r="F109" i="11"/>
  <c r="I121" i="11"/>
  <c r="I104" i="11"/>
  <c r="F111" i="11"/>
  <c r="F115" i="11"/>
  <c r="F116" i="11"/>
  <c r="I120" i="11"/>
  <c r="F102" i="11"/>
  <c r="I102" i="11"/>
  <c r="J142" i="11"/>
  <c r="J141" i="11"/>
  <c r="J100" i="11"/>
  <c r="F55" i="11"/>
  <c r="I55" i="11"/>
  <c r="F54" i="11"/>
  <c r="I56" i="11"/>
  <c r="F57" i="11"/>
  <c r="F53" i="11"/>
  <c r="I53" i="11"/>
  <c r="I57" i="11"/>
  <c r="I54" i="11"/>
  <c r="F56" i="11"/>
  <c r="J11" i="11"/>
  <c r="I127" i="11"/>
  <c r="F129" i="11"/>
  <c r="F131" i="11"/>
  <c r="I130" i="11"/>
  <c r="F128" i="11"/>
  <c r="I131" i="11"/>
  <c r="F125" i="11"/>
  <c r="F127" i="11"/>
  <c r="F126" i="11"/>
  <c r="F124" i="11"/>
  <c r="F132" i="11"/>
  <c r="I124" i="11"/>
  <c r="I125" i="11"/>
  <c r="I126" i="11"/>
  <c r="I132" i="11"/>
  <c r="I128" i="11"/>
  <c r="F130" i="11"/>
  <c r="I129" i="11"/>
  <c r="J47" i="11"/>
  <c r="J49" i="11" s="1"/>
  <c r="J140" i="11"/>
  <c r="C157" i="11"/>
  <c r="J147" i="11"/>
  <c r="C153" i="11"/>
  <c r="C158" i="11"/>
  <c r="C156" i="11"/>
  <c r="C150" i="11"/>
  <c r="C159" i="11"/>
  <c r="C151" i="11"/>
  <c r="C152" i="11"/>
  <c r="C155" i="11"/>
  <c r="C148" i="11"/>
  <c r="C154" i="11"/>
  <c r="C149" i="11"/>
  <c r="J43" i="11"/>
  <c r="J136" i="11"/>
  <c r="J95" i="11"/>
  <c r="C97" i="11"/>
  <c r="C98" i="11"/>
  <c r="C96" i="11"/>
  <c r="J170" i="11"/>
  <c r="F60" i="11"/>
  <c r="I60" i="11"/>
  <c r="I59" i="11"/>
  <c r="F59" i="11"/>
  <c r="F48" i="11"/>
  <c r="I48" i="11"/>
  <c r="I49" i="11"/>
  <c r="F49" i="11"/>
  <c r="I51" i="11"/>
  <c r="F51" i="11"/>
  <c r="F50" i="11"/>
  <c r="I50" i="11"/>
  <c r="C54" i="11"/>
  <c r="J52" i="11"/>
  <c r="C57" i="11"/>
  <c r="C53" i="11"/>
  <c r="C56" i="11"/>
  <c r="C55" i="11"/>
  <c r="J93" i="11"/>
  <c r="C94" i="11"/>
  <c r="I37" i="11"/>
  <c r="F36" i="11"/>
  <c r="F38" i="11"/>
  <c r="I31" i="11"/>
  <c r="I36" i="11"/>
  <c r="I33" i="11"/>
  <c r="F31" i="11"/>
  <c r="I39" i="11"/>
  <c r="F35" i="11"/>
  <c r="I32" i="11"/>
  <c r="I35" i="11"/>
  <c r="I38" i="11"/>
  <c r="F32" i="11"/>
  <c r="F34" i="11"/>
  <c r="F37" i="11"/>
  <c r="F33" i="11"/>
  <c r="I34" i="11"/>
  <c r="F39" i="11"/>
  <c r="J106" i="11" l="1"/>
  <c r="J122" i="11"/>
  <c r="J112" i="11"/>
  <c r="J137" i="11"/>
  <c r="J114" i="11"/>
  <c r="J75" i="11"/>
  <c r="J105" i="11"/>
  <c r="J109" i="11"/>
  <c r="J117" i="11"/>
  <c r="J116" i="11"/>
  <c r="J113" i="11"/>
  <c r="J72" i="11"/>
  <c r="J121" i="11"/>
  <c r="J118" i="11"/>
  <c r="J71" i="11"/>
  <c r="J76" i="11"/>
  <c r="J111" i="11"/>
  <c r="J120" i="11"/>
  <c r="J73" i="11"/>
  <c r="J104" i="11"/>
  <c r="J115" i="11"/>
  <c r="J110" i="11"/>
  <c r="J107" i="11"/>
  <c r="J78" i="11"/>
  <c r="J70" i="11"/>
  <c r="J77" i="11"/>
  <c r="J119" i="11"/>
  <c r="J74" i="11"/>
  <c r="I65" i="13"/>
  <c r="I66" i="13"/>
  <c r="I67" i="13"/>
  <c r="J51" i="11"/>
  <c r="F62" i="13"/>
  <c r="I63" i="13"/>
  <c r="J13" i="13"/>
  <c r="F68" i="13"/>
  <c r="F73" i="14"/>
  <c r="C34" i="14"/>
  <c r="J34" i="14" s="1"/>
  <c r="C8" i="14"/>
  <c r="J53" i="13"/>
  <c r="F78" i="14"/>
  <c r="I72" i="14"/>
  <c r="C19" i="14"/>
  <c r="J19" i="14" s="1"/>
  <c r="C12" i="14"/>
  <c r="C50" i="13"/>
  <c r="F65" i="13"/>
  <c r="J14" i="13"/>
  <c r="F67" i="13"/>
  <c r="J20" i="13"/>
  <c r="C10" i="14"/>
  <c r="I61" i="14"/>
  <c r="C40" i="14"/>
  <c r="C41" i="14" s="1"/>
  <c r="J92" i="11"/>
  <c r="I64" i="13"/>
  <c r="F64" i="13"/>
  <c r="C20" i="14"/>
  <c r="J20" i="14" s="1"/>
  <c r="I62" i="13"/>
  <c r="C25" i="14"/>
  <c r="J25" i="14" s="1"/>
  <c r="J41" i="13"/>
  <c r="F66" i="13"/>
  <c r="C46" i="14"/>
  <c r="J89" i="13"/>
  <c r="I68" i="13"/>
  <c r="C44" i="14"/>
  <c r="J87" i="13"/>
  <c r="J96" i="13"/>
  <c r="C14" i="14"/>
  <c r="F74" i="14"/>
  <c r="F67" i="14"/>
  <c r="F21" i="14"/>
  <c r="I23" i="14" s="1"/>
  <c r="J59" i="13"/>
  <c r="J77" i="13"/>
  <c r="J26" i="13"/>
  <c r="J69" i="13"/>
  <c r="J45" i="13"/>
  <c r="J25" i="13"/>
  <c r="C13" i="14"/>
  <c r="I63" i="14"/>
  <c r="C17" i="14"/>
  <c r="C18" i="14" s="1"/>
  <c r="F20" i="14"/>
  <c r="I73" i="14"/>
  <c r="I21" i="14"/>
  <c r="I74" i="14"/>
  <c r="C16" i="14"/>
  <c r="J73" i="13"/>
  <c r="F17" i="14"/>
  <c r="C29" i="14"/>
  <c r="J29" i="14" s="1"/>
  <c r="C9" i="14"/>
  <c r="C38" i="14"/>
  <c r="J37" i="13"/>
  <c r="J24" i="13"/>
  <c r="I20" i="14"/>
  <c r="C37" i="14"/>
  <c r="J10" i="13"/>
  <c r="C45" i="14"/>
  <c r="C39" i="14"/>
  <c r="J39" i="13"/>
  <c r="F8" i="14"/>
  <c r="J94" i="13"/>
  <c r="J92" i="13"/>
  <c r="I29" i="14"/>
  <c r="C21" i="14"/>
  <c r="C24" i="14" s="1"/>
  <c r="J52" i="13"/>
  <c r="J93" i="13"/>
  <c r="I69" i="14"/>
  <c r="I75" i="14"/>
  <c r="J91" i="11"/>
  <c r="J58" i="13"/>
  <c r="I45" i="14"/>
  <c r="J151" i="11"/>
  <c r="I76" i="14"/>
  <c r="F68" i="14"/>
  <c r="J159" i="11"/>
  <c r="J19" i="13"/>
  <c r="F71" i="14"/>
  <c r="F57" i="14"/>
  <c r="F59" i="14" s="1"/>
  <c r="F75" i="14"/>
  <c r="J150" i="11"/>
  <c r="J11" i="13"/>
  <c r="J57" i="13"/>
  <c r="J27" i="13"/>
  <c r="J95" i="13"/>
  <c r="F37" i="14"/>
  <c r="J21" i="13"/>
  <c r="J23" i="13"/>
  <c r="J12" i="13"/>
  <c r="J156" i="11"/>
  <c r="F9" i="14"/>
  <c r="J54" i="13"/>
  <c r="J87" i="11"/>
  <c r="J16" i="13"/>
  <c r="I12" i="14"/>
  <c r="J7" i="13"/>
  <c r="J28" i="13"/>
  <c r="F11" i="14"/>
  <c r="I36" i="14"/>
  <c r="I14" i="14"/>
  <c r="F10" i="14"/>
  <c r="C36" i="14"/>
  <c r="J46" i="13"/>
  <c r="J9" i="13"/>
  <c r="I13" i="14"/>
  <c r="J8" i="13"/>
  <c r="J85" i="11"/>
  <c r="J78" i="13"/>
  <c r="J17" i="13"/>
  <c r="I11" i="14"/>
  <c r="I37" i="14"/>
  <c r="F56" i="14"/>
  <c r="C77" i="14"/>
  <c r="J7" i="14"/>
  <c r="J31" i="11"/>
  <c r="C66" i="14"/>
  <c r="C75" i="14"/>
  <c r="I62" i="14"/>
  <c r="C61" i="14"/>
  <c r="J6" i="14"/>
  <c r="C83" i="13"/>
  <c r="J79" i="13"/>
  <c r="C82" i="13"/>
  <c r="C85" i="13"/>
  <c r="C86" i="13"/>
  <c r="C80" i="13"/>
  <c r="C81" i="13"/>
  <c r="C84" i="13"/>
  <c r="I56" i="14"/>
  <c r="C57" i="14"/>
  <c r="I35" i="14"/>
  <c r="J49" i="13"/>
  <c r="J51" i="13" s="1"/>
  <c r="C73" i="14"/>
  <c r="C67" i="14"/>
  <c r="I44" i="14"/>
  <c r="J153" i="11"/>
  <c r="J88" i="11"/>
  <c r="J88" i="13"/>
  <c r="J74" i="13"/>
  <c r="I68" i="14"/>
  <c r="F25" i="14"/>
  <c r="F63" i="14"/>
  <c r="F55" i="14"/>
  <c r="I53" i="14"/>
  <c r="I15" i="14"/>
  <c r="F34" i="14"/>
  <c r="C56" i="14"/>
  <c r="F47" i="14"/>
  <c r="I34" i="14"/>
  <c r="I52" i="14"/>
  <c r="I43" i="14"/>
  <c r="A3" i="16"/>
  <c r="E3" i="16" s="1"/>
  <c r="Z3" i="16" s="1"/>
  <c r="A19" i="16"/>
  <c r="E19" i="16" s="1"/>
  <c r="Z19" i="16" s="1"/>
  <c r="A35" i="16"/>
  <c r="E35" i="16" s="1"/>
  <c r="Z35" i="16" s="1"/>
  <c r="A51" i="16"/>
  <c r="E51" i="16" s="1"/>
  <c r="Z51" i="16" s="1"/>
  <c r="A67" i="16"/>
  <c r="E67" i="16" s="1"/>
  <c r="Z67" i="16" s="1"/>
  <c r="A8" i="16"/>
  <c r="E8" i="16" s="1"/>
  <c r="Z8" i="16" s="1"/>
  <c r="A24" i="16"/>
  <c r="E24" i="16" s="1"/>
  <c r="Z24" i="16" s="1"/>
  <c r="A40" i="16"/>
  <c r="E40" i="16" s="1"/>
  <c r="Z40" i="16" s="1"/>
  <c r="A56" i="16"/>
  <c r="E56" i="16" s="1"/>
  <c r="Z56" i="16" s="1"/>
  <c r="A72" i="16"/>
  <c r="E72" i="16" s="1"/>
  <c r="Z72" i="16" s="1"/>
  <c r="A16" i="16"/>
  <c r="E16" i="16" s="1"/>
  <c r="Z16" i="16" s="1"/>
  <c r="A32" i="16"/>
  <c r="E32" i="16" s="1"/>
  <c r="Z32" i="16" s="1"/>
  <c r="A48" i="16"/>
  <c r="E48" i="16" s="1"/>
  <c r="Z48" i="16" s="1"/>
  <c r="A64" i="16"/>
  <c r="E64" i="16" s="1"/>
  <c r="Z64" i="16" s="1"/>
  <c r="A80" i="16"/>
  <c r="E80" i="16" s="1"/>
  <c r="Z80" i="16" s="1"/>
  <c r="A11" i="16"/>
  <c r="E11" i="16" s="1"/>
  <c r="Z11" i="16" s="1"/>
  <c r="A30" i="16"/>
  <c r="E30" i="16" s="1"/>
  <c r="Z30" i="16" s="1"/>
  <c r="A50" i="16"/>
  <c r="E50" i="16" s="1"/>
  <c r="Z50" i="16" s="1"/>
  <c r="A70" i="16"/>
  <c r="E70" i="16" s="1"/>
  <c r="Z70" i="16" s="1"/>
  <c r="A12" i="16"/>
  <c r="E12" i="16" s="1"/>
  <c r="Z12" i="16" s="1"/>
  <c r="A31" i="16"/>
  <c r="E31" i="16" s="1"/>
  <c r="Z31" i="16" s="1"/>
  <c r="A52" i="16"/>
  <c r="E52" i="16" s="1"/>
  <c r="Z52" i="16" s="1"/>
  <c r="A71" i="16"/>
  <c r="E71" i="16" s="1"/>
  <c r="Z71" i="16" s="1"/>
  <c r="A13" i="16"/>
  <c r="E13" i="16" s="1"/>
  <c r="Z13" i="16" s="1"/>
  <c r="A33" i="16"/>
  <c r="E33" i="16" s="1"/>
  <c r="Z33" i="16" s="1"/>
  <c r="A53" i="16"/>
  <c r="E53" i="16" s="1"/>
  <c r="Z53" i="16" s="1"/>
  <c r="A73" i="16"/>
  <c r="E73" i="16" s="1"/>
  <c r="Z73" i="16" s="1"/>
  <c r="A14" i="16"/>
  <c r="E14" i="16" s="1"/>
  <c r="Z14" i="16" s="1"/>
  <c r="A34" i="16"/>
  <c r="E34" i="16" s="1"/>
  <c r="Z34" i="16" s="1"/>
  <c r="A54" i="16"/>
  <c r="E54" i="16" s="1"/>
  <c r="Z54" i="16" s="1"/>
  <c r="A74" i="16"/>
  <c r="E74" i="16" s="1"/>
  <c r="Z74" i="16" s="1"/>
  <c r="A15" i="16"/>
  <c r="E15" i="16" s="1"/>
  <c r="Z15" i="16" s="1"/>
  <c r="A36" i="16"/>
  <c r="E36" i="16" s="1"/>
  <c r="Z36" i="16" s="1"/>
  <c r="A55" i="16"/>
  <c r="E55" i="16" s="1"/>
  <c r="Z55" i="16" s="1"/>
  <c r="A75" i="16"/>
  <c r="E75" i="16" s="1"/>
  <c r="Z75" i="16" s="1"/>
  <c r="A4" i="16"/>
  <c r="E4" i="16" s="1"/>
  <c r="Z4" i="16" s="1"/>
  <c r="A23" i="16"/>
  <c r="E23" i="16" s="1"/>
  <c r="Z23" i="16" s="1"/>
  <c r="A43" i="16"/>
  <c r="E43" i="16" s="1"/>
  <c r="Z43" i="16" s="1"/>
  <c r="A62" i="16"/>
  <c r="E62" i="16" s="1"/>
  <c r="Z62" i="16" s="1"/>
  <c r="A9" i="16"/>
  <c r="E9" i="16" s="1"/>
  <c r="Z9" i="16" s="1"/>
  <c r="A42" i="16"/>
  <c r="E42" i="16" s="1"/>
  <c r="Z42" i="16" s="1"/>
  <c r="A76" i="16"/>
  <c r="E76" i="16" s="1"/>
  <c r="Z76" i="16" s="1"/>
  <c r="A10" i="16"/>
  <c r="E10" i="16" s="1"/>
  <c r="Z10" i="16" s="1"/>
  <c r="A44" i="16"/>
  <c r="E44" i="16" s="1"/>
  <c r="Z44" i="16" s="1"/>
  <c r="A77" i="16"/>
  <c r="E77" i="16" s="1"/>
  <c r="Z77" i="16" s="1"/>
  <c r="A17" i="16"/>
  <c r="E17" i="16" s="1"/>
  <c r="Z17" i="16" s="1"/>
  <c r="A45" i="16"/>
  <c r="E45" i="16" s="1"/>
  <c r="Z45" i="16" s="1"/>
  <c r="A78" i="16"/>
  <c r="E78" i="16" s="1"/>
  <c r="Z78" i="16" s="1"/>
  <c r="A18" i="16"/>
  <c r="E18" i="16" s="1"/>
  <c r="Z18" i="16" s="1"/>
  <c r="A46" i="16"/>
  <c r="E46" i="16" s="1"/>
  <c r="Z46" i="16" s="1"/>
  <c r="A79" i="16"/>
  <c r="E79" i="16" s="1"/>
  <c r="Z79" i="16" s="1"/>
  <c r="A20" i="16"/>
  <c r="E20" i="16" s="1"/>
  <c r="Z20" i="16" s="1"/>
  <c r="A47" i="16"/>
  <c r="E47" i="16" s="1"/>
  <c r="Z47" i="16" s="1"/>
  <c r="A2" i="16"/>
  <c r="E2" i="16" s="1"/>
  <c r="Z2" i="16" s="1"/>
  <c r="A21" i="16"/>
  <c r="E21" i="16" s="1"/>
  <c r="Z21" i="16" s="1"/>
  <c r="A49" i="16"/>
  <c r="E49" i="16" s="1"/>
  <c r="Z49" i="16" s="1"/>
  <c r="A5" i="16"/>
  <c r="E5" i="16" s="1"/>
  <c r="Z5" i="16" s="1"/>
  <c r="A60" i="16"/>
  <c r="E60" i="16" s="1"/>
  <c r="Z60" i="16" s="1"/>
  <c r="A27" i="16"/>
  <c r="E27" i="16" s="1"/>
  <c r="Z27" i="16" s="1"/>
  <c r="A28" i="16"/>
  <c r="E28" i="16" s="1"/>
  <c r="Z28" i="16" s="1"/>
  <c r="A39" i="16"/>
  <c r="E39" i="16" s="1"/>
  <c r="Z39" i="16" s="1"/>
  <c r="A6" i="16"/>
  <c r="E6" i="16" s="1"/>
  <c r="Z6" i="16" s="1"/>
  <c r="A61" i="16"/>
  <c r="E61" i="16" s="1"/>
  <c r="Z61" i="16" s="1"/>
  <c r="A37" i="16"/>
  <c r="E37" i="16" s="1"/>
  <c r="Z37" i="16" s="1"/>
  <c r="A7" i="16"/>
  <c r="E7" i="16" s="1"/>
  <c r="Z7" i="16" s="1"/>
  <c r="A63" i="16"/>
  <c r="E63" i="16" s="1"/>
  <c r="Z63" i="16" s="1"/>
  <c r="A22" i="16"/>
  <c r="E22" i="16" s="1"/>
  <c r="Z22" i="16" s="1"/>
  <c r="A65" i="16"/>
  <c r="E65" i="16" s="1"/>
  <c r="Z65" i="16" s="1"/>
  <c r="A25" i="16"/>
  <c r="E25" i="16" s="1"/>
  <c r="Z25" i="16" s="1"/>
  <c r="A66" i="16"/>
  <c r="E66" i="16" s="1"/>
  <c r="Z66" i="16" s="1"/>
  <c r="A69" i="16"/>
  <c r="E69" i="16" s="1"/>
  <c r="Z69" i="16" s="1"/>
  <c r="A29" i="16"/>
  <c r="E29" i="16" s="1"/>
  <c r="Z29" i="16" s="1"/>
  <c r="A26" i="16"/>
  <c r="E26" i="16" s="1"/>
  <c r="Z26" i="16" s="1"/>
  <c r="A68" i="16"/>
  <c r="E68" i="16" s="1"/>
  <c r="Z68" i="16" s="1"/>
  <c r="A38" i="16"/>
  <c r="E38" i="16" s="1"/>
  <c r="Z38" i="16" s="1"/>
  <c r="A58" i="16"/>
  <c r="E58" i="16" s="1"/>
  <c r="Z58" i="16" s="1"/>
  <c r="A41" i="16"/>
  <c r="E41" i="16" s="1"/>
  <c r="Z41" i="16" s="1"/>
  <c r="A59" i="16"/>
  <c r="E59" i="16" s="1"/>
  <c r="Z59" i="16" s="1"/>
  <c r="A57" i="16"/>
  <c r="E57" i="16" s="1"/>
  <c r="Z57" i="16" s="1"/>
  <c r="I2" i="15"/>
  <c r="F6" i="15"/>
  <c r="I163" i="15" s="1"/>
  <c r="I7" i="15"/>
  <c r="F3" i="15"/>
  <c r="I41" i="15" s="1"/>
  <c r="C6" i="15"/>
  <c r="C138" i="15" s="1"/>
  <c r="C150" i="15" s="1"/>
  <c r="I6" i="15"/>
  <c r="F5" i="15"/>
  <c r="I94" i="15" s="1"/>
  <c r="C4" i="15"/>
  <c r="J4" i="15" s="1"/>
  <c r="I3" i="15"/>
  <c r="C3" i="15"/>
  <c r="C37" i="15" s="1"/>
  <c r="I4" i="15"/>
  <c r="C7" i="15"/>
  <c r="F7" i="15"/>
  <c r="F211" i="15" s="1"/>
  <c r="C5" i="15"/>
  <c r="C94" i="15" s="1"/>
  <c r="C99" i="15" s="1"/>
  <c r="F4" i="15"/>
  <c r="I85" i="15" s="1"/>
  <c r="I5" i="15"/>
  <c r="J22" i="13"/>
  <c r="C74" i="14"/>
  <c r="I39" i="14"/>
  <c r="F36" i="14"/>
  <c r="C72" i="14"/>
  <c r="C54" i="14"/>
  <c r="F38" i="14"/>
  <c r="I25" i="14"/>
  <c r="I70" i="14"/>
  <c r="J48" i="13"/>
  <c r="F23" i="14"/>
  <c r="F66" i="14"/>
  <c r="I9" i="14"/>
  <c r="F12" i="14"/>
  <c r="I46" i="14"/>
  <c r="I66" i="14"/>
  <c r="F62" i="14"/>
  <c r="J56" i="13"/>
  <c r="I16" i="14"/>
  <c r="J50" i="11"/>
  <c r="F45" i="14"/>
  <c r="F70" i="14"/>
  <c r="C52" i="14"/>
  <c r="F43" i="14"/>
  <c r="C68" i="14"/>
  <c r="J33" i="11"/>
  <c r="J90" i="13"/>
  <c r="J47" i="13"/>
  <c r="I83" i="13"/>
  <c r="I86" i="13"/>
  <c r="F81" i="13"/>
  <c r="F82" i="13"/>
  <c r="F80" i="13"/>
  <c r="I85" i="13"/>
  <c r="F84" i="13"/>
  <c r="F83" i="13"/>
  <c r="F85" i="13"/>
  <c r="I82" i="13"/>
  <c r="F86" i="13"/>
  <c r="I81" i="13"/>
  <c r="I84" i="13"/>
  <c r="I80" i="13"/>
  <c r="F32" i="13"/>
  <c r="F35" i="13"/>
  <c r="F30" i="13"/>
  <c r="I35" i="13"/>
  <c r="I31" i="13"/>
  <c r="I33" i="13"/>
  <c r="F33" i="13"/>
  <c r="I34" i="13"/>
  <c r="I30" i="13"/>
  <c r="F34" i="13"/>
  <c r="F31" i="13"/>
  <c r="I32" i="13"/>
  <c r="C71" i="14"/>
  <c r="F40" i="14"/>
  <c r="F61" i="14"/>
  <c r="F15" i="14"/>
  <c r="F39" i="14"/>
  <c r="C76" i="14"/>
  <c r="C62" i="14"/>
  <c r="C15" i="14"/>
  <c r="J3" i="14"/>
  <c r="J61" i="13"/>
  <c r="C62" i="13"/>
  <c r="C63" i="13"/>
  <c r="C65" i="13"/>
  <c r="C64" i="13"/>
  <c r="C68" i="13"/>
  <c r="C66" i="13"/>
  <c r="C67" i="13"/>
  <c r="C78" i="14"/>
  <c r="I51" i="13"/>
  <c r="F51" i="13"/>
  <c r="I50" i="13"/>
  <c r="F50" i="13"/>
  <c r="I40" i="14"/>
  <c r="J29" i="13"/>
  <c r="C32" i="13"/>
  <c r="C31" i="13"/>
  <c r="C35" i="13"/>
  <c r="C33" i="13"/>
  <c r="C30" i="13"/>
  <c r="C34" i="13"/>
  <c r="F53" i="14"/>
  <c r="C69" i="14"/>
  <c r="I47" i="14"/>
  <c r="J37" i="11"/>
  <c r="F76" i="14"/>
  <c r="J154" i="11"/>
  <c r="J75" i="13"/>
  <c r="I71" i="14"/>
  <c r="J148" i="11"/>
  <c r="J55" i="11"/>
  <c r="J155" i="11"/>
  <c r="J35" i="11"/>
  <c r="J70" i="13"/>
  <c r="J60" i="13"/>
  <c r="J18" i="13"/>
  <c r="I67" i="14"/>
  <c r="I8" i="14"/>
  <c r="F35" i="14"/>
  <c r="C47" i="14"/>
  <c r="I77" i="14"/>
  <c r="F72" i="14"/>
  <c r="F46" i="14"/>
  <c r="F69" i="14"/>
  <c r="C43" i="14"/>
  <c r="J5" i="14"/>
  <c r="J35" i="14" s="1"/>
  <c r="J71" i="13"/>
  <c r="I38" i="14"/>
  <c r="C63" i="14"/>
  <c r="I57" i="14"/>
  <c r="C70" i="14"/>
  <c r="J34" i="11"/>
  <c r="J43" i="13"/>
  <c r="I55" i="14"/>
  <c r="F54" i="14"/>
  <c r="J38" i="11"/>
  <c r="J40" i="13"/>
  <c r="J39" i="11"/>
  <c r="J15" i="13"/>
  <c r="J56" i="11"/>
  <c r="J152" i="11"/>
  <c r="J32" i="11"/>
  <c r="J76" i="13"/>
  <c r="J55" i="13"/>
  <c r="J42" i="13"/>
  <c r="J44" i="13"/>
  <c r="J91" i="13"/>
  <c r="I17" i="14"/>
  <c r="F16" i="14"/>
  <c r="F14" i="14"/>
  <c r="F29" i="14"/>
  <c r="C55" i="14"/>
  <c r="F77" i="14"/>
  <c r="I19" i="14"/>
  <c r="I54" i="14"/>
  <c r="F13" i="14"/>
  <c r="J72" i="13"/>
  <c r="J80" i="11"/>
  <c r="J81" i="11"/>
  <c r="J94" i="11"/>
  <c r="J149" i="11"/>
  <c r="J82" i="11"/>
  <c r="J53" i="11"/>
  <c r="J57" i="11"/>
  <c r="J54" i="11"/>
  <c r="J59" i="11"/>
  <c r="J158" i="11"/>
  <c r="J60" i="11"/>
  <c r="J157" i="11"/>
  <c r="J48" i="11"/>
  <c r="J83" i="11"/>
  <c r="J84" i="11"/>
  <c r="J96" i="11"/>
  <c r="J98" i="11"/>
  <c r="J36" i="11"/>
  <c r="J97" i="11"/>
  <c r="J23" i="11"/>
  <c r="C130" i="15" l="1"/>
  <c r="C131" i="15" s="1"/>
  <c r="C132" i="15" s="1"/>
  <c r="I22" i="14"/>
  <c r="C32" i="14"/>
  <c r="J32" i="14" s="1"/>
  <c r="J78" i="14"/>
  <c r="C31" i="14"/>
  <c r="J31" i="14" s="1"/>
  <c r="C33" i="14"/>
  <c r="J33" i="14" s="1"/>
  <c r="F42" i="15"/>
  <c r="F46" i="15" s="1"/>
  <c r="I199" i="15"/>
  <c r="F138" i="15"/>
  <c r="F152" i="15" s="1"/>
  <c r="C134" i="15"/>
  <c r="F24" i="15"/>
  <c r="I27" i="15" s="1"/>
  <c r="C163" i="15"/>
  <c r="C192" i="15" s="1"/>
  <c r="J38" i="14"/>
  <c r="I58" i="14"/>
  <c r="C42" i="14"/>
  <c r="J36" i="14"/>
  <c r="J34" i="13"/>
  <c r="J37" i="14"/>
  <c r="J74" i="14"/>
  <c r="J56" i="14"/>
  <c r="C28" i="14"/>
  <c r="J28" i="14" s="1"/>
  <c r="J45" i="14"/>
  <c r="C26" i="14"/>
  <c r="J26" i="14" s="1"/>
  <c r="C41" i="15"/>
  <c r="F58" i="14"/>
  <c r="C27" i="14"/>
  <c r="J27" i="14" s="1"/>
  <c r="I37" i="15"/>
  <c r="J72" i="14"/>
  <c r="J9" i="14"/>
  <c r="J76" i="14"/>
  <c r="I130" i="15"/>
  <c r="J40" i="14"/>
  <c r="J41" i="14" s="1"/>
  <c r="C137" i="15"/>
  <c r="J73" i="14"/>
  <c r="C143" i="15"/>
  <c r="C147" i="15" s="1"/>
  <c r="C39" i="15"/>
  <c r="C30" i="14"/>
  <c r="J30" i="14" s="1"/>
  <c r="J80" i="13"/>
  <c r="J21" i="14"/>
  <c r="J24" i="14" s="1"/>
  <c r="C23" i="14"/>
  <c r="C22" i="14"/>
  <c r="I18" i="14"/>
  <c r="F18" i="14"/>
  <c r="I24" i="14"/>
  <c r="F24" i="14"/>
  <c r="F22" i="14"/>
  <c r="J17" i="14"/>
  <c r="J18" i="14" s="1"/>
  <c r="F90" i="15"/>
  <c r="F100" i="15" s="1"/>
  <c r="C85" i="15"/>
  <c r="C89" i="15" s="1"/>
  <c r="J86" i="13"/>
  <c r="C12" i="15"/>
  <c r="J69" i="14"/>
  <c r="F108" i="15"/>
  <c r="I128" i="15" s="1"/>
  <c r="C13" i="15"/>
  <c r="J39" i="14"/>
  <c r="J63" i="13"/>
  <c r="F130" i="15"/>
  <c r="F131" i="15" s="1"/>
  <c r="F135" i="15" s="1"/>
  <c r="J85" i="13"/>
  <c r="C22" i="15"/>
  <c r="C23" i="15" s="1"/>
  <c r="J50" i="13"/>
  <c r="J68" i="14"/>
  <c r="J82" i="13"/>
  <c r="J62" i="14"/>
  <c r="C133" i="15"/>
  <c r="C9" i="15"/>
  <c r="C17" i="15"/>
  <c r="J70" i="14"/>
  <c r="J71" i="14"/>
  <c r="J54" i="14"/>
  <c r="F21" i="15"/>
  <c r="C10" i="15"/>
  <c r="F13" i="15"/>
  <c r="F14" i="15"/>
  <c r="F9" i="15"/>
  <c r="I38" i="15"/>
  <c r="I19" i="15"/>
  <c r="J66" i="13"/>
  <c r="I59" i="14"/>
  <c r="C58" i="15"/>
  <c r="C79" i="15" s="1"/>
  <c r="F15" i="15"/>
  <c r="I12" i="15"/>
  <c r="I8" i="15"/>
  <c r="F37" i="15"/>
  <c r="J68" i="13"/>
  <c r="F60" i="14"/>
  <c r="F10" i="15"/>
  <c r="I15" i="15"/>
  <c r="I31" i="15"/>
  <c r="F16" i="15"/>
  <c r="J64" i="13"/>
  <c r="C151" i="15"/>
  <c r="I16" i="15"/>
  <c r="I39" i="15"/>
  <c r="C14" i="15"/>
  <c r="F19" i="15"/>
  <c r="J67" i="13"/>
  <c r="I14" i="15"/>
  <c r="I13" i="15"/>
  <c r="F41" i="15"/>
  <c r="F39" i="15"/>
  <c r="C42" i="15"/>
  <c r="C48" i="15" s="1"/>
  <c r="F163" i="15"/>
  <c r="F164" i="15" s="1"/>
  <c r="I108" i="15"/>
  <c r="C19" i="15"/>
  <c r="C15" i="15"/>
  <c r="I90" i="15"/>
  <c r="C16" i="15"/>
  <c r="J67" i="14"/>
  <c r="J75" i="14"/>
  <c r="F20" i="15"/>
  <c r="I9" i="15"/>
  <c r="J32" i="13"/>
  <c r="F31" i="15"/>
  <c r="I33" i="15" s="1"/>
  <c r="I18" i="15"/>
  <c r="C21" i="15"/>
  <c r="J66" i="14"/>
  <c r="F8" i="15"/>
  <c r="I22" i="15"/>
  <c r="F199" i="15"/>
  <c r="F18" i="15"/>
  <c r="F38" i="15"/>
  <c r="I40" i="15"/>
  <c r="I17" i="15"/>
  <c r="C31" i="15"/>
  <c r="C32" i="15" s="1"/>
  <c r="C11" i="15"/>
  <c r="J77" i="14"/>
  <c r="F12" i="15"/>
  <c r="I10" i="15"/>
  <c r="I24" i="15"/>
  <c r="I11" i="15"/>
  <c r="I60" i="14"/>
  <c r="F17" i="15"/>
  <c r="F40" i="15"/>
  <c r="F11" i="15"/>
  <c r="C20" i="15"/>
  <c r="J84" i="13"/>
  <c r="I138" i="15"/>
  <c r="C40" i="15"/>
  <c r="I21" i="15"/>
  <c r="C8" i="15"/>
  <c r="J81" i="13"/>
  <c r="F58" i="15"/>
  <c r="F56" i="15"/>
  <c r="J8" i="14"/>
  <c r="J83" i="13"/>
  <c r="C153" i="15"/>
  <c r="J10" i="14"/>
  <c r="C135" i="15"/>
  <c r="C199" i="15"/>
  <c r="J6" i="15"/>
  <c r="F27" i="14"/>
  <c r="I26" i="14"/>
  <c r="I27" i="14"/>
  <c r="F26" i="14"/>
  <c r="F28" i="14"/>
  <c r="I28" i="14"/>
  <c r="J57" i="14"/>
  <c r="C60" i="14"/>
  <c r="C58" i="14"/>
  <c r="C59" i="14"/>
  <c r="J15" i="14"/>
  <c r="J47" i="14"/>
  <c r="C51" i="14"/>
  <c r="C50" i="14"/>
  <c r="C48" i="14"/>
  <c r="C49" i="14"/>
  <c r="C136" i="15"/>
  <c r="J61" i="14"/>
  <c r="J11" i="14"/>
  <c r="J55" i="14"/>
  <c r="I211" i="15"/>
  <c r="F41" i="14"/>
  <c r="F42" i="14"/>
  <c r="I42" i="14"/>
  <c r="I41" i="14"/>
  <c r="J53" i="14"/>
  <c r="I32" i="14"/>
  <c r="F30" i="14"/>
  <c r="I31" i="14"/>
  <c r="F33" i="14"/>
  <c r="I33" i="14"/>
  <c r="I30" i="14"/>
  <c r="F32" i="14"/>
  <c r="F31" i="14"/>
  <c r="J43" i="14"/>
  <c r="J30" i="13"/>
  <c r="J65" i="13"/>
  <c r="J16" i="14"/>
  <c r="C38" i="15"/>
  <c r="I20" i="15"/>
  <c r="C24" i="15"/>
  <c r="C211" i="15"/>
  <c r="J7" i="15"/>
  <c r="J44" i="14"/>
  <c r="I51" i="14"/>
  <c r="I49" i="14"/>
  <c r="F49" i="14"/>
  <c r="I48" i="14"/>
  <c r="F50" i="14"/>
  <c r="I50" i="14"/>
  <c r="F48" i="14"/>
  <c r="F51" i="14"/>
  <c r="C64" i="14"/>
  <c r="C65" i="14"/>
  <c r="C139" i="15"/>
  <c r="I65" i="14"/>
  <c r="F64" i="14"/>
  <c r="F65" i="14"/>
  <c r="I64" i="14"/>
  <c r="F85" i="15"/>
  <c r="J46" i="14"/>
  <c r="J13" i="14"/>
  <c r="C90" i="15"/>
  <c r="J5" i="15"/>
  <c r="J130" i="15" s="1"/>
  <c r="J131" i="15" s="1"/>
  <c r="F51" i="15"/>
  <c r="J33" i="13"/>
  <c r="J35" i="13"/>
  <c r="J62" i="13"/>
  <c r="J52" i="14"/>
  <c r="C152" i="15"/>
  <c r="C98" i="15"/>
  <c r="I42" i="15"/>
  <c r="F94" i="15"/>
  <c r="F22" i="15"/>
  <c r="J14" i="14"/>
  <c r="J63" i="14"/>
  <c r="C97" i="15"/>
  <c r="I58" i="15"/>
  <c r="C96" i="15"/>
  <c r="A8" i="17"/>
  <c r="E8" i="17" s="1"/>
  <c r="U8" i="17" s="1"/>
  <c r="A24" i="17"/>
  <c r="E24" i="17" s="1"/>
  <c r="U24" i="17" s="1"/>
  <c r="A40" i="17"/>
  <c r="E40" i="17" s="1"/>
  <c r="U40" i="17" s="1"/>
  <c r="A56" i="17"/>
  <c r="E56" i="17" s="1"/>
  <c r="U56" i="17" s="1"/>
  <c r="A72" i="17"/>
  <c r="E72" i="17" s="1"/>
  <c r="U72" i="17" s="1"/>
  <c r="A88" i="17"/>
  <c r="E88" i="17" s="1"/>
  <c r="U88" i="17" s="1"/>
  <c r="A104" i="17"/>
  <c r="E104" i="17" s="1"/>
  <c r="U104" i="17" s="1"/>
  <c r="A120" i="17"/>
  <c r="E120" i="17" s="1"/>
  <c r="U120" i="17" s="1"/>
  <c r="A2" i="17"/>
  <c r="E2" i="17" s="1"/>
  <c r="U2" i="17" s="1"/>
  <c r="A13" i="17"/>
  <c r="E13" i="17" s="1"/>
  <c r="U13" i="17" s="1"/>
  <c r="A29" i="17"/>
  <c r="E29" i="17" s="1"/>
  <c r="U29" i="17" s="1"/>
  <c r="A45" i="17"/>
  <c r="E45" i="17" s="1"/>
  <c r="U45" i="17" s="1"/>
  <c r="A61" i="17"/>
  <c r="E61" i="17" s="1"/>
  <c r="U61" i="17" s="1"/>
  <c r="A77" i="17"/>
  <c r="E77" i="17" s="1"/>
  <c r="U77" i="17" s="1"/>
  <c r="A93" i="17"/>
  <c r="E93" i="17" s="1"/>
  <c r="U93" i="17" s="1"/>
  <c r="A109" i="17"/>
  <c r="E109" i="17" s="1"/>
  <c r="U109" i="17" s="1"/>
  <c r="A125" i="17"/>
  <c r="E125" i="17" s="1"/>
  <c r="U125" i="17" s="1"/>
  <c r="A17" i="17"/>
  <c r="E17" i="17" s="1"/>
  <c r="U17" i="17" s="1"/>
  <c r="A33" i="17"/>
  <c r="E33" i="17" s="1"/>
  <c r="U33" i="17" s="1"/>
  <c r="A49" i="17"/>
  <c r="E49" i="17" s="1"/>
  <c r="U49" i="17" s="1"/>
  <c r="A65" i="17"/>
  <c r="E65" i="17" s="1"/>
  <c r="U65" i="17" s="1"/>
  <c r="A81" i="17"/>
  <c r="E81" i="17" s="1"/>
  <c r="U81" i="17" s="1"/>
  <c r="A97" i="17"/>
  <c r="E97" i="17" s="1"/>
  <c r="U97" i="17" s="1"/>
  <c r="A113" i="17"/>
  <c r="E113" i="17" s="1"/>
  <c r="U113" i="17" s="1"/>
  <c r="A129" i="17"/>
  <c r="E129" i="17" s="1"/>
  <c r="U129" i="17" s="1"/>
  <c r="A5" i="17"/>
  <c r="E5" i="17" s="1"/>
  <c r="U5" i="17" s="1"/>
  <c r="A21" i="17"/>
  <c r="E21" i="17" s="1"/>
  <c r="U21" i="17" s="1"/>
  <c r="A37" i="17"/>
  <c r="E37" i="17" s="1"/>
  <c r="U37" i="17" s="1"/>
  <c r="A53" i="17"/>
  <c r="E53" i="17" s="1"/>
  <c r="U53" i="17" s="1"/>
  <c r="A69" i="17"/>
  <c r="E69" i="17" s="1"/>
  <c r="U69" i="17" s="1"/>
  <c r="A85" i="17"/>
  <c r="E85" i="17" s="1"/>
  <c r="U85" i="17" s="1"/>
  <c r="A101" i="17"/>
  <c r="E101" i="17" s="1"/>
  <c r="U101" i="17" s="1"/>
  <c r="A117" i="17"/>
  <c r="E117" i="17" s="1"/>
  <c r="U117" i="17" s="1"/>
  <c r="A133" i="17"/>
  <c r="E133" i="17" s="1"/>
  <c r="U133" i="17" s="1"/>
  <c r="A14" i="17"/>
  <c r="E14" i="17" s="1"/>
  <c r="U14" i="17" s="1"/>
  <c r="A35" i="17"/>
  <c r="E35" i="17" s="1"/>
  <c r="U35" i="17" s="1"/>
  <c r="A57" i="17"/>
  <c r="E57" i="17" s="1"/>
  <c r="U57" i="17" s="1"/>
  <c r="A78" i="17"/>
  <c r="E78" i="17" s="1"/>
  <c r="U78" i="17" s="1"/>
  <c r="A99" i="17"/>
  <c r="E99" i="17" s="1"/>
  <c r="U99" i="17" s="1"/>
  <c r="A121" i="17"/>
  <c r="E121" i="17" s="1"/>
  <c r="U121" i="17" s="1"/>
  <c r="A15" i="17"/>
  <c r="E15" i="17" s="1"/>
  <c r="U15" i="17" s="1"/>
  <c r="A36" i="17"/>
  <c r="E36" i="17" s="1"/>
  <c r="U36" i="17" s="1"/>
  <c r="A58" i="17"/>
  <c r="E58" i="17" s="1"/>
  <c r="U58" i="17" s="1"/>
  <c r="A79" i="17"/>
  <c r="E79" i="17" s="1"/>
  <c r="U79" i="17" s="1"/>
  <c r="A100" i="17"/>
  <c r="E100" i="17" s="1"/>
  <c r="U100" i="17" s="1"/>
  <c r="A122" i="17"/>
  <c r="E122" i="17" s="1"/>
  <c r="U122" i="17" s="1"/>
  <c r="A16" i="17"/>
  <c r="E16" i="17" s="1"/>
  <c r="U16" i="17" s="1"/>
  <c r="A38" i="17"/>
  <c r="E38" i="17" s="1"/>
  <c r="U38" i="17" s="1"/>
  <c r="A59" i="17"/>
  <c r="E59" i="17" s="1"/>
  <c r="U59" i="17" s="1"/>
  <c r="A80" i="17"/>
  <c r="E80" i="17" s="1"/>
  <c r="U80" i="17" s="1"/>
  <c r="A102" i="17"/>
  <c r="E102" i="17" s="1"/>
  <c r="U102" i="17" s="1"/>
  <c r="A123" i="17"/>
  <c r="E123" i="17" s="1"/>
  <c r="U123" i="17" s="1"/>
  <c r="A18" i="17"/>
  <c r="E18" i="17" s="1"/>
  <c r="U18" i="17" s="1"/>
  <c r="A39" i="17"/>
  <c r="E39" i="17" s="1"/>
  <c r="U39" i="17" s="1"/>
  <c r="A60" i="17"/>
  <c r="E60" i="17" s="1"/>
  <c r="U60" i="17" s="1"/>
  <c r="A82" i="17"/>
  <c r="E82" i="17" s="1"/>
  <c r="U82" i="17" s="1"/>
  <c r="A103" i="17"/>
  <c r="E103" i="17" s="1"/>
  <c r="U103" i="17" s="1"/>
  <c r="A124" i="17"/>
  <c r="E124" i="17" s="1"/>
  <c r="U124" i="17" s="1"/>
  <c r="A19" i="17"/>
  <c r="E19" i="17" s="1"/>
  <c r="U19" i="17" s="1"/>
  <c r="A41" i="17"/>
  <c r="E41" i="17" s="1"/>
  <c r="U41" i="17" s="1"/>
  <c r="A62" i="17"/>
  <c r="E62" i="17" s="1"/>
  <c r="U62" i="17" s="1"/>
  <c r="A83" i="17"/>
  <c r="E83" i="17" s="1"/>
  <c r="U83" i="17" s="1"/>
  <c r="A105" i="17"/>
  <c r="E105" i="17" s="1"/>
  <c r="U105" i="17" s="1"/>
  <c r="A126" i="17"/>
  <c r="E126" i="17" s="1"/>
  <c r="U126" i="17" s="1"/>
  <c r="A6" i="17"/>
  <c r="E6" i="17" s="1"/>
  <c r="U6" i="17" s="1"/>
  <c r="A27" i="17"/>
  <c r="E27" i="17" s="1"/>
  <c r="U27" i="17" s="1"/>
  <c r="A48" i="17"/>
  <c r="E48" i="17" s="1"/>
  <c r="U48" i="17" s="1"/>
  <c r="A70" i="17"/>
  <c r="E70" i="17" s="1"/>
  <c r="U70" i="17" s="1"/>
  <c r="A91" i="17"/>
  <c r="E91" i="17" s="1"/>
  <c r="U91" i="17" s="1"/>
  <c r="A112" i="17"/>
  <c r="E112" i="17" s="1"/>
  <c r="U112" i="17" s="1"/>
  <c r="A134" i="17"/>
  <c r="E134" i="17" s="1"/>
  <c r="U134" i="17" s="1"/>
  <c r="A23" i="17"/>
  <c r="E23" i="17" s="1"/>
  <c r="U23" i="17" s="1"/>
  <c r="A54" i="17"/>
  <c r="E54" i="17" s="1"/>
  <c r="U54" i="17" s="1"/>
  <c r="A90" i="17"/>
  <c r="E90" i="17" s="1"/>
  <c r="U90" i="17" s="1"/>
  <c r="A127" i="17"/>
  <c r="E127" i="17" s="1"/>
  <c r="U127" i="17" s="1"/>
  <c r="A25" i="17"/>
  <c r="E25" i="17" s="1"/>
  <c r="U25" i="17" s="1"/>
  <c r="A55" i="17"/>
  <c r="E55" i="17" s="1"/>
  <c r="U55" i="17" s="1"/>
  <c r="A92" i="17"/>
  <c r="E92" i="17" s="1"/>
  <c r="U92" i="17" s="1"/>
  <c r="A128" i="17"/>
  <c r="E128" i="17" s="1"/>
  <c r="U128" i="17" s="1"/>
  <c r="A26" i="17"/>
  <c r="E26" i="17" s="1"/>
  <c r="U26" i="17" s="1"/>
  <c r="A63" i="17"/>
  <c r="E63" i="17" s="1"/>
  <c r="U63" i="17" s="1"/>
  <c r="A94" i="17"/>
  <c r="E94" i="17" s="1"/>
  <c r="U94" i="17" s="1"/>
  <c r="A130" i="17"/>
  <c r="E130" i="17" s="1"/>
  <c r="U130" i="17" s="1"/>
  <c r="A28" i="17"/>
  <c r="E28" i="17" s="1"/>
  <c r="U28" i="17" s="1"/>
  <c r="A64" i="17"/>
  <c r="E64" i="17" s="1"/>
  <c r="U64" i="17" s="1"/>
  <c r="A95" i="17"/>
  <c r="E95" i="17" s="1"/>
  <c r="U95" i="17" s="1"/>
  <c r="A131" i="17"/>
  <c r="E131" i="17" s="1"/>
  <c r="U131" i="17" s="1"/>
  <c r="A30" i="17"/>
  <c r="E30" i="17" s="1"/>
  <c r="U30" i="17" s="1"/>
  <c r="A66" i="17"/>
  <c r="E66" i="17" s="1"/>
  <c r="U66" i="17" s="1"/>
  <c r="A96" i="17"/>
  <c r="E96" i="17" s="1"/>
  <c r="U96" i="17" s="1"/>
  <c r="A132" i="17"/>
  <c r="E132" i="17" s="1"/>
  <c r="U132" i="17" s="1"/>
  <c r="A31" i="17"/>
  <c r="E31" i="17" s="1"/>
  <c r="U31" i="17" s="1"/>
  <c r="A67" i="17"/>
  <c r="E67" i="17" s="1"/>
  <c r="U67" i="17" s="1"/>
  <c r="A98" i="17"/>
  <c r="E98" i="17" s="1"/>
  <c r="U98" i="17" s="1"/>
  <c r="A135" i="17"/>
  <c r="E135" i="17" s="1"/>
  <c r="U135" i="17" s="1"/>
  <c r="A7" i="17"/>
  <c r="E7" i="17" s="1"/>
  <c r="U7" i="17" s="1"/>
  <c r="A52" i="17"/>
  <c r="E52" i="17" s="1"/>
  <c r="U52" i="17" s="1"/>
  <c r="A114" i="17"/>
  <c r="E114" i="17" s="1"/>
  <c r="U114" i="17" s="1"/>
  <c r="A76" i="17"/>
  <c r="E76" i="17" s="1"/>
  <c r="U76" i="17" s="1"/>
  <c r="A87" i="17"/>
  <c r="E87" i="17" s="1"/>
  <c r="U87" i="17" s="1"/>
  <c r="A9" i="17"/>
  <c r="E9" i="17" s="1"/>
  <c r="U9" i="17" s="1"/>
  <c r="A68" i="17"/>
  <c r="E68" i="17" s="1"/>
  <c r="U68" i="17" s="1"/>
  <c r="A115" i="17"/>
  <c r="E115" i="17" s="1"/>
  <c r="U115" i="17" s="1"/>
  <c r="A84" i="17"/>
  <c r="E84" i="17" s="1"/>
  <c r="U84" i="17" s="1"/>
  <c r="A10" i="17"/>
  <c r="E10" i="17" s="1"/>
  <c r="U10" i="17" s="1"/>
  <c r="A71" i="17"/>
  <c r="E71" i="17" s="1"/>
  <c r="U71" i="17" s="1"/>
  <c r="A116" i="17"/>
  <c r="E116" i="17" s="1"/>
  <c r="U116" i="17" s="1"/>
  <c r="A11" i="17"/>
  <c r="E11" i="17" s="1"/>
  <c r="U11" i="17" s="1"/>
  <c r="A73" i="17"/>
  <c r="E73" i="17" s="1"/>
  <c r="U73" i="17" s="1"/>
  <c r="A118" i="17"/>
  <c r="E118" i="17" s="1"/>
  <c r="U118" i="17" s="1"/>
  <c r="A12" i="17"/>
  <c r="E12" i="17" s="1"/>
  <c r="U12" i="17" s="1"/>
  <c r="A74" i="17"/>
  <c r="E74" i="17" s="1"/>
  <c r="U74" i="17" s="1"/>
  <c r="A119" i="17"/>
  <c r="E119" i="17" s="1"/>
  <c r="U119" i="17" s="1"/>
  <c r="A22" i="17"/>
  <c r="E22" i="17" s="1"/>
  <c r="U22" i="17" s="1"/>
  <c r="A32" i="17"/>
  <c r="E32" i="17" s="1"/>
  <c r="U32" i="17" s="1"/>
  <c r="A34" i="17"/>
  <c r="E34" i="17" s="1"/>
  <c r="U34" i="17" s="1"/>
  <c r="A86" i="17"/>
  <c r="E86" i="17" s="1"/>
  <c r="U86" i="17" s="1"/>
  <c r="A42" i="17"/>
  <c r="E42" i="17" s="1"/>
  <c r="U42" i="17" s="1"/>
  <c r="A106" i="17"/>
  <c r="E106" i="17" s="1"/>
  <c r="U106" i="17" s="1"/>
  <c r="A20" i="17"/>
  <c r="E20" i="17" s="1"/>
  <c r="U20" i="17" s="1"/>
  <c r="A75" i="17"/>
  <c r="E75" i="17" s="1"/>
  <c r="U75" i="17" s="1"/>
  <c r="A44" i="17"/>
  <c r="E44" i="17" s="1"/>
  <c r="U44" i="17" s="1"/>
  <c r="A43" i="17"/>
  <c r="E43" i="17" s="1"/>
  <c r="U43" i="17" s="1"/>
  <c r="A89" i="17"/>
  <c r="E89" i="17" s="1"/>
  <c r="U89" i="17" s="1"/>
  <c r="A107" i="17"/>
  <c r="E107" i="17" s="1"/>
  <c r="U107" i="17" s="1"/>
  <c r="A110" i="17"/>
  <c r="E110" i="17" s="1"/>
  <c r="U110" i="17" s="1"/>
  <c r="A47" i="17"/>
  <c r="E47" i="17" s="1"/>
  <c r="U47" i="17" s="1"/>
  <c r="A108" i="17"/>
  <c r="E108" i="17" s="1"/>
  <c r="U108" i="17" s="1"/>
  <c r="A51" i="17"/>
  <c r="E51" i="17" s="1"/>
  <c r="U51" i="17" s="1"/>
  <c r="A111" i="17"/>
  <c r="E111" i="17" s="1"/>
  <c r="U111" i="17" s="1"/>
  <c r="A46" i="17"/>
  <c r="E46" i="17" s="1"/>
  <c r="U46" i="17" s="1"/>
  <c r="A50" i="17"/>
  <c r="E50" i="17" s="1"/>
  <c r="U50" i="17" s="1"/>
  <c r="A4" i="17"/>
  <c r="E4" i="17" s="1"/>
  <c r="U4" i="17" s="1"/>
  <c r="A3" i="17"/>
  <c r="E3" i="17" s="1"/>
  <c r="U3" i="17" s="1"/>
  <c r="C6" i="16"/>
  <c r="C68" i="16" s="1"/>
  <c r="C5" i="16"/>
  <c r="C42" i="16" s="1"/>
  <c r="C4" i="16"/>
  <c r="C28" i="16" s="1"/>
  <c r="C3" i="16"/>
  <c r="C19" i="16" s="1"/>
  <c r="I6" i="16"/>
  <c r="I5" i="16"/>
  <c r="I4" i="16"/>
  <c r="I2" i="16"/>
  <c r="F3" i="16"/>
  <c r="F15" i="16" s="1"/>
  <c r="I3" i="16"/>
  <c r="F4" i="16"/>
  <c r="F29" i="16" s="1"/>
  <c r="F6" i="16"/>
  <c r="F64" i="16" s="1"/>
  <c r="F5" i="16"/>
  <c r="F49" i="16" s="1"/>
  <c r="I51" i="16" s="1"/>
  <c r="J12" i="14"/>
  <c r="C156" i="15"/>
  <c r="C95" i="15"/>
  <c r="J31" i="13"/>
  <c r="I117" i="15"/>
  <c r="C108" i="15"/>
  <c r="C18" i="15"/>
  <c r="J3" i="15"/>
  <c r="F44" i="15" l="1"/>
  <c r="C196" i="15"/>
  <c r="F54" i="15"/>
  <c r="F50" i="15"/>
  <c r="I44" i="15"/>
  <c r="I47" i="15"/>
  <c r="I53" i="15"/>
  <c r="F52" i="15"/>
  <c r="I46" i="15"/>
  <c r="I49" i="15"/>
  <c r="I50" i="15"/>
  <c r="J58" i="14"/>
  <c r="J60" i="14"/>
  <c r="F55" i="15"/>
  <c r="I51" i="15"/>
  <c r="I151" i="15"/>
  <c r="I48" i="15"/>
  <c r="I43" i="15"/>
  <c r="I156" i="15"/>
  <c r="I55" i="15"/>
  <c r="I56" i="15"/>
  <c r="F49" i="15"/>
  <c r="F153" i="15"/>
  <c r="I155" i="15" s="1"/>
  <c r="J134" i="15"/>
  <c r="F47" i="15"/>
  <c r="I57" i="15"/>
  <c r="I153" i="15"/>
  <c r="F48" i="15"/>
  <c r="I45" i="15"/>
  <c r="C61" i="15"/>
  <c r="C186" i="15"/>
  <c r="I150" i="15"/>
  <c r="C67" i="15"/>
  <c r="C195" i="15"/>
  <c r="J48" i="14"/>
  <c r="I107" i="15"/>
  <c r="C164" i="15"/>
  <c r="F156" i="15"/>
  <c r="F157" i="15" s="1"/>
  <c r="I139" i="15"/>
  <c r="C166" i="15"/>
  <c r="C168" i="15"/>
  <c r="C169" i="15" s="1"/>
  <c r="C176" i="15"/>
  <c r="C178" i="15" s="1"/>
  <c r="F53" i="15"/>
  <c r="I54" i="15"/>
  <c r="F43" i="15"/>
  <c r="C197" i="15"/>
  <c r="C165" i="15"/>
  <c r="I25" i="15"/>
  <c r="F57" i="15"/>
  <c r="C193" i="15"/>
  <c r="F30" i="15"/>
  <c r="F45" i="15"/>
  <c r="I152" i="15"/>
  <c r="I91" i="15"/>
  <c r="F139" i="15"/>
  <c r="F140" i="15" s="1"/>
  <c r="C194" i="15"/>
  <c r="C198" i="15"/>
  <c r="C188" i="15"/>
  <c r="C171" i="15"/>
  <c r="C174" i="15" s="1"/>
  <c r="F28" i="15"/>
  <c r="I26" i="15"/>
  <c r="I30" i="15"/>
  <c r="I143" i="15"/>
  <c r="F150" i="15"/>
  <c r="F27" i="15"/>
  <c r="I52" i="15"/>
  <c r="C185" i="15"/>
  <c r="C183" i="15"/>
  <c r="C145" i="15"/>
  <c r="C190" i="15"/>
  <c r="C191" i="15"/>
  <c r="C189" i="15"/>
  <c r="C181" i="15"/>
  <c r="I28" i="15"/>
  <c r="C51" i="15"/>
  <c r="C182" i="15"/>
  <c r="I29" i="15"/>
  <c r="F151" i="15"/>
  <c r="F26" i="15"/>
  <c r="F29" i="15"/>
  <c r="F25" i="15"/>
  <c r="C167" i="15"/>
  <c r="C180" i="15"/>
  <c r="C184" i="15"/>
  <c r="C187" i="15"/>
  <c r="F196" i="15"/>
  <c r="C175" i="15"/>
  <c r="F143" i="15"/>
  <c r="F145" i="15" s="1"/>
  <c r="C88" i="15"/>
  <c r="C87" i="15"/>
  <c r="C62" i="15"/>
  <c r="F91" i="15"/>
  <c r="I92" i="15" s="1"/>
  <c r="F104" i="15"/>
  <c r="I105" i="15" s="1"/>
  <c r="F111" i="15"/>
  <c r="I113" i="15" s="1"/>
  <c r="I127" i="15"/>
  <c r="C34" i="15"/>
  <c r="C149" i="15"/>
  <c r="C36" i="15"/>
  <c r="F119" i="15"/>
  <c r="J199" i="15"/>
  <c r="F110" i="15"/>
  <c r="F115" i="15"/>
  <c r="I104" i="15"/>
  <c r="C146" i="15"/>
  <c r="F121" i="15"/>
  <c r="C144" i="15"/>
  <c r="C148" i="15"/>
  <c r="J22" i="14"/>
  <c r="C64" i="15"/>
  <c r="C83" i="15"/>
  <c r="J23" i="14"/>
  <c r="J59" i="14"/>
  <c r="C68" i="15"/>
  <c r="F109" i="15"/>
  <c r="C75" i="15"/>
  <c r="J135" i="15"/>
  <c r="I121" i="15"/>
  <c r="I120" i="15"/>
  <c r="F122" i="15"/>
  <c r="F118" i="15"/>
  <c r="I118" i="15"/>
  <c r="I125" i="15"/>
  <c r="J17" i="15"/>
  <c r="I109" i="15"/>
  <c r="F128" i="15"/>
  <c r="C76" i="15"/>
  <c r="I23" i="16"/>
  <c r="F35" i="15"/>
  <c r="C80" i="15"/>
  <c r="I116" i="15"/>
  <c r="F125" i="15"/>
  <c r="C60" i="15"/>
  <c r="C74" i="15"/>
  <c r="C35" i="15"/>
  <c r="I133" i="15"/>
  <c r="I134" i="15"/>
  <c r="F193" i="15"/>
  <c r="F127" i="15"/>
  <c r="F116" i="15"/>
  <c r="I132" i="15"/>
  <c r="C49" i="15"/>
  <c r="I198" i="15"/>
  <c r="F126" i="15"/>
  <c r="F194" i="15"/>
  <c r="C69" i="15"/>
  <c r="C46" i="15"/>
  <c r="F165" i="15"/>
  <c r="F129" i="15"/>
  <c r="I123" i="15"/>
  <c r="F132" i="15"/>
  <c r="I190" i="15"/>
  <c r="F190" i="15"/>
  <c r="I122" i="15"/>
  <c r="I126" i="15"/>
  <c r="I185" i="15"/>
  <c r="F123" i="15"/>
  <c r="C21" i="16"/>
  <c r="F124" i="15"/>
  <c r="J42" i="14"/>
  <c r="I164" i="15"/>
  <c r="C55" i="15"/>
  <c r="I32" i="16"/>
  <c r="I28" i="16"/>
  <c r="C57" i="15"/>
  <c r="I182" i="15"/>
  <c r="I188" i="15"/>
  <c r="J11" i="15"/>
  <c r="C60" i="16"/>
  <c r="F176" i="15"/>
  <c r="F179" i="15" s="1"/>
  <c r="C52" i="15"/>
  <c r="I49" i="16"/>
  <c r="I183" i="15"/>
  <c r="I168" i="15"/>
  <c r="I131" i="15"/>
  <c r="J132" i="15"/>
  <c r="I124" i="15"/>
  <c r="F117" i="15"/>
  <c r="I129" i="15"/>
  <c r="I119" i="15"/>
  <c r="I111" i="15"/>
  <c r="F120" i="15"/>
  <c r="I115" i="15"/>
  <c r="I110" i="15"/>
  <c r="F35" i="16"/>
  <c r="I167" i="15"/>
  <c r="C53" i="15"/>
  <c r="I136" i="15"/>
  <c r="F41" i="16"/>
  <c r="C50" i="15"/>
  <c r="F22" i="16"/>
  <c r="C56" i="16"/>
  <c r="J133" i="15"/>
  <c r="J136" i="15"/>
  <c r="F181" i="15"/>
  <c r="F137" i="15"/>
  <c r="I175" i="15"/>
  <c r="F166" i="15"/>
  <c r="F183" i="15"/>
  <c r="I189" i="15"/>
  <c r="C44" i="15"/>
  <c r="F198" i="15"/>
  <c r="F184" i="15"/>
  <c r="F186" i="15"/>
  <c r="F136" i="15"/>
  <c r="I47" i="16"/>
  <c r="F191" i="15"/>
  <c r="F188" i="15"/>
  <c r="F20" i="16"/>
  <c r="F197" i="15"/>
  <c r="C43" i="15"/>
  <c r="I184" i="15"/>
  <c r="C45" i="15"/>
  <c r="C66" i="16"/>
  <c r="C18" i="16"/>
  <c r="I194" i="15"/>
  <c r="I137" i="15"/>
  <c r="F33" i="16"/>
  <c r="I41" i="16"/>
  <c r="F133" i="15"/>
  <c r="I135" i="15"/>
  <c r="F30" i="16"/>
  <c r="C56" i="15"/>
  <c r="I44" i="16"/>
  <c r="C62" i="16"/>
  <c r="J42" i="15"/>
  <c r="J48" i="15" s="1"/>
  <c r="F134" i="15"/>
  <c r="J85" i="15"/>
  <c r="C86" i="15"/>
  <c r="I171" i="15"/>
  <c r="I165" i="15"/>
  <c r="F107" i="15"/>
  <c r="I100" i="15"/>
  <c r="J41" i="15"/>
  <c r="I34" i="15"/>
  <c r="J37" i="15"/>
  <c r="C67" i="16"/>
  <c r="J10" i="15"/>
  <c r="J58" i="15"/>
  <c r="C81" i="15"/>
  <c r="C65" i="15"/>
  <c r="J18" i="15"/>
  <c r="F43" i="16"/>
  <c r="J163" i="15"/>
  <c r="I15" i="16"/>
  <c r="C79" i="16"/>
  <c r="I197" i="15"/>
  <c r="C77" i="15"/>
  <c r="C66" i="15"/>
  <c r="C72" i="15"/>
  <c r="I32" i="15"/>
  <c r="I196" i="15"/>
  <c r="F34" i="15"/>
  <c r="C73" i="15"/>
  <c r="C70" i="15"/>
  <c r="J49" i="14"/>
  <c r="I36" i="15"/>
  <c r="C49" i="16"/>
  <c r="I13" i="16"/>
  <c r="C30" i="16"/>
  <c r="F54" i="16"/>
  <c r="F50" i="16"/>
  <c r="F8" i="16"/>
  <c r="C52" i="16"/>
  <c r="C26" i="16"/>
  <c r="F36" i="15"/>
  <c r="I176" i="15"/>
  <c r="C63" i="15"/>
  <c r="F192" i="15"/>
  <c r="C84" i="15"/>
  <c r="C47" i="16"/>
  <c r="C54" i="16"/>
  <c r="F10" i="16"/>
  <c r="C55" i="16"/>
  <c r="F168" i="15"/>
  <c r="F169" i="15" s="1"/>
  <c r="J64" i="14"/>
  <c r="F182" i="15"/>
  <c r="C59" i="15"/>
  <c r="C82" i="15"/>
  <c r="F171" i="15"/>
  <c r="F174" i="15" s="1"/>
  <c r="J51" i="14"/>
  <c r="F180" i="15"/>
  <c r="I195" i="15"/>
  <c r="C71" i="15"/>
  <c r="F204" i="15"/>
  <c r="I200" i="15"/>
  <c r="I204" i="15"/>
  <c r="F200" i="15"/>
  <c r="C78" i="15"/>
  <c r="F189" i="15"/>
  <c r="C33" i="15"/>
  <c r="C35" i="16"/>
  <c r="F19" i="16"/>
  <c r="C63" i="16"/>
  <c r="I186" i="15"/>
  <c r="I181" i="15"/>
  <c r="I192" i="15"/>
  <c r="I191" i="15"/>
  <c r="I180" i="15"/>
  <c r="F187" i="15"/>
  <c r="I193" i="15"/>
  <c r="I187" i="15"/>
  <c r="F185" i="15"/>
  <c r="F175" i="15"/>
  <c r="F167" i="15"/>
  <c r="J12" i="15"/>
  <c r="I35" i="15"/>
  <c r="F33" i="15"/>
  <c r="C17" i="16"/>
  <c r="C33" i="16"/>
  <c r="C11" i="16"/>
  <c r="C43" i="16"/>
  <c r="C58" i="16"/>
  <c r="C13" i="16"/>
  <c r="F32" i="15"/>
  <c r="I166" i="15"/>
  <c r="F195" i="15"/>
  <c r="C47" i="15"/>
  <c r="C54" i="15"/>
  <c r="J90" i="15"/>
  <c r="C100" i="15"/>
  <c r="C107" i="15"/>
  <c r="C91" i="15"/>
  <c r="C104" i="15"/>
  <c r="I43" i="16"/>
  <c r="C155" i="15"/>
  <c r="C154" i="15"/>
  <c r="J31" i="15"/>
  <c r="J32" i="15" s="1"/>
  <c r="I160" i="15"/>
  <c r="I159" i="15"/>
  <c r="J50" i="14"/>
  <c r="F79" i="15"/>
  <c r="F65" i="15"/>
  <c r="I83" i="15"/>
  <c r="F77" i="15"/>
  <c r="F74" i="15"/>
  <c r="F66" i="15"/>
  <c r="F61" i="15"/>
  <c r="I68" i="15"/>
  <c r="I77" i="15"/>
  <c r="F73" i="15"/>
  <c r="I82" i="15"/>
  <c r="F76" i="15"/>
  <c r="F81" i="15"/>
  <c r="I63" i="15"/>
  <c r="F62" i="15"/>
  <c r="F84" i="15"/>
  <c r="F83" i="15"/>
  <c r="I84" i="15"/>
  <c r="I59" i="15"/>
  <c r="F82" i="15"/>
  <c r="I66" i="15"/>
  <c r="F68" i="15"/>
  <c r="I78" i="15"/>
  <c r="F59" i="15"/>
  <c r="I69" i="15"/>
  <c r="I81" i="15"/>
  <c r="F69" i="15"/>
  <c r="F67" i="15"/>
  <c r="I70" i="15"/>
  <c r="I79" i="15"/>
  <c r="I65" i="15"/>
  <c r="I80" i="15"/>
  <c r="I76" i="15"/>
  <c r="I62" i="15"/>
  <c r="F60" i="15"/>
  <c r="F63" i="15"/>
  <c r="I74" i="15"/>
  <c r="I72" i="15"/>
  <c r="I73" i="15"/>
  <c r="I61" i="15"/>
  <c r="F75" i="15"/>
  <c r="I71" i="15"/>
  <c r="I67" i="15"/>
  <c r="F78" i="15"/>
  <c r="F80" i="15"/>
  <c r="F72" i="15"/>
  <c r="F64" i="15"/>
  <c r="I60" i="15"/>
  <c r="F70" i="15"/>
  <c r="I75" i="15"/>
  <c r="I64" i="15"/>
  <c r="F71" i="15"/>
  <c r="I65" i="16"/>
  <c r="I69" i="16"/>
  <c r="F38" i="16"/>
  <c r="I50" i="16" s="1"/>
  <c r="F66" i="16"/>
  <c r="I12" i="16"/>
  <c r="F13" i="16"/>
  <c r="C24" i="16"/>
  <c r="F39" i="16"/>
  <c r="F57" i="16"/>
  <c r="I36" i="16"/>
  <c r="I10" i="16"/>
  <c r="F60" i="16"/>
  <c r="F17" i="16"/>
  <c r="F34" i="16"/>
  <c r="C53" i="16"/>
  <c r="J5" i="16"/>
  <c r="A6" i="18"/>
  <c r="E6" i="18" s="1"/>
  <c r="T6" i="18" s="1"/>
  <c r="A22" i="18"/>
  <c r="E22" i="18" s="1"/>
  <c r="T22" i="18" s="1"/>
  <c r="A38" i="18"/>
  <c r="E38" i="18" s="1"/>
  <c r="T38" i="18" s="1"/>
  <c r="A54" i="18"/>
  <c r="E54" i="18" s="1"/>
  <c r="T54" i="18" s="1"/>
  <c r="A70" i="18"/>
  <c r="E70" i="18" s="1"/>
  <c r="T70" i="18" s="1"/>
  <c r="A86" i="18"/>
  <c r="E86" i="18" s="1"/>
  <c r="T86" i="18" s="1"/>
  <c r="A102" i="18"/>
  <c r="E102" i="18" s="1"/>
  <c r="T102" i="18" s="1"/>
  <c r="A118" i="18"/>
  <c r="E118" i="18" s="1"/>
  <c r="T118" i="18" s="1"/>
  <c r="A134" i="18"/>
  <c r="E134" i="18" s="1"/>
  <c r="T134" i="18" s="1"/>
  <c r="A11" i="18"/>
  <c r="E11" i="18" s="1"/>
  <c r="T11" i="18" s="1"/>
  <c r="A27" i="18"/>
  <c r="E27" i="18" s="1"/>
  <c r="T27" i="18" s="1"/>
  <c r="A43" i="18"/>
  <c r="E43" i="18" s="1"/>
  <c r="T43" i="18" s="1"/>
  <c r="A59" i="18"/>
  <c r="E59" i="18" s="1"/>
  <c r="T59" i="18" s="1"/>
  <c r="A75" i="18"/>
  <c r="E75" i="18" s="1"/>
  <c r="T75" i="18" s="1"/>
  <c r="A91" i="18"/>
  <c r="E91" i="18" s="1"/>
  <c r="T91" i="18" s="1"/>
  <c r="A107" i="18"/>
  <c r="E107" i="18" s="1"/>
  <c r="T107" i="18" s="1"/>
  <c r="A123" i="18"/>
  <c r="E123" i="18" s="1"/>
  <c r="T123" i="18" s="1"/>
  <c r="A15" i="18"/>
  <c r="E15" i="18" s="1"/>
  <c r="T15" i="18" s="1"/>
  <c r="A31" i="18"/>
  <c r="E31" i="18" s="1"/>
  <c r="T31" i="18" s="1"/>
  <c r="A47" i="18"/>
  <c r="E47" i="18" s="1"/>
  <c r="T47" i="18" s="1"/>
  <c r="A63" i="18"/>
  <c r="E63" i="18" s="1"/>
  <c r="T63" i="18" s="1"/>
  <c r="A79" i="18"/>
  <c r="E79" i="18" s="1"/>
  <c r="T79" i="18" s="1"/>
  <c r="A95" i="18"/>
  <c r="E95" i="18" s="1"/>
  <c r="T95" i="18" s="1"/>
  <c r="A111" i="18"/>
  <c r="E111" i="18" s="1"/>
  <c r="T111" i="18" s="1"/>
  <c r="A127" i="18"/>
  <c r="E127" i="18" s="1"/>
  <c r="T127" i="18" s="1"/>
  <c r="A17" i="18"/>
  <c r="E17" i="18" s="1"/>
  <c r="T17" i="18" s="1"/>
  <c r="A33" i="18"/>
  <c r="E33" i="18" s="1"/>
  <c r="T33" i="18" s="1"/>
  <c r="A49" i="18"/>
  <c r="E49" i="18" s="1"/>
  <c r="T49" i="18" s="1"/>
  <c r="A65" i="18"/>
  <c r="E65" i="18" s="1"/>
  <c r="T65" i="18" s="1"/>
  <c r="A81" i="18"/>
  <c r="E81" i="18" s="1"/>
  <c r="T81" i="18" s="1"/>
  <c r="A97" i="18"/>
  <c r="E97" i="18" s="1"/>
  <c r="T97" i="18" s="1"/>
  <c r="A113" i="18"/>
  <c r="E113" i="18" s="1"/>
  <c r="T113" i="18" s="1"/>
  <c r="A129" i="18"/>
  <c r="E129" i="18" s="1"/>
  <c r="T129" i="18" s="1"/>
  <c r="A18" i="18"/>
  <c r="E18" i="18" s="1"/>
  <c r="T18" i="18" s="1"/>
  <c r="A34" i="18"/>
  <c r="E34" i="18" s="1"/>
  <c r="T34" i="18" s="1"/>
  <c r="A50" i="18"/>
  <c r="E50" i="18" s="1"/>
  <c r="T50" i="18" s="1"/>
  <c r="A66" i="18"/>
  <c r="E66" i="18" s="1"/>
  <c r="T66" i="18" s="1"/>
  <c r="A82" i="18"/>
  <c r="E82" i="18" s="1"/>
  <c r="T82" i="18" s="1"/>
  <c r="A98" i="18"/>
  <c r="E98" i="18" s="1"/>
  <c r="T98" i="18" s="1"/>
  <c r="A114" i="18"/>
  <c r="E114" i="18" s="1"/>
  <c r="T114" i="18" s="1"/>
  <c r="A130" i="18"/>
  <c r="E130" i="18" s="1"/>
  <c r="T130" i="18" s="1"/>
  <c r="A3" i="18"/>
  <c r="E3" i="18" s="1"/>
  <c r="T3" i="18" s="1"/>
  <c r="A19" i="18"/>
  <c r="E19" i="18" s="1"/>
  <c r="T19" i="18" s="1"/>
  <c r="A35" i="18"/>
  <c r="E35" i="18" s="1"/>
  <c r="T35" i="18" s="1"/>
  <c r="A51" i="18"/>
  <c r="E51" i="18" s="1"/>
  <c r="T51" i="18" s="1"/>
  <c r="A67" i="18"/>
  <c r="E67" i="18" s="1"/>
  <c r="T67" i="18" s="1"/>
  <c r="A83" i="18"/>
  <c r="E83" i="18" s="1"/>
  <c r="T83" i="18" s="1"/>
  <c r="A99" i="18"/>
  <c r="E99" i="18" s="1"/>
  <c r="T99" i="18" s="1"/>
  <c r="A115" i="18"/>
  <c r="E115" i="18" s="1"/>
  <c r="T115" i="18" s="1"/>
  <c r="A131" i="18"/>
  <c r="E131" i="18" s="1"/>
  <c r="T131" i="18" s="1"/>
  <c r="A4" i="18"/>
  <c r="E4" i="18" s="1"/>
  <c r="T4" i="18" s="1"/>
  <c r="A20" i="18"/>
  <c r="E20" i="18" s="1"/>
  <c r="T20" i="18" s="1"/>
  <c r="A36" i="18"/>
  <c r="E36" i="18" s="1"/>
  <c r="T36" i="18" s="1"/>
  <c r="A52" i="18"/>
  <c r="E52" i="18" s="1"/>
  <c r="T52" i="18" s="1"/>
  <c r="A68" i="18"/>
  <c r="E68" i="18" s="1"/>
  <c r="T68" i="18" s="1"/>
  <c r="A84" i="18"/>
  <c r="E84" i="18" s="1"/>
  <c r="T84" i="18" s="1"/>
  <c r="A100" i="18"/>
  <c r="E100" i="18" s="1"/>
  <c r="T100" i="18" s="1"/>
  <c r="A116" i="18"/>
  <c r="E116" i="18" s="1"/>
  <c r="T116" i="18" s="1"/>
  <c r="A132" i="18"/>
  <c r="E132" i="18" s="1"/>
  <c r="T132" i="18" s="1"/>
  <c r="A5" i="18"/>
  <c r="E5" i="18" s="1"/>
  <c r="T5" i="18" s="1"/>
  <c r="A30" i="18"/>
  <c r="E30" i="18" s="1"/>
  <c r="T30" i="18" s="1"/>
  <c r="A60" i="18"/>
  <c r="E60" i="18" s="1"/>
  <c r="T60" i="18" s="1"/>
  <c r="A89" i="18"/>
  <c r="E89" i="18" s="1"/>
  <c r="T89" i="18" s="1"/>
  <c r="A119" i="18"/>
  <c r="E119" i="18" s="1"/>
  <c r="T119" i="18" s="1"/>
  <c r="A7" i="18"/>
  <c r="E7" i="18" s="1"/>
  <c r="T7" i="18" s="1"/>
  <c r="A32" i="18"/>
  <c r="E32" i="18" s="1"/>
  <c r="T32" i="18" s="1"/>
  <c r="A61" i="18"/>
  <c r="E61" i="18" s="1"/>
  <c r="T61" i="18" s="1"/>
  <c r="A90" i="18"/>
  <c r="E90" i="18" s="1"/>
  <c r="T90" i="18" s="1"/>
  <c r="A120" i="18"/>
  <c r="E120" i="18" s="1"/>
  <c r="T120" i="18" s="1"/>
  <c r="A8" i="18"/>
  <c r="E8" i="18" s="1"/>
  <c r="T8" i="18" s="1"/>
  <c r="A37" i="18"/>
  <c r="E37" i="18" s="1"/>
  <c r="T37" i="18" s="1"/>
  <c r="A62" i="18"/>
  <c r="E62" i="18" s="1"/>
  <c r="T62" i="18" s="1"/>
  <c r="A92" i="18"/>
  <c r="E92" i="18" s="1"/>
  <c r="T92" i="18" s="1"/>
  <c r="A121" i="18"/>
  <c r="E121" i="18" s="1"/>
  <c r="T121" i="18" s="1"/>
  <c r="A9" i="18"/>
  <c r="E9" i="18" s="1"/>
  <c r="T9" i="18" s="1"/>
  <c r="A39" i="18"/>
  <c r="E39" i="18" s="1"/>
  <c r="T39" i="18" s="1"/>
  <c r="A64" i="18"/>
  <c r="E64" i="18" s="1"/>
  <c r="T64" i="18" s="1"/>
  <c r="A93" i="18"/>
  <c r="E93" i="18" s="1"/>
  <c r="T93" i="18" s="1"/>
  <c r="A122" i="18"/>
  <c r="E122" i="18" s="1"/>
  <c r="T122" i="18" s="1"/>
  <c r="A10" i="18"/>
  <c r="E10" i="18" s="1"/>
  <c r="T10" i="18" s="1"/>
  <c r="A40" i="18"/>
  <c r="E40" i="18" s="1"/>
  <c r="T40" i="18" s="1"/>
  <c r="A69" i="18"/>
  <c r="E69" i="18" s="1"/>
  <c r="T69" i="18" s="1"/>
  <c r="A94" i="18"/>
  <c r="E94" i="18" s="1"/>
  <c r="T94" i="18" s="1"/>
  <c r="A124" i="18"/>
  <c r="E124" i="18" s="1"/>
  <c r="T124" i="18" s="1"/>
  <c r="A23" i="18"/>
  <c r="E23" i="18" s="1"/>
  <c r="T23" i="18" s="1"/>
  <c r="A48" i="18"/>
  <c r="E48" i="18" s="1"/>
  <c r="T48" i="18" s="1"/>
  <c r="A77" i="18"/>
  <c r="E77" i="18" s="1"/>
  <c r="T77" i="18" s="1"/>
  <c r="A106" i="18"/>
  <c r="E106" i="18" s="1"/>
  <c r="T106" i="18" s="1"/>
  <c r="A136" i="18"/>
  <c r="E136" i="18" s="1"/>
  <c r="T136" i="18" s="1"/>
  <c r="A12" i="18"/>
  <c r="E12" i="18" s="1"/>
  <c r="T12" i="18" s="1"/>
  <c r="A55" i="18"/>
  <c r="E55" i="18" s="1"/>
  <c r="T55" i="18" s="1"/>
  <c r="A103" i="18"/>
  <c r="E103" i="18" s="1"/>
  <c r="T103" i="18" s="1"/>
  <c r="A13" i="18"/>
  <c r="E13" i="18" s="1"/>
  <c r="T13" i="18" s="1"/>
  <c r="A56" i="18"/>
  <c r="E56" i="18" s="1"/>
  <c r="T56" i="18" s="1"/>
  <c r="A104" i="18"/>
  <c r="E104" i="18" s="1"/>
  <c r="T104" i="18" s="1"/>
  <c r="A14" i="18"/>
  <c r="E14" i="18" s="1"/>
  <c r="T14" i="18" s="1"/>
  <c r="A57" i="18"/>
  <c r="E57" i="18" s="1"/>
  <c r="T57" i="18" s="1"/>
  <c r="A105" i="18"/>
  <c r="E105" i="18" s="1"/>
  <c r="T105" i="18" s="1"/>
  <c r="A16" i="18"/>
  <c r="E16" i="18" s="1"/>
  <c r="T16" i="18" s="1"/>
  <c r="A58" i="18"/>
  <c r="E58" i="18" s="1"/>
  <c r="T58" i="18" s="1"/>
  <c r="A108" i="18"/>
  <c r="E108" i="18" s="1"/>
  <c r="T108" i="18" s="1"/>
  <c r="A21" i="18"/>
  <c r="E21" i="18" s="1"/>
  <c r="T21" i="18" s="1"/>
  <c r="A71" i="18"/>
  <c r="E71" i="18" s="1"/>
  <c r="T71" i="18" s="1"/>
  <c r="A109" i="18"/>
  <c r="E109" i="18" s="1"/>
  <c r="T109" i="18" s="1"/>
  <c r="A24" i="18"/>
  <c r="E24" i="18" s="1"/>
  <c r="T24" i="18" s="1"/>
  <c r="A72" i="18"/>
  <c r="E72" i="18" s="1"/>
  <c r="T72" i="18" s="1"/>
  <c r="A110" i="18"/>
  <c r="E110" i="18" s="1"/>
  <c r="T110" i="18" s="1"/>
  <c r="A85" i="18"/>
  <c r="E85" i="18" s="1"/>
  <c r="T85" i="18" s="1"/>
  <c r="A117" i="18"/>
  <c r="E117" i="18" s="1"/>
  <c r="T117" i="18" s="1"/>
  <c r="A45" i="18"/>
  <c r="E45" i="18" s="1"/>
  <c r="T45" i="18" s="1"/>
  <c r="A46" i="18"/>
  <c r="E46" i="18" s="1"/>
  <c r="T46" i="18" s="1"/>
  <c r="A135" i="18"/>
  <c r="E135" i="18" s="1"/>
  <c r="T135" i="18" s="1"/>
  <c r="A25" i="18"/>
  <c r="E25" i="18" s="1"/>
  <c r="T25" i="18" s="1"/>
  <c r="A87" i="18"/>
  <c r="E87" i="18" s="1"/>
  <c r="T87" i="18" s="1"/>
  <c r="A126" i="18"/>
  <c r="E126" i="18" s="1"/>
  <c r="T126" i="18" s="1"/>
  <c r="A26" i="18"/>
  <c r="E26" i="18" s="1"/>
  <c r="T26" i="18" s="1"/>
  <c r="A88" i="18"/>
  <c r="E88" i="18" s="1"/>
  <c r="T88" i="18" s="1"/>
  <c r="A28" i="18"/>
  <c r="E28" i="18" s="1"/>
  <c r="T28" i="18" s="1"/>
  <c r="A96" i="18"/>
  <c r="E96" i="18" s="1"/>
  <c r="T96" i="18" s="1"/>
  <c r="A29" i="18"/>
  <c r="E29" i="18" s="1"/>
  <c r="T29" i="18" s="1"/>
  <c r="A101" i="18"/>
  <c r="E101" i="18" s="1"/>
  <c r="T101" i="18" s="1"/>
  <c r="A42" i="18"/>
  <c r="E42" i="18" s="1"/>
  <c r="T42" i="18" s="1"/>
  <c r="A44" i="18"/>
  <c r="E44" i="18" s="1"/>
  <c r="T44" i="18" s="1"/>
  <c r="A125" i="18"/>
  <c r="E125" i="18" s="1"/>
  <c r="T125" i="18" s="1"/>
  <c r="A128" i="18"/>
  <c r="E128" i="18" s="1"/>
  <c r="T128" i="18" s="1"/>
  <c r="A73" i="18"/>
  <c r="E73" i="18" s="1"/>
  <c r="T73" i="18" s="1"/>
  <c r="A41" i="18"/>
  <c r="E41" i="18" s="1"/>
  <c r="T41" i="18" s="1"/>
  <c r="A112" i="18"/>
  <c r="E112" i="18" s="1"/>
  <c r="T112" i="18" s="1"/>
  <c r="A53" i="18"/>
  <c r="E53" i="18" s="1"/>
  <c r="T53" i="18" s="1"/>
  <c r="A133" i="18"/>
  <c r="E133" i="18" s="1"/>
  <c r="T133" i="18" s="1"/>
  <c r="A137" i="18"/>
  <c r="E137" i="18" s="1"/>
  <c r="T137" i="18" s="1"/>
  <c r="A80" i="18"/>
  <c r="E80" i="18" s="1"/>
  <c r="T80" i="18" s="1"/>
  <c r="A2" i="18"/>
  <c r="E2" i="18" s="1"/>
  <c r="T2" i="18" s="1"/>
  <c r="A74" i="18"/>
  <c r="E74" i="18" s="1"/>
  <c r="T74" i="18" s="1"/>
  <c r="A76" i="18"/>
  <c r="E76" i="18" s="1"/>
  <c r="T76" i="18" s="1"/>
  <c r="A78" i="18"/>
  <c r="E78" i="18" s="1"/>
  <c r="T78" i="18" s="1"/>
  <c r="I2" i="17"/>
  <c r="C3" i="17"/>
  <c r="C26" i="17" s="1"/>
  <c r="F3" i="17"/>
  <c r="I19" i="17" s="1"/>
  <c r="F6" i="17"/>
  <c r="F135" i="17" s="1"/>
  <c r="I4" i="17"/>
  <c r="C5" i="17"/>
  <c r="C105" i="17" s="1"/>
  <c r="F5" i="17"/>
  <c r="I105" i="17" s="1"/>
  <c r="C6" i="17"/>
  <c r="J6" i="17" s="1"/>
  <c r="I5" i="17"/>
  <c r="C4" i="17"/>
  <c r="C32" i="17" s="1"/>
  <c r="I3" i="17"/>
  <c r="I6" i="17"/>
  <c r="F4" i="17"/>
  <c r="I60" i="17" s="1"/>
  <c r="F7" i="16"/>
  <c r="C39" i="16"/>
  <c r="I58" i="16"/>
  <c r="I45" i="16"/>
  <c r="I66" i="16"/>
  <c r="F12" i="16"/>
  <c r="F9" i="16"/>
  <c r="F18" i="16"/>
  <c r="F46" i="16"/>
  <c r="I11" i="16"/>
  <c r="C69" i="16"/>
  <c r="J20" i="15"/>
  <c r="J13" i="15"/>
  <c r="J138" i="15"/>
  <c r="J153" i="15" s="1"/>
  <c r="F56" i="16"/>
  <c r="I88" i="15"/>
  <c r="F89" i="15"/>
  <c r="I86" i="15"/>
  <c r="I89" i="15"/>
  <c r="F87" i="15"/>
  <c r="I87" i="15"/>
  <c r="F86" i="15"/>
  <c r="F88" i="15"/>
  <c r="F61" i="16"/>
  <c r="F23" i="15"/>
  <c r="I23" i="15"/>
  <c r="F37" i="16"/>
  <c r="I31" i="16"/>
  <c r="C27" i="16"/>
  <c r="J4" i="16"/>
  <c r="F65" i="16"/>
  <c r="C16" i="16"/>
  <c r="I64" i="16"/>
  <c r="F51" i="16"/>
  <c r="F23" i="16"/>
  <c r="F11" i="16"/>
  <c r="F45" i="16"/>
  <c r="I35" i="16"/>
  <c r="I52" i="16"/>
  <c r="F25" i="16"/>
  <c r="C64" i="16"/>
  <c r="I18" i="16"/>
  <c r="C9" i="16"/>
  <c r="C36" i="16"/>
  <c r="I33" i="16"/>
  <c r="J211" i="15"/>
  <c r="J94" i="15"/>
  <c r="J99" i="15" s="1"/>
  <c r="C162" i="15"/>
  <c r="C158" i="15"/>
  <c r="C161" i="15"/>
  <c r="C159" i="15"/>
  <c r="C160" i="15"/>
  <c r="C157" i="15"/>
  <c r="I57" i="16"/>
  <c r="I25" i="16"/>
  <c r="I14" i="16"/>
  <c r="I61" i="16"/>
  <c r="I20" i="16"/>
  <c r="I39" i="16"/>
  <c r="C48" i="16"/>
  <c r="I27" i="16"/>
  <c r="F31" i="16"/>
  <c r="F68" i="16"/>
  <c r="I79" i="16"/>
  <c r="F24" i="16"/>
  <c r="F53" i="16"/>
  <c r="I42" i="16"/>
  <c r="C7" i="16"/>
  <c r="C57" i="16"/>
  <c r="C23" i="16"/>
  <c r="C40" i="16"/>
  <c r="C59" i="16"/>
  <c r="J40" i="15"/>
  <c r="I103" i="15"/>
  <c r="I102" i="15"/>
  <c r="I101" i="15"/>
  <c r="F101" i="15"/>
  <c r="F102" i="15"/>
  <c r="F103" i="15"/>
  <c r="J14" i="15"/>
  <c r="J137" i="15"/>
  <c r="F42" i="16"/>
  <c r="F32" i="16"/>
  <c r="F62" i="16"/>
  <c r="I62" i="16"/>
  <c r="I21" i="16"/>
  <c r="C8" i="16"/>
  <c r="C10" i="16"/>
  <c r="I30" i="16"/>
  <c r="F27" i="16"/>
  <c r="I37" i="16"/>
  <c r="I38" i="16"/>
  <c r="I9" i="16"/>
  <c r="F21" i="16"/>
  <c r="I60" i="16"/>
  <c r="C41" i="16"/>
  <c r="C22" i="16"/>
  <c r="C46" i="16"/>
  <c r="C31" i="16"/>
  <c r="J24" i="15"/>
  <c r="C28" i="15"/>
  <c r="C30" i="15"/>
  <c r="C27" i="15"/>
  <c r="C25" i="15"/>
  <c r="C26" i="15"/>
  <c r="C29" i="15"/>
  <c r="C204" i="15"/>
  <c r="C200" i="15"/>
  <c r="I63" i="16"/>
  <c r="J65" i="14"/>
  <c r="F63" i="16"/>
  <c r="C25" i="16"/>
  <c r="F47" i="16"/>
  <c r="F79" i="16"/>
  <c r="F48" i="16"/>
  <c r="I22" i="16"/>
  <c r="F36" i="16"/>
  <c r="I40" i="16"/>
  <c r="I80" i="16"/>
  <c r="I7" i="16"/>
  <c r="C32" i="16"/>
  <c r="C38" i="16"/>
  <c r="J9" i="15"/>
  <c r="F67" i="16"/>
  <c r="I53" i="16"/>
  <c r="C142" i="15"/>
  <c r="C140" i="15"/>
  <c r="C141" i="15"/>
  <c r="I17" i="16"/>
  <c r="I97" i="15"/>
  <c r="F98" i="15"/>
  <c r="F97" i="15"/>
  <c r="F96" i="15"/>
  <c r="I98" i="15"/>
  <c r="F99" i="15"/>
  <c r="I96" i="15"/>
  <c r="F95" i="15"/>
  <c r="I99" i="15"/>
  <c r="I95" i="15"/>
  <c r="I48" i="16"/>
  <c r="F40" i="16"/>
  <c r="I19" i="16"/>
  <c r="I68" i="16"/>
  <c r="I46" i="16"/>
  <c r="C61" i="16"/>
  <c r="J6" i="16"/>
  <c r="J68" i="16" s="1"/>
  <c r="I29" i="16"/>
  <c r="F14" i="16"/>
  <c r="F44" i="16"/>
  <c r="I54" i="16"/>
  <c r="F52" i="16"/>
  <c r="F69" i="16"/>
  <c r="I16" i="16"/>
  <c r="C45" i="16"/>
  <c r="C37" i="16"/>
  <c r="C80" i="16"/>
  <c r="C34" i="16"/>
  <c r="J38" i="15"/>
  <c r="J8" i="15"/>
  <c r="J19" i="15"/>
  <c r="J21" i="15"/>
  <c r="I59" i="16"/>
  <c r="F55" i="16"/>
  <c r="I34" i="16"/>
  <c r="I55" i="16"/>
  <c r="I56" i="16"/>
  <c r="F80" i="16"/>
  <c r="C14" i="16"/>
  <c r="J3" i="16"/>
  <c r="C110" i="15"/>
  <c r="J108" i="15"/>
  <c r="C128" i="15"/>
  <c r="C116" i="15"/>
  <c r="C118" i="15"/>
  <c r="C117" i="15"/>
  <c r="C121" i="15"/>
  <c r="C127" i="15"/>
  <c r="C126" i="15"/>
  <c r="C111" i="15"/>
  <c r="C123" i="15"/>
  <c r="C120" i="15"/>
  <c r="C125" i="15"/>
  <c r="C124" i="15"/>
  <c r="C109" i="15"/>
  <c r="C119" i="15"/>
  <c r="C115" i="15"/>
  <c r="C129" i="15"/>
  <c r="C122" i="15"/>
  <c r="I8" i="16"/>
  <c r="F16" i="16"/>
  <c r="C29" i="16"/>
  <c r="I67" i="16"/>
  <c r="F26" i="16"/>
  <c r="F58" i="16"/>
  <c r="I26" i="16"/>
  <c r="I24" i="16"/>
  <c r="F28" i="16"/>
  <c r="F59" i="16"/>
  <c r="C65" i="16"/>
  <c r="C12" i="16"/>
  <c r="C44" i="16"/>
  <c r="C20" i="16"/>
  <c r="C15" i="16"/>
  <c r="J16" i="15"/>
  <c r="J15" i="15"/>
  <c r="J22" i="15"/>
  <c r="J23" i="15" s="1"/>
  <c r="J39" i="15"/>
  <c r="I112" i="15" l="1"/>
  <c r="I145" i="15"/>
  <c r="F155" i="15"/>
  <c r="F154" i="15"/>
  <c r="I154" i="15"/>
  <c r="F161" i="15"/>
  <c r="I162" i="15"/>
  <c r="J187" i="15"/>
  <c r="I140" i="15"/>
  <c r="C103" i="17"/>
  <c r="J31" i="16"/>
  <c r="F146" i="15"/>
  <c r="F117" i="17"/>
  <c r="I161" i="15"/>
  <c r="F144" i="15"/>
  <c r="I141" i="15"/>
  <c r="F159" i="15"/>
  <c r="I146" i="15"/>
  <c r="F147" i="15"/>
  <c r="I142" i="15"/>
  <c r="I158" i="15"/>
  <c r="F158" i="15"/>
  <c r="J36" i="15"/>
  <c r="F141" i="15"/>
  <c r="F149" i="15"/>
  <c r="F162" i="15"/>
  <c r="I149" i="15"/>
  <c r="F142" i="15"/>
  <c r="I147" i="15"/>
  <c r="F160" i="15"/>
  <c r="C172" i="15"/>
  <c r="I157" i="15"/>
  <c r="J186" i="15"/>
  <c r="F148" i="15"/>
  <c r="I144" i="15"/>
  <c r="F93" i="15"/>
  <c r="I93" i="15"/>
  <c r="C170" i="15"/>
  <c r="J121" i="15"/>
  <c r="J28" i="15"/>
  <c r="C173" i="15"/>
  <c r="J88" i="15"/>
  <c r="J118" i="15"/>
  <c r="F114" i="15"/>
  <c r="J122" i="15"/>
  <c r="I114" i="15"/>
  <c r="I106" i="15"/>
  <c r="F106" i="15"/>
  <c r="F105" i="15"/>
  <c r="C179" i="15"/>
  <c r="F92" i="15"/>
  <c r="I148" i="15"/>
  <c r="C177" i="15"/>
  <c r="J185" i="15"/>
  <c r="J86" i="15"/>
  <c r="J35" i="16"/>
  <c r="J16" i="16"/>
  <c r="F113" i="15"/>
  <c r="F112" i="15"/>
  <c r="J126" i="15"/>
  <c r="C8" i="17"/>
  <c r="C27" i="17"/>
  <c r="J11" i="16"/>
  <c r="J127" i="15"/>
  <c r="J34" i="15"/>
  <c r="J116" i="15"/>
  <c r="J164" i="15"/>
  <c r="J75" i="15"/>
  <c r="J181" i="15"/>
  <c r="J128" i="15"/>
  <c r="J166" i="15"/>
  <c r="J67" i="16"/>
  <c r="J21" i="16"/>
  <c r="J183" i="15"/>
  <c r="J180" i="15"/>
  <c r="C14" i="17"/>
  <c r="J167" i="15"/>
  <c r="J194" i="15"/>
  <c r="I129" i="17"/>
  <c r="J63" i="16"/>
  <c r="J56" i="15"/>
  <c r="C94" i="17"/>
  <c r="I104" i="17"/>
  <c r="J117" i="15"/>
  <c r="F99" i="17"/>
  <c r="J25" i="16"/>
  <c r="I107" i="17"/>
  <c r="I100" i="17"/>
  <c r="F114" i="17"/>
  <c r="C117" i="17"/>
  <c r="J117" i="17" s="1"/>
  <c r="F95" i="17"/>
  <c r="J34" i="16"/>
  <c r="F94" i="17"/>
  <c r="I127" i="17"/>
  <c r="I101" i="17"/>
  <c r="F98" i="17"/>
  <c r="C133" i="17"/>
  <c r="J133" i="17" s="1"/>
  <c r="I124" i="17"/>
  <c r="F127" i="17"/>
  <c r="I96" i="17"/>
  <c r="F107" i="17"/>
  <c r="F109" i="17"/>
  <c r="I94" i="17"/>
  <c r="F103" i="17"/>
  <c r="F108" i="17"/>
  <c r="I66" i="17"/>
  <c r="F92" i="17"/>
  <c r="I98" i="17"/>
  <c r="F113" i="17"/>
  <c r="C116" i="17"/>
  <c r="J116" i="17" s="1"/>
  <c r="C121" i="17"/>
  <c r="J121" i="17" s="1"/>
  <c r="I99" i="17"/>
  <c r="F102" i="17"/>
  <c r="F101" i="17"/>
  <c r="I111" i="17"/>
  <c r="I110" i="17"/>
  <c r="C130" i="17"/>
  <c r="J130" i="17" s="1"/>
  <c r="I93" i="17"/>
  <c r="F91" i="17"/>
  <c r="F106" i="17"/>
  <c r="I103" i="17"/>
  <c r="J45" i="15"/>
  <c r="J57" i="15"/>
  <c r="C119" i="17"/>
  <c r="J119" i="17" s="1"/>
  <c r="I109" i="17"/>
  <c r="J22" i="16"/>
  <c r="C129" i="17"/>
  <c r="J129" i="17" s="1"/>
  <c r="F96" i="17"/>
  <c r="F105" i="17"/>
  <c r="C111" i="17"/>
  <c r="C122" i="17"/>
  <c r="J122" i="17" s="1"/>
  <c r="I113" i="17"/>
  <c r="C115" i="17"/>
  <c r="J115" i="17" s="1"/>
  <c r="C135" i="17"/>
  <c r="J135" i="17" s="1"/>
  <c r="I91" i="17"/>
  <c r="C126" i="17"/>
  <c r="J126" i="17" s="1"/>
  <c r="F118" i="17"/>
  <c r="C97" i="17"/>
  <c r="I102" i="17"/>
  <c r="F93" i="17"/>
  <c r="I134" i="17"/>
  <c r="F125" i="17"/>
  <c r="J67" i="15"/>
  <c r="J43" i="15"/>
  <c r="I95" i="17"/>
  <c r="I114" i="17"/>
  <c r="C134" i="17"/>
  <c r="J134" i="17" s="1"/>
  <c r="F126" i="17"/>
  <c r="F128" i="17"/>
  <c r="C125" i="17"/>
  <c r="J125" i="17" s="1"/>
  <c r="C128" i="17"/>
  <c r="J128" i="17" s="1"/>
  <c r="C114" i="17"/>
  <c r="J114" i="17" s="1"/>
  <c r="I115" i="17"/>
  <c r="F130" i="17"/>
  <c r="J70" i="15"/>
  <c r="J65" i="15"/>
  <c r="J55" i="15"/>
  <c r="J69" i="15"/>
  <c r="F66" i="17"/>
  <c r="I89" i="17" s="1"/>
  <c r="C127" i="17"/>
  <c r="J127" i="17" s="1"/>
  <c r="I97" i="17"/>
  <c r="J73" i="15"/>
  <c r="J81" i="15"/>
  <c r="J60" i="16"/>
  <c r="F17" i="17"/>
  <c r="C102" i="17"/>
  <c r="I174" i="15"/>
  <c r="C95" i="17"/>
  <c r="I173" i="15"/>
  <c r="J80" i="16"/>
  <c r="C66" i="17"/>
  <c r="C74" i="17" s="1"/>
  <c r="J52" i="15"/>
  <c r="J139" i="15"/>
  <c r="J142" i="15" s="1"/>
  <c r="F133" i="17"/>
  <c r="J51" i="15"/>
  <c r="J44" i="15"/>
  <c r="C112" i="17"/>
  <c r="J50" i="15"/>
  <c r="J37" i="16"/>
  <c r="J78" i="15"/>
  <c r="C96" i="17"/>
  <c r="C31" i="17"/>
  <c r="J89" i="15"/>
  <c r="J49" i="15"/>
  <c r="J65" i="16"/>
  <c r="J87" i="15"/>
  <c r="J46" i="15"/>
  <c r="J59" i="16"/>
  <c r="J54" i="15"/>
  <c r="J35" i="15"/>
  <c r="J53" i="15"/>
  <c r="C120" i="17"/>
  <c r="J120" i="17" s="1"/>
  <c r="J156" i="15"/>
  <c r="J160" i="15" s="1"/>
  <c r="C124" i="17"/>
  <c r="J124" i="17" s="1"/>
  <c r="C91" i="17"/>
  <c r="C24" i="17"/>
  <c r="J190" i="15"/>
  <c r="J197" i="15"/>
  <c r="I31" i="17"/>
  <c r="F27" i="17"/>
  <c r="F177" i="15"/>
  <c r="J198" i="15"/>
  <c r="F121" i="17"/>
  <c r="I179" i="15"/>
  <c r="J193" i="15"/>
  <c r="F31" i="17"/>
  <c r="I125" i="17"/>
  <c r="J175" i="15"/>
  <c r="J9" i="16"/>
  <c r="I25" i="17"/>
  <c r="J47" i="16"/>
  <c r="I23" i="17"/>
  <c r="J168" i="15"/>
  <c r="J169" i="15" s="1"/>
  <c r="J43" i="16"/>
  <c r="I178" i="15"/>
  <c r="J182" i="15"/>
  <c r="I14" i="17"/>
  <c r="F19" i="17"/>
  <c r="C110" i="17"/>
  <c r="F29" i="17"/>
  <c r="J195" i="15"/>
  <c r="I172" i="15"/>
  <c r="I30" i="17"/>
  <c r="I24" i="17"/>
  <c r="I15" i="17"/>
  <c r="C21" i="17"/>
  <c r="F9" i="17"/>
  <c r="I117" i="17"/>
  <c r="J184" i="15"/>
  <c r="J189" i="15"/>
  <c r="J171" i="15"/>
  <c r="J174" i="15" s="1"/>
  <c r="J176" i="15"/>
  <c r="J178" i="15" s="1"/>
  <c r="F173" i="15"/>
  <c r="J20" i="16"/>
  <c r="F178" i="15"/>
  <c r="J191" i="15"/>
  <c r="F172" i="15"/>
  <c r="C123" i="17"/>
  <c r="J123" i="17" s="1"/>
  <c r="C131" i="17"/>
  <c r="J131" i="17" s="1"/>
  <c r="I27" i="17"/>
  <c r="F22" i="17"/>
  <c r="I133" i="17"/>
  <c r="F124" i="17"/>
  <c r="I118" i="17"/>
  <c r="C104" i="17"/>
  <c r="J26" i="16"/>
  <c r="J165" i="15"/>
  <c r="I177" i="15"/>
  <c r="I131" i="17"/>
  <c r="I116" i="17"/>
  <c r="J61" i="16"/>
  <c r="J12" i="16"/>
  <c r="J25" i="15"/>
  <c r="C22" i="17"/>
  <c r="C25" i="17"/>
  <c r="I121" i="17"/>
  <c r="C30" i="17"/>
  <c r="I126" i="17"/>
  <c r="J188" i="15"/>
  <c r="J47" i="15"/>
  <c r="J52" i="16"/>
  <c r="J72" i="15"/>
  <c r="F10" i="17"/>
  <c r="F11" i="17"/>
  <c r="F26" i="17"/>
  <c r="J27" i="15"/>
  <c r="J33" i="16"/>
  <c r="I122" i="17"/>
  <c r="C99" i="17"/>
  <c r="J33" i="15"/>
  <c r="F18" i="17"/>
  <c r="J30" i="15"/>
  <c r="C17" i="17"/>
  <c r="I135" i="17"/>
  <c r="F122" i="17"/>
  <c r="F131" i="17"/>
  <c r="J55" i="16"/>
  <c r="I63" i="17"/>
  <c r="C109" i="17"/>
  <c r="J66" i="15"/>
  <c r="J110" i="15"/>
  <c r="C13" i="17"/>
  <c r="C20" i="17"/>
  <c r="C107" i="17"/>
  <c r="J152" i="15"/>
  <c r="J71" i="15"/>
  <c r="J77" i="15"/>
  <c r="J54" i="16"/>
  <c r="J38" i="16"/>
  <c r="J46" i="16"/>
  <c r="C11" i="17"/>
  <c r="I206" i="15"/>
  <c r="F210" i="15"/>
  <c r="F205" i="15"/>
  <c r="F207" i="15"/>
  <c r="F208" i="15"/>
  <c r="I208" i="15"/>
  <c r="I209" i="15"/>
  <c r="I210" i="15"/>
  <c r="F209" i="15"/>
  <c r="I207" i="15"/>
  <c r="I205" i="15"/>
  <c r="F206" i="15"/>
  <c r="J60" i="15"/>
  <c r="J115" i="15"/>
  <c r="J119" i="15"/>
  <c r="J7" i="16"/>
  <c r="J41" i="16"/>
  <c r="J48" i="16"/>
  <c r="C10" i="17"/>
  <c r="F112" i="17"/>
  <c r="I108" i="17"/>
  <c r="C108" i="17"/>
  <c r="F111" i="17"/>
  <c r="J18" i="16"/>
  <c r="J61" i="15"/>
  <c r="J83" i="15"/>
  <c r="J49" i="16"/>
  <c r="J36" i="16"/>
  <c r="C18" i="17"/>
  <c r="J42" i="16"/>
  <c r="J64" i="16"/>
  <c r="C16" i="17"/>
  <c r="F60" i="17"/>
  <c r="I62" i="17" s="1"/>
  <c r="I51" i="17"/>
  <c r="I92" i="17"/>
  <c r="C93" i="17"/>
  <c r="J79" i="16"/>
  <c r="J154" i="15"/>
  <c r="J64" i="15"/>
  <c r="J76" i="15"/>
  <c r="F104" i="17"/>
  <c r="I106" i="17"/>
  <c r="J155" i="15"/>
  <c r="J62" i="15"/>
  <c r="J84" i="15"/>
  <c r="C50" i="16"/>
  <c r="C51" i="16"/>
  <c r="F42" i="17"/>
  <c r="I50" i="17" s="1"/>
  <c r="F203" i="15"/>
  <c r="I202" i="15"/>
  <c r="F201" i="15"/>
  <c r="I201" i="15"/>
  <c r="F202" i="15"/>
  <c r="I203" i="15"/>
  <c r="I42" i="17"/>
  <c r="I169" i="15"/>
  <c r="J39" i="16"/>
  <c r="C23" i="17"/>
  <c r="C29" i="17"/>
  <c r="F51" i="17"/>
  <c r="F58" i="17" s="1"/>
  <c r="C28" i="17"/>
  <c r="C15" i="17"/>
  <c r="C101" i="17"/>
  <c r="J44" i="16"/>
  <c r="J125" i="15"/>
  <c r="J66" i="16"/>
  <c r="J97" i="15"/>
  <c r="I170" i="15"/>
  <c r="C9" i="17"/>
  <c r="F110" i="17"/>
  <c r="J98" i="15"/>
  <c r="J79" i="15"/>
  <c r="J192" i="15"/>
  <c r="J196" i="15"/>
  <c r="J82" i="15"/>
  <c r="J63" i="15"/>
  <c r="J80" i="15"/>
  <c r="J74" i="15"/>
  <c r="C7" i="17"/>
  <c r="F170" i="15"/>
  <c r="C98" i="17"/>
  <c r="C12" i="17"/>
  <c r="C113" i="17"/>
  <c r="J123" i="15"/>
  <c r="J29" i="15"/>
  <c r="J40" i="16"/>
  <c r="C92" i="17"/>
  <c r="F97" i="17"/>
  <c r="I112" i="17"/>
  <c r="F100" i="17"/>
  <c r="J59" i="15"/>
  <c r="J68" i="15"/>
  <c r="J45" i="16"/>
  <c r="F32" i="17"/>
  <c r="F34" i="17" s="1"/>
  <c r="I37" i="17"/>
  <c r="J124" i="15"/>
  <c r="J120" i="15"/>
  <c r="J26" i="15"/>
  <c r="C35" i="17"/>
  <c r="C33" i="17"/>
  <c r="C34" i="17"/>
  <c r="C36" i="17"/>
  <c r="J69" i="16"/>
  <c r="C70" i="16"/>
  <c r="C76" i="16"/>
  <c r="F23" i="17"/>
  <c r="A11" i="22"/>
  <c r="E11" i="22" s="1"/>
  <c r="P11" i="22" s="1"/>
  <c r="A27" i="22"/>
  <c r="E27" i="22" s="1"/>
  <c r="P27" i="22" s="1"/>
  <c r="A43" i="22"/>
  <c r="E43" i="22" s="1"/>
  <c r="P43" i="22" s="1"/>
  <c r="A59" i="22"/>
  <c r="E59" i="22" s="1"/>
  <c r="P59" i="22" s="1"/>
  <c r="A14" i="22"/>
  <c r="E14" i="22" s="1"/>
  <c r="P14" i="22" s="1"/>
  <c r="A16" i="22"/>
  <c r="E16" i="22" s="1"/>
  <c r="P16" i="22" s="1"/>
  <c r="A32" i="22"/>
  <c r="E32" i="22" s="1"/>
  <c r="P32" i="22" s="1"/>
  <c r="A48" i="22"/>
  <c r="E48" i="22" s="1"/>
  <c r="P48" i="22" s="1"/>
  <c r="A4" i="22"/>
  <c r="E4" i="22" s="1"/>
  <c r="P4" i="22" s="1"/>
  <c r="A20" i="22"/>
  <c r="E20" i="22" s="1"/>
  <c r="P20" i="22" s="1"/>
  <c r="A36" i="22"/>
  <c r="E36" i="22" s="1"/>
  <c r="P36" i="22" s="1"/>
  <c r="A52" i="22"/>
  <c r="E52" i="22" s="1"/>
  <c r="P52" i="22" s="1"/>
  <c r="A6" i="22"/>
  <c r="E6" i="22" s="1"/>
  <c r="P6" i="22" s="1"/>
  <c r="A22" i="22"/>
  <c r="E22" i="22" s="1"/>
  <c r="P22" i="22" s="1"/>
  <c r="A38" i="22"/>
  <c r="E38" i="22" s="1"/>
  <c r="P38" i="22" s="1"/>
  <c r="A54" i="22"/>
  <c r="E54" i="22" s="1"/>
  <c r="P54" i="22" s="1"/>
  <c r="A7" i="22"/>
  <c r="E7" i="22" s="1"/>
  <c r="P7" i="22" s="1"/>
  <c r="A23" i="22"/>
  <c r="E23" i="22" s="1"/>
  <c r="P23" i="22" s="1"/>
  <c r="A39" i="22"/>
  <c r="E39" i="22" s="1"/>
  <c r="P39" i="22" s="1"/>
  <c r="A55" i="22"/>
  <c r="E55" i="22" s="1"/>
  <c r="P55" i="22" s="1"/>
  <c r="A8" i="22"/>
  <c r="E8" i="22" s="1"/>
  <c r="P8" i="22" s="1"/>
  <c r="A24" i="22"/>
  <c r="E24" i="22" s="1"/>
  <c r="P24" i="22" s="1"/>
  <c r="A40" i="22"/>
  <c r="E40" i="22" s="1"/>
  <c r="P40" i="22" s="1"/>
  <c r="A56" i="22"/>
  <c r="E56" i="22" s="1"/>
  <c r="P56" i="22" s="1"/>
  <c r="A9" i="22"/>
  <c r="E9" i="22" s="1"/>
  <c r="P9" i="22" s="1"/>
  <c r="A25" i="22"/>
  <c r="E25" i="22" s="1"/>
  <c r="P25" i="22" s="1"/>
  <c r="A41" i="22"/>
  <c r="E41" i="22" s="1"/>
  <c r="P41" i="22" s="1"/>
  <c r="A57" i="22"/>
  <c r="E57" i="22" s="1"/>
  <c r="P57" i="22" s="1"/>
  <c r="A30" i="22"/>
  <c r="E30" i="22" s="1"/>
  <c r="P30" i="22" s="1"/>
  <c r="A60" i="22"/>
  <c r="E60" i="22" s="1"/>
  <c r="P60" i="22" s="1"/>
  <c r="A31" i="22"/>
  <c r="E31" i="22" s="1"/>
  <c r="P31" i="22" s="1"/>
  <c r="A61" i="22"/>
  <c r="E61" i="22" s="1"/>
  <c r="P61" i="22" s="1"/>
  <c r="A33" i="22"/>
  <c r="E33" i="22" s="1"/>
  <c r="P33" i="22" s="1"/>
  <c r="A2" i="22"/>
  <c r="E2" i="22" s="1"/>
  <c r="A3" i="22"/>
  <c r="E3" i="22" s="1"/>
  <c r="P3" i="22" s="1"/>
  <c r="A34" i="22"/>
  <c r="E34" i="22" s="1"/>
  <c r="P34" i="22" s="1"/>
  <c r="A5" i="22"/>
  <c r="E5" i="22" s="1"/>
  <c r="P5" i="22" s="1"/>
  <c r="A35" i="22"/>
  <c r="E35" i="22" s="1"/>
  <c r="P35" i="22" s="1"/>
  <c r="A18" i="22"/>
  <c r="E18" i="22" s="1"/>
  <c r="P18" i="22" s="1"/>
  <c r="A47" i="22"/>
  <c r="E47" i="22" s="1"/>
  <c r="P47" i="22" s="1"/>
  <c r="A21" i="22"/>
  <c r="E21" i="22" s="1"/>
  <c r="P21" i="22" s="1"/>
  <c r="A26" i="22"/>
  <c r="E26" i="22" s="1"/>
  <c r="P26" i="22" s="1"/>
  <c r="A28" i="22"/>
  <c r="E28" i="22" s="1"/>
  <c r="P28" i="22" s="1"/>
  <c r="A29" i="22"/>
  <c r="E29" i="22" s="1"/>
  <c r="P29" i="22" s="1"/>
  <c r="A37" i="22"/>
  <c r="E37" i="22" s="1"/>
  <c r="P37" i="22" s="1"/>
  <c r="A42" i="22"/>
  <c r="E42" i="22" s="1"/>
  <c r="P42" i="22" s="1"/>
  <c r="A10" i="22"/>
  <c r="E10" i="22" s="1"/>
  <c r="P10" i="22" s="1"/>
  <c r="A58" i="22"/>
  <c r="E58" i="22" s="1"/>
  <c r="P58" i="22" s="1"/>
  <c r="A15" i="22"/>
  <c r="E15" i="22" s="1"/>
  <c r="P15" i="22" s="1"/>
  <c r="A17" i="22"/>
  <c r="E17" i="22" s="1"/>
  <c r="P17" i="22" s="1"/>
  <c r="A19" i="22"/>
  <c r="E19" i="22" s="1"/>
  <c r="P19" i="22" s="1"/>
  <c r="A44" i="22"/>
  <c r="E44" i="22" s="1"/>
  <c r="P44" i="22" s="1"/>
  <c r="A12" i="22"/>
  <c r="E12" i="22" s="1"/>
  <c r="P12" i="22" s="1"/>
  <c r="A13" i="22"/>
  <c r="E13" i="22" s="1"/>
  <c r="P13" i="22" s="1"/>
  <c r="A46" i="22"/>
  <c r="E46" i="22" s="1"/>
  <c r="P46" i="22" s="1"/>
  <c r="A45" i="22"/>
  <c r="E45" i="22" s="1"/>
  <c r="P45" i="22" s="1"/>
  <c r="A49" i="22"/>
  <c r="E49" i="22" s="1"/>
  <c r="P49" i="22" s="1"/>
  <c r="A50" i="22"/>
  <c r="E50" i="22" s="1"/>
  <c r="P50" i="22" s="1"/>
  <c r="A51" i="22"/>
  <c r="E51" i="22" s="1"/>
  <c r="P51" i="22" s="1"/>
  <c r="A53" i="22"/>
  <c r="E53" i="22" s="1"/>
  <c r="P53" i="22" s="1"/>
  <c r="I2" i="18"/>
  <c r="I5" i="18"/>
  <c r="F3" i="18"/>
  <c r="F11" i="18" s="1"/>
  <c r="C5" i="18"/>
  <c r="C97" i="18" s="1"/>
  <c r="I6" i="18"/>
  <c r="C4" i="18"/>
  <c r="C25" i="18" s="1"/>
  <c r="F5" i="18"/>
  <c r="F76" i="18" s="1"/>
  <c r="I80" i="18" s="1"/>
  <c r="F4" i="18"/>
  <c r="F29" i="18" s="1"/>
  <c r="F30" i="18" s="1"/>
  <c r="I3" i="18"/>
  <c r="F6" i="18"/>
  <c r="I132" i="18" s="1"/>
  <c r="I4" i="18"/>
  <c r="C3" i="18"/>
  <c r="J3" i="18" s="1"/>
  <c r="C6" i="18"/>
  <c r="C124" i="18" s="1"/>
  <c r="I8" i="17"/>
  <c r="I10" i="17"/>
  <c r="I29" i="17"/>
  <c r="I20" i="17"/>
  <c r="F132" i="17"/>
  <c r="F37" i="17"/>
  <c r="J111" i="15"/>
  <c r="C112" i="15"/>
  <c r="C114" i="15"/>
  <c r="C113" i="15"/>
  <c r="J204" i="15"/>
  <c r="C209" i="15"/>
  <c r="C205" i="15"/>
  <c r="C208" i="15"/>
  <c r="C206" i="15"/>
  <c r="C207" i="15"/>
  <c r="C210" i="15"/>
  <c r="F13" i="17"/>
  <c r="J200" i="15"/>
  <c r="C203" i="15"/>
  <c r="C201" i="15"/>
  <c r="C202" i="15"/>
  <c r="F24" i="17"/>
  <c r="I12" i="17"/>
  <c r="I54" i="17"/>
  <c r="J27" i="16"/>
  <c r="J30" i="16"/>
  <c r="C51" i="17"/>
  <c r="I21" i="17"/>
  <c r="F14" i="17"/>
  <c r="C37" i="17"/>
  <c r="I26" i="17"/>
  <c r="I28" i="17"/>
  <c r="F8" i="17"/>
  <c r="J13" i="16"/>
  <c r="J23" i="16"/>
  <c r="F123" i="17"/>
  <c r="I130" i="17"/>
  <c r="J96" i="15"/>
  <c r="J95" i="15"/>
  <c r="I57" i="17"/>
  <c r="F16" i="17"/>
  <c r="C63" i="17"/>
  <c r="I9" i="17"/>
  <c r="J24" i="16"/>
  <c r="J129" i="15"/>
  <c r="J10" i="16"/>
  <c r="J57" i="16"/>
  <c r="J143" i="15"/>
  <c r="J150" i="15"/>
  <c r="J151" i="15"/>
  <c r="I16" i="17"/>
  <c r="F12" i="17"/>
  <c r="I17" i="17"/>
  <c r="F129" i="17"/>
  <c r="F115" i="17"/>
  <c r="I32" i="17"/>
  <c r="I119" i="17"/>
  <c r="I120" i="17"/>
  <c r="F134" i="17"/>
  <c r="J53" i="16"/>
  <c r="J104" i="15"/>
  <c r="C105" i="15"/>
  <c r="C106" i="15"/>
  <c r="J58" i="16"/>
  <c r="F21" i="17"/>
  <c r="F28" i="17"/>
  <c r="F25" i="17"/>
  <c r="C118" i="17"/>
  <c r="J118" i="17" s="1"/>
  <c r="J91" i="15"/>
  <c r="C93" i="15"/>
  <c r="C92" i="15"/>
  <c r="J28" i="16"/>
  <c r="J8" i="16"/>
  <c r="I7" i="17"/>
  <c r="I18" i="17"/>
  <c r="I13" i="17"/>
  <c r="F20" i="17"/>
  <c r="I128" i="17"/>
  <c r="J19" i="16"/>
  <c r="C60" i="17"/>
  <c r="J4" i="17"/>
  <c r="J29" i="16"/>
  <c r="J15" i="16"/>
  <c r="J109" i="15"/>
  <c r="J14" i="16"/>
  <c r="J62" i="16"/>
  <c r="C42" i="17"/>
  <c r="F15" i="17"/>
  <c r="I132" i="17"/>
  <c r="F119" i="17"/>
  <c r="I123" i="17"/>
  <c r="C19" i="17"/>
  <c r="J3" i="17"/>
  <c r="J100" i="15"/>
  <c r="C102" i="15"/>
  <c r="C101" i="15"/>
  <c r="C103" i="15"/>
  <c r="I70" i="16"/>
  <c r="I76" i="16"/>
  <c r="F76" i="16"/>
  <c r="F70" i="16"/>
  <c r="J32" i="16"/>
  <c r="J56" i="16"/>
  <c r="I22" i="17"/>
  <c r="F30" i="17"/>
  <c r="F7" i="17"/>
  <c r="I11" i="17"/>
  <c r="C132" i="17"/>
  <c r="J132" i="17" s="1"/>
  <c r="F116" i="17"/>
  <c r="F120" i="17"/>
  <c r="C106" i="17"/>
  <c r="J5" i="17"/>
  <c r="F63" i="17"/>
  <c r="C100" i="17"/>
  <c r="J17" i="16"/>
  <c r="J107" i="15"/>
  <c r="P2" i="22" l="1"/>
  <c r="B10" i="26"/>
  <c r="A10" i="26" s="1"/>
  <c r="P10" i="26" s="1"/>
  <c r="B5" i="26"/>
  <c r="A5" i="26" s="1"/>
  <c r="P5" i="26" s="1"/>
  <c r="B4" i="26"/>
  <c r="A4" i="26" s="1"/>
  <c r="P4" i="26" s="1"/>
  <c r="B9" i="26"/>
  <c r="A9" i="26" s="1"/>
  <c r="P9" i="26" s="1"/>
  <c r="B3" i="26"/>
  <c r="A3" i="26" s="1"/>
  <c r="P3" i="26" s="1"/>
  <c r="B8" i="26"/>
  <c r="A8" i="26" s="1"/>
  <c r="P8" i="26" s="1"/>
  <c r="B7" i="26"/>
  <c r="A7" i="26" s="1"/>
  <c r="P7" i="26" s="1"/>
  <c r="B6" i="26"/>
  <c r="A6" i="26" s="1"/>
  <c r="P6" i="26" s="1"/>
  <c r="J97" i="17"/>
  <c r="I53" i="17"/>
  <c r="I56" i="17"/>
  <c r="F54" i="17"/>
  <c r="J60" i="17"/>
  <c r="J203" i="15"/>
  <c r="J15" i="17"/>
  <c r="J112" i="15"/>
  <c r="B2" i="26"/>
  <c r="A2" i="26" s="1"/>
  <c r="I52" i="17"/>
  <c r="J170" i="15"/>
  <c r="F55" i="17"/>
  <c r="F78" i="17"/>
  <c r="I75" i="17"/>
  <c r="F36" i="17"/>
  <c r="I67" i="17"/>
  <c r="F84" i="17"/>
  <c r="I68" i="17"/>
  <c r="F59" i="17"/>
  <c r="I76" i="17"/>
  <c r="I77" i="17"/>
  <c r="I70" i="17"/>
  <c r="J161" i="15"/>
  <c r="J140" i="15"/>
  <c r="F52" i="17"/>
  <c r="I74" i="17"/>
  <c r="F90" i="17"/>
  <c r="F67" i="17"/>
  <c r="F72" i="17"/>
  <c r="F73" i="17"/>
  <c r="C73" i="17"/>
  <c r="F82" i="17"/>
  <c r="I79" i="17"/>
  <c r="I81" i="17"/>
  <c r="I72" i="17"/>
  <c r="F74" i="17"/>
  <c r="C67" i="17"/>
  <c r="F7" i="18"/>
  <c r="I82" i="17"/>
  <c r="F68" i="17"/>
  <c r="I7" i="18"/>
  <c r="I80" i="17"/>
  <c r="I69" i="17"/>
  <c r="C137" i="18"/>
  <c r="F83" i="17"/>
  <c r="C127" i="18"/>
  <c r="F76" i="17"/>
  <c r="F89" i="17"/>
  <c r="J179" i="15"/>
  <c r="J173" i="15"/>
  <c r="C80" i="17"/>
  <c r="J177" i="15"/>
  <c r="F80" i="17"/>
  <c r="F88" i="17"/>
  <c r="F75" i="17"/>
  <c r="F86" i="17"/>
  <c r="F81" i="17"/>
  <c r="F8" i="18"/>
  <c r="F35" i="17"/>
  <c r="C121" i="18"/>
  <c r="I84" i="17"/>
  <c r="F87" i="17"/>
  <c r="F70" i="17"/>
  <c r="C88" i="17"/>
  <c r="C136" i="18"/>
  <c r="I85" i="17"/>
  <c r="I88" i="17"/>
  <c r="I71" i="17"/>
  <c r="F79" i="17"/>
  <c r="J30" i="17"/>
  <c r="C13" i="18"/>
  <c r="J13" i="18" s="1"/>
  <c r="J106" i="15"/>
  <c r="C15" i="18"/>
  <c r="J15" i="18" s="1"/>
  <c r="F69" i="17"/>
  <c r="I78" i="17"/>
  <c r="I86" i="17"/>
  <c r="I87" i="17"/>
  <c r="F85" i="17"/>
  <c r="C68" i="17"/>
  <c r="I90" i="17"/>
  <c r="I73" i="17"/>
  <c r="I83" i="17"/>
  <c r="F71" i="17"/>
  <c r="C70" i="17"/>
  <c r="C129" i="18"/>
  <c r="J100" i="17"/>
  <c r="F10" i="18"/>
  <c r="J141" i="15"/>
  <c r="F77" i="17"/>
  <c r="C87" i="17"/>
  <c r="C89" i="17"/>
  <c r="C90" i="17"/>
  <c r="J105" i="15"/>
  <c r="J157" i="15"/>
  <c r="J208" i="15"/>
  <c r="I32" i="18"/>
  <c r="J205" i="15"/>
  <c r="I16" i="18"/>
  <c r="J108" i="17"/>
  <c r="C56" i="18"/>
  <c r="I52" i="18"/>
  <c r="C76" i="17"/>
  <c r="J93" i="17"/>
  <c r="C14" i="18"/>
  <c r="J14" i="18" s="1"/>
  <c r="C85" i="17"/>
  <c r="C81" i="17"/>
  <c r="C83" i="17"/>
  <c r="C7" i="18"/>
  <c r="J7" i="18" s="1"/>
  <c r="C10" i="18"/>
  <c r="J10" i="18" s="1"/>
  <c r="J158" i="15"/>
  <c r="C84" i="17"/>
  <c r="C135" i="18"/>
  <c r="I14" i="18"/>
  <c r="J162" i="15"/>
  <c r="C72" i="17"/>
  <c r="C8" i="18"/>
  <c r="J8" i="18" s="1"/>
  <c r="C78" i="17"/>
  <c r="C71" i="17"/>
  <c r="F53" i="17"/>
  <c r="F56" i="17"/>
  <c r="C69" i="17"/>
  <c r="C130" i="18"/>
  <c r="I12" i="18"/>
  <c r="C75" i="17"/>
  <c r="F49" i="17"/>
  <c r="C128" i="18"/>
  <c r="C120" i="18"/>
  <c r="I35" i="17"/>
  <c r="C82" i="17"/>
  <c r="C79" i="17"/>
  <c r="C86" i="17"/>
  <c r="I133" i="18"/>
  <c r="C134" i="18"/>
  <c r="C77" i="17"/>
  <c r="J159" i="15"/>
  <c r="I137" i="18"/>
  <c r="I136" i="18"/>
  <c r="I111" i="18"/>
  <c r="I101" i="18"/>
  <c r="F78" i="18"/>
  <c r="I129" i="18"/>
  <c r="F75" i="18"/>
  <c r="I68" i="18"/>
  <c r="I84" i="18"/>
  <c r="I45" i="17"/>
  <c r="F125" i="18"/>
  <c r="F33" i="17"/>
  <c r="I127" i="18"/>
  <c r="F129" i="18"/>
  <c r="F83" i="18"/>
  <c r="I43" i="17"/>
  <c r="F81" i="18"/>
  <c r="I120" i="18"/>
  <c r="F133" i="18"/>
  <c r="J172" i="15"/>
  <c r="F111" i="18"/>
  <c r="I118" i="18" s="1"/>
  <c r="I78" i="18"/>
  <c r="I76" i="18"/>
  <c r="I61" i="17"/>
  <c r="F85" i="18"/>
  <c r="F86" i="18" s="1"/>
  <c r="F77" i="18"/>
  <c r="I77" i="18"/>
  <c r="J11" i="17"/>
  <c r="F79" i="18"/>
  <c r="I49" i="17"/>
  <c r="F132" i="18"/>
  <c r="C32" i="18"/>
  <c r="F128" i="18"/>
  <c r="I123" i="18"/>
  <c r="F25" i="18"/>
  <c r="I26" i="18" s="1"/>
  <c r="I82" i="18"/>
  <c r="F71" i="18"/>
  <c r="F72" i="18" s="1"/>
  <c r="I75" i="18"/>
  <c r="J92" i="15"/>
  <c r="F50" i="17"/>
  <c r="F135" i="18"/>
  <c r="I83" i="18"/>
  <c r="F80" i="18"/>
  <c r="I45" i="18"/>
  <c r="J50" i="16"/>
  <c r="F127" i="18"/>
  <c r="I71" i="18"/>
  <c r="F101" i="18"/>
  <c r="F103" i="18" s="1"/>
  <c r="F121" i="18"/>
  <c r="F56" i="18"/>
  <c r="J209" i="15"/>
  <c r="F63" i="18"/>
  <c r="I64" i="18" s="1"/>
  <c r="F68" i="18"/>
  <c r="F70" i="18" s="1"/>
  <c r="I135" i="18"/>
  <c r="I81" i="18"/>
  <c r="F45" i="17"/>
  <c r="F46" i="17"/>
  <c r="I48" i="17"/>
  <c r="F44" i="17"/>
  <c r="F47" i="17"/>
  <c r="F43" i="17"/>
  <c r="I44" i="17"/>
  <c r="F48" i="17"/>
  <c r="I47" i="17"/>
  <c r="I46" i="17"/>
  <c r="F61" i="17"/>
  <c r="F62" i="17"/>
  <c r="J98" i="17"/>
  <c r="I130" i="18"/>
  <c r="J93" i="15"/>
  <c r="J29" i="17"/>
  <c r="J202" i="15"/>
  <c r="J113" i="15"/>
  <c r="I29" i="18"/>
  <c r="I97" i="18"/>
  <c r="C29" i="18"/>
  <c r="C44" i="18" s="1"/>
  <c r="I56" i="18"/>
  <c r="I34" i="17"/>
  <c r="I33" i="17"/>
  <c r="I36" i="17"/>
  <c r="F136" i="18"/>
  <c r="F120" i="18"/>
  <c r="J96" i="17"/>
  <c r="I63" i="18"/>
  <c r="F16" i="18"/>
  <c r="F19" i="18" s="1"/>
  <c r="I25" i="18"/>
  <c r="I90" i="18"/>
  <c r="I122" i="18"/>
  <c r="J51" i="16"/>
  <c r="J91" i="17"/>
  <c r="J201" i="15"/>
  <c r="J114" i="15"/>
  <c r="F84" i="18"/>
  <c r="I128" i="18"/>
  <c r="J95" i="17"/>
  <c r="I85" i="18"/>
  <c r="F90" i="18"/>
  <c r="I95" i="18" s="1"/>
  <c r="I79" i="18"/>
  <c r="I121" i="18"/>
  <c r="F126" i="18"/>
  <c r="F130" i="18"/>
  <c r="F57" i="17"/>
  <c r="I58" i="17"/>
  <c r="I59" i="17"/>
  <c r="I55" i="17"/>
  <c r="J101" i="17"/>
  <c r="J25" i="17"/>
  <c r="F82" i="18"/>
  <c r="J103" i="17"/>
  <c r="F97" i="18"/>
  <c r="F99" i="18" s="1"/>
  <c r="F134" i="18"/>
  <c r="F123" i="18"/>
  <c r="F32" i="18"/>
  <c r="F59" i="18" s="1"/>
  <c r="C98" i="18"/>
  <c r="C99" i="18"/>
  <c r="C100" i="18"/>
  <c r="C27" i="18"/>
  <c r="C42" i="18"/>
  <c r="C41" i="18"/>
  <c r="C28" i="18"/>
  <c r="C26" i="18"/>
  <c r="C57" i="18"/>
  <c r="I44" i="18"/>
  <c r="J20" i="17"/>
  <c r="C111" i="18"/>
  <c r="J19" i="17"/>
  <c r="F44" i="18"/>
  <c r="C85" i="18"/>
  <c r="J5" i="18"/>
  <c r="J14" i="17"/>
  <c r="F43" i="18"/>
  <c r="F52" i="18"/>
  <c r="J31" i="17"/>
  <c r="J16" i="17"/>
  <c r="I9" i="18"/>
  <c r="I31" i="18"/>
  <c r="C64" i="17"/>
  <c r="J63" i="17"/>
  <c r="C65" i="17"/>
  <c r="J8" i="17"/>
  <c r="J12" i="17"/>
  <c r="J22" i="17"/>
  <c r="I11" i="18"/>
  <c r="C12" i="18"/>
  <c r="J12" i="18" s="1"/>
  <c r="J7" i="17"/>
  <c r="J21" i="17"/>
  <c r="F31" i="18"/>
  <c r="J111" i="17"/>
  <c r="J148" i="15"/>
  <c r="J149" i="15"/>
  <c r="J147" i="15"/>
  <c r="J146" i="15"/>
  <c r="J145" i="15"/>
  <c r="J144" i="15"/>
  <c r="F13" i="18"/>
  <c r="C75" i="18"/>
  <c r="C101" i="18"/>
  <c r="C122" i="18"/>
  <c r="J6" i="18"/>
  <c r="J124" i="18" s="1"/>
  <c r="J104" i="17"/>
  <c r="J76" i="16"/>
  <c r="C77" i="16"/>
  <c r="C78" i="16"/>
  <c r="J102" i="17"/>
  <c r="J70" i="16"/>
  <c r="C71" i="16"/>
  <c r="C75" i="16"/>
  <c r="J51" i="17"/>
  <c r="C57" i="17"/>
  <c r="C59" i="17"/>
  <c r="C55" i="17"/>
  <c r="C58" i="17"/>
  <c r="C56" i="17"/>
  <c r="C52" i="17"/>
  <c r="C53" i="17"/>
  <c r="C54" i="17"/>
  <c r="C71" i="18"/>
  <c r="J110" i="17"/>
  <c r="J106" i="17"/>
  <c r="J26" i="17"/>
  <c r="J94" i="17"/>
  <c r="J9" i="17"/>
  <c r="J105" i="17"/>
  <c r="J112" i="17"/>
  <c r="J113" i="17"/>
  <c r="J18" i="17"/>
  <c r="I15" i="18"/>
  <c r="F15" i="18"/>
  <c r="C63" i="18"/>
  <c r="I43" i="18"/>
  <c r="I8" i="18"/>
  <c r="F45" i="18"/>
  <c r="C16" i="18"/>
  <c r="J92" i="17"/>
  <c r="J24" i="17"/>
  <c r="C90" i="18"/>
  <c r="J17" i="17"/>
  <c r="F71" i="16"/>
  <c r="I75" i="16"/>
  <c r="F75" i="16"/>
  <c r="I71" i="16"/>
  <c r="J99" i="17"/>
  <c r="J103" i="15"/>
  <c r="J42" i="17"/>
  <c r="C48" i="17"/>
  <c r="C45" i="17"/>
  <c r="C47" i="17"/>
  <c r="C44" i="17"/>
  <c r="C50" i="17"/>
  <c r="C43" i="17"/>
  <c r="C49" i="17"/>
  <c r="C46" i="17"/>
  <c r="J37" i="17"/>
  <c r="C39" i="17"/>
  <c r="C40" i="17"/>
  <c r="C38" i="17"/>
  <c r="C41" i="17"/>
  <c r="J210" i="15"/>
  <c r="C125" i="18"/>
  <c r="F9" i="18"/>
  <c r="C126" i="18"/>
  <c r="I30" i="18"/>
  <c r="F122" i="18"/>
  <c r="C132" i="18"/>
  <c r="C45" i="18"/>
  <c r="J23" i="17"/>
  <c r="F38" i="17"/>
  <c r="F41" i="17"/>
  <c r="I41" i="17"/>
  <c r="I38" i="17"/>
  <c r="I40" i="17"/>
  <c r="F40" i="17"/>
  <c r="I39" i="17"/>
  <c r="F39" i="17"/>
  <c r="J101" i="15"/>
  <c r="J10" i="17"/>
  <c r="J28" i="17"/>
  <c r="J207" i="15"/>
  <c r="I131" i="18"/>
  <c r="C9" i="18"/>
  <c r="J9" i="18" s="1"/>
  <c r="F12" i="18"/>
  <c r="I13" i="18"/>
  <c r="I10" i="18"/>
  <c r="F14" i="18"/>
  <c r="C76" i="18"/>
  <c r="J109" i="17"/>
  <c r="I2" i="22"/>
  <c r="F5" i="22"/>
  <c r="I49" i="22" s="1"/>
  <c r="C6" i="22"/>
  <c r="C61" i="22" s="1"/>
  <c r="I6" i="22"/>
  <c r="I4" i="22"/>
  <c r="I3" i="22"/>
  <c r="C5" i="22"/>
  <c r="J5" i="22" s="1"/>
  <c r="F4" i="22"/>
  <c r="F33" i="22" s="1"/>
  <c r="F34" i="22" s="1"/>
  <c r="C3" i="22"/>
  <c r="J3" i="22" s="1"/>
  <c r="C4" i="22"/>
  <c r="J4" i="22" s="1"/>
  <c r="F6" i="22"/>
  <c r="F61" i="22" s="1"/>
  <c r="F3" i="22"/>
  <c r="I11" i="22" s="1"/>
  <c r="I5" i="22"/>
  <c r="F65" i="17"/>
  <c r="I64" i="17"/>
  <c r="F64" i="17"/>
  <c r="I65" i="17"/>
  <c r="I78" i="16"/>
  <c r="I77" i="16"/>
  <c r="F78" i="16"/>
  <c r="F77" i="16"/>
  <c r="C61" i="17"/>
  <c r="C62" i="17"/>
  <c r="J107" i="17"/>
  <c r="J13" i="17"/>
  <c r="J102" i="15"/>
  <c r="J27" i="17"/>
  <c r="J206" i="15"/>
  <c r="F137" i="18"/>
  <c r="F124" i="18"/>
  <c r="C68" i="18"/>
  <c r="C11" i="18"/>
  <c r="J11" i="18" s="1"/>
  <c r="C52" i="18"/>
  <c r="J4" i="18"/>
  <c r="J66" i="17"/>
  <c r="C131" i="18"/>
  <c r="F131" i="18"/>
  <c r="I125" i="18"/>
  <c r="I126" i="18"/>
  <c r="I134" i="18"/>
  <c r="I124" i="18"/>
  <c r="C123" i="18"/>
  <c r="C133" i="18"/>
  <c r="J32" i="17"/>
  <c r="J36" i="17" s="1"/>
  <c r="I21" i="26" l="1"/>
  <c r="I23" i="26"/>
  <c r="I22" i="26"/>
  <c r="I24" i="26"/>
  <c r="I20" i="26"/>
  <c r="I17" i="26"/>
  <c r="I19" i="26"/>
  <c r="I18" i="26"/>
  <c r="J57" i="17"/>
  <c r="J62" i="17"/>
  <c r="J61" i="17"/>
  <c r="D9" i="26"/>
  <c r="F9" i="26"/>
  <c r="I16" i="26" s="1"/>
  <c r="I9" i="26"/>
  <c r="D3" i="26"/>
  <c r="J3" i="26" s="1"/>
  <c r="F3" i="26"/>
  <c r="P2" i="26"/>
  <c r="I3" i="26"/>
  <c r="I9" i="22"/>
  <c r="J52" i="18"/>
  <c r="J111" i="18"/>
  <c r="C8" i="22"/>
  <c r="J8" i="22" s="1"/>
  <c r="J39" i="17"/>
  <c r="F10" i="22"/>
  <c r="F46" i="22"/>
  <c r="I2" i="26"/>
  <c r="I28" i="18"/>
  <c r="C12" i="22"/>
  <c r="J12" i="22" s="1"/>
  <c r="F116" i="18"/>
  <c r="I116" i="18"/>
  <c r="F69" i="18"/>
  <c r="F117" i="18"/>
  <c r="I18" i="18"/>
  <c r="F113" i="18"/>
  <c r="I42" i="18"/>
  <c r="J64" i="17"/>
  <c r="I57" i="18"/>
  <c r="J35" i="17"/>
  <c r="F118" i="18"/>
  <c r="J67" i="17"/>
  <c r="I89" i="18"/>
  <c r="I41" i="18"/>
  <c r="F74" i="18"/>
  <c r="F115" i="18"/>
  <c r="F73" i="18"/>
  <c r="F112" i="18"/>
  <c r="F28" i="18"/>
  <c r="I27" i="18"/>
  <c r="F26" i="18"/>
  <c r="I73" i="18"/>
  <c r="I20" i="18"/>
  <c r="I69" i="18"/>
  <c r="I112" i="18"/>
  <c r="I72" i="18"/>
  <c r="F114" i="18"/>
  <c r="F22" i="18"/>
  <c r="I119" i="18"/>
  <c r="F42" i="18"/>
  <c r="I59" i="18"/>
  <c r="J55" i="17"/>
  <c r="I117" i="18"/>
  <c r="F57" i="18"/>
  <c r="F119" i="18"/>
  <c r="I113" i="18"/>
  <c r="I70" i="18"/>
  <c r="F64" i="18"/>
  <c r="F67" i="18" s="1"/>
  <c r="F23" i="18"/>
  <c r="I74" i="18"/>
  <c r="J59" i="17"/>
  <c r="F27" i="18"/>
  <c r="F107" i="18"/>
  <c r="F25" i="22"/>
  <c r="I32" i="22" s="1"/>
  <c r="I24" i="22"/>
  <c r="I45" i="22"/>
  <c r="F24" i="22"/>
  <c r="F44" i="22"/>
  <c r="C11" i="22"/>
  <c r="J11" i="22" s="1"/>
  <c r="J75" i="16"/>
  <c r="C13" i="22"/>
  <c r="J13" i="22" s="1"/>
  <c r="I44" i="22"/>
  <c r="C49" i="18"/>
  <c r="C34" i="18"/>
  <c r="I107" i="18"/>
  <c r="I108" i="18"/>
  <c r="F110" i="18"/>
  <c r="F39" i="18"/>
  <c r="F108" i="18"/>
  <c r="I88" i="18"/>
  <c r="F88" i="18"/>
  <c r="I87" i="18"/>
  <c r="F87" i="18"/>
  <c r="C36" i="18"/>
  <c r="I7" i="22"/>
  <c r="C24" i="22"/>
  <c r="J24" i="22" s="1"/>
  <c r="F17" i="18"/>
  <c r="F102" i="18"/>
  <c r="F24" i="18"/>
  <c r="I109" i="18"/>
  <c r="F14" i="22"/>
  <c r="F15" i="22" s="1"/>
  <c r="I98" i="18"/>
  <c r="I47" i="22"/>
  <c r="F45" i="22"/>
  <c r="C33" i="22"/>
  <c r="C47" i="22" s="1"/>
  <c r="F106" i="18"/>
  <c r="I105" i="18"/>
  <c r="C51" i="18"/>
  <c r="I40" i="18"/>
  <c r="I106" i="18"/>
  <c r="I53" i="22"/>
  <c r="F104" i="18"/>
  <c r="I110" i="18"/>
  <c r="I33" i="22"/>
  <c r="I34" i="22"/>
  <c r="C58" i="18"/>
  <c r="I103" i="18"/>
  <c r="F105" i="18"/>
  <c r="I102" i="18"/>
  <c r="C14" i="22"/>
  <c r="C9" i="22"/>
  <c r="J9" i="22" s="1"/>
  <c r="C50" i="18"/>
  <c r="C33" i="18"/>
  <c r="F41" i="18"/>
  <c r="I115" i="18"/>
  <c r="I114" i="18"/>
  <c r="F109" i="18"/>
  <c r="C25" i="22"/>
  <c r="C28" i="22" s="1"/>
  <c r="C29" i="22" s="1"/>
  <c r="I12" i="22"/>
  <c r="F92" i="18"/>
  <c r="I104" i="18"/>
  <c r="F12" i="22"/>
  <c r="C35" i="18"/>
  <c r="C7" i="22"/>
  <c r="J7" i="22" s="1"/>
  <c r="C10" i="22"/>
  <c r="J10" i="22" s="1"/>
  <c r="F8" i="22"/>
  <c r="I25" i="22"/>
  <c r="F11" i="22"/>
  <c r="C59" i="18"/>
  <c r="I86" i="18"/>
  <c r="F89" i="18"/>
  <c r="I36" i="22"/>
  <c r="F42" i="22"/>
  <c r="I40" i="22"/>
  <c r="F39" i="22"/>
  <c r="F36" i="22"/>
  <c r="I38" i="18"/>
  <c r="F38" i="18"/>
  <c r="I21" i="18"/>
  <c r="F20" i="18"/>
  <c r="F37" i="18"/>
  <c r="F18" i="18"/>
  <c r="F40" i="18"/>
  <c r="I34" i="18"/>
  <c r="J75" i="18"/>
  <c r="J74" i="17"/>
  <c r="I36" i="18"/>
  <c r="J49" i="17"/>
  <c r="I35" i="18"/>
  <c r="C43" i="18"/>
  <c r="C31" i="18"/>
  <c r="F93" i="18"/>
  <c r="I96" i="18"/>
  <c r="I92" i="18"/>
  <c r="F91" i="18"/>
  <c r="F95" i="18"/>
  <c r="F94" i="18"/>
  <c r="I93" i="18"/>
  <c r="I24" i="18"/>
  <c r="I58" i="18"/>
  <c r="I37" i="18"/>
  <c r="F58" i="18"/>
  <c r="J43" i="17"/>
  <c r="I51" i="18"/>
  <c r="F51" i="18"/>
  <c r="F34" i="18"/>
  <c r="J46" i="17"/>
  <c r="I33" i="18"/>
  <c r="J50" i="17"/>
  <c r="F33" i="18"/>
  <c r="J65" i="17"/>
  <c r="F50" i="18"/>
  <c r="F35" i="18"/>
  <c r="I17" i="18"/>
  <c r="J44" i="17"/>
  <c r="F96" i="18"/>
  <c r="I94" i="18"/>
  <c r="F36" i="18"/>
  <c r="F47" i="22"/>
  <c r="I46" i="22"/>
  <c r="I91" i="18"/>
  <c r="I39" i="18"/>
  <c r="I22" i="18"/>
  <c r="F21" i="18"/>
  <c r="I23" i="18"/>
  <c r="I48" i="22"/>
  <c r="C30" i="18"/>
  <c r="I100" i="18"/>
  <c r="I99" i="18"/>
  <c r="F100" i="18"/>
  <c r="F98" i="18"/>
  <c r="F49" i="18"/>
  <c r="F53" i="22"/>
  <c r="F57" i="22" s="1"/>
  <c r="F13" i="22"/>
  <c r="I49" i="18"/>
  <c r="J77" i="16"/>
  <c r="I19" i="18"/>
  <c r="I50" i="18"/>
  <c r="J75" i="17"/>
  <c r="J33" i="17"/>
  <c r="F38" i="22"/>
  <c r="F37" i="22"/>
  <c r="F9" i="22"/>
  <c r="J47" i="17"/>
  <c r="J72" i="17"/>
  <c r="J131" i="18"/>
  <c r="J84" i="17"/>
  <c r="I38" i="22"/>
  <c r="I14" i="22"/>
  <c r="J34" i="17"/>
  <c r="J45" i="17"/>
  <c r="J71" i="17"/>
  <c r="J73" i="17"/>
  <c r="J135" i="18"/>
  <c r="J137" i="18"/>
  <c r="J78" i="17"/>
  <c r="F41" i="22"/>
  <c r="I37" i="22"/>
  <c r="J133" i="18"/>
  <c r="J123" i="18"/>
  <c r="C49" i="22"/>
  <c r="J86" i="17"/>
  <c r="J121" i="18"/>
  <c r="J48" i="17"/>
  <c r="J90" i="18"/>
  <c r="C96" i="18"/>
  <c r="C95" i="18"/>
  <c r="C94" i="18"/>
  <c r="C93" i="18"/>
  <c r="C91" i="18"/>
  <c r="C92" i="18"/>
  <c r="J32" i="18"/>
  <c r="J122" i="18"/>
  <c r="I73" i="16"/>
  <c r="I74" i="16"/>
  <c r="F73" i="16"/>
  <c r="I72" i="16"/>
  <c r="F74" i="16"/>
  <c r="F72" i="16"/>
  <c r="J71" i="18"/>
  <c r="C73" i="18"/>
  <c r="C72" i="18"/>
  <c r="C74" i="18"/>
  <c r="J71" i="16"/>
  <c r="C72" i="16"/>
  <c r="C73" i="16"/>
  <c r="C74" i="16"/>
  <c r="J68" i="17"/>
  <c r="J77" i="17"/>
  <c r="J83" i="17"/>
  <c r="J76" i="17"/>
  <c r="J89" i="17"/>
  <c r="J85" i="17"/>
  <c r="J87" i="17"/>
  <c r="J81" i="17"/>
  <c r="J90" i="17"/>
  <c r="F43" i="22"/>
  <c r="C53" i="22"/>
  <c r="J6" i="22"/>
  <c r="J61" i="22" s="1"/>
  <c r="J69" i="17"/>
  <c r="J134" i="18"/>
  <c r="J29" i="18"/>
  <c r="J56" i="18"/>
  <c r="J126" i="18"/>
  <c r="C64" i="18"/>
  <c r="J63" i="18"/>
  <c r="I43" i="22"/>
  <c r="C78" i="18"/>
  <c r="J76" i="18"/>
  <c r="C79" i="18"/>
  <c r="C84" i="18"/>
  <c r="C83" i="18"/>
  <c r="C81" i="18"/>
  <c r="C80" i="18"/>
  <c r="C82" i="18"/>
  <c r="C77" i="18"/>
  <c r="F35" i="22"/>
  <c r="I35" i="22"/>
  <c r="F48" i="22"/>
  <c r="F7" i="22"/>
  <c r="I10" i="22"/>
  <c r="C47" i="18"/>
  <c r="J45" i="18"/>
  <c r="C46" i="18"/>
  <c r="C48" i="18"/>
  <c r="C22" i="18"/>
  <c r="J16" i="18"/>
  <c r="C21" i="18"/>
  <c r="C18" i="18"/>
  <c r="C24" i="18"/>
  <c r="C38" i="18"/>
  <c r="C37" i="18"/>
  <c r="C40" i="18"/>
  <c r="C19" i="18"/>
  <c r="C17" i="18"/>
  <c r="C23" i="18"/>
  <c r="C39" i="18"/>
  <c r="C20" i="18"/>
  <c r="J53" i="17"/>
  <c r="J128" i="18"/>
  <c r="J54" i="17"/>
  <c r="J132" i="18"/>
  <c r="J41" i="17"/>
  <c r="I46" i="18"/>
  <c r="I48" i="18"/>
  <c r="I47" i="18"/>
  <c r="F48" i="18"/>
  <c r="F46" i="18"/>
  <c r="F47" i="18"/>
  <c r="J52" i="17"/>
  <c r="J85" i="18"/>
  <c r="C86" i="18"/>
  <c r="C88" i="18"/>
  <c r="C87" i="18"/>
  <c r="C89" i="18"/>
  <c r="I42" i="22"/>
  <c r="J125" i="18"/>
  <c r="I41" i="22"/>
  <c r="I39" i="22"/>
  <c r="F49" i="22"/>
  <c r="I8" i="22"/>
  <c r="J130" i="18"/>
  <c r="J38" i="17"/>
  <c r="J56" i="17"/>
  <c r="J127" i="18"/>
  <c r="C48" i="22"/>
  <c r="J48" i="22" s="1"/>
  <c r="C53" i="18"/>
  <c r="C62" i="18"/>
  <c r="C55" i="18"/>
  <c r="C61" i="18"/>
  <c r="C54" i="18"/>
  <c r="C60" i="18"/>
  <c r="J60" i="18" s="1"/>
  <c r="J70" i="17"/>
  <c r="F40" i="22"/>
  <c r="J68" i="18"/>
  <c r="C70" i="18"/>
  <c r="C69" i="18"/>
  <c r="I13" i="22"/>
  <c r="I61" i="22"/>
  <c r="J40" i="17"/>
  <c r="J58" i="17"/>
  <c r="J78" i="16"/>
  <c r="J136" i="18"/>
  <c r="J80" i="17"/>
  <c r="J79" i="17"/>
  <c r="J88" i="17"/>
  <c r="J120" i="18"/>
  <c r="C113" i="18"/>
  <c r="C114" i="18"/>
  <c r="J114" i="18" s="1"/>
  <c r="C119" i="18"/>
  <c r="C112" i="18"/>
  <c r="C117" i="18"/>
  <c r="C118" i="18"/>
  <c r="C115" i="18"/>
  <c r="C116" i="18"/>
  <c r="J25" i="18"/>
  <c r="J57" i="18" s="1"/>
  <c r="I61" i="18"/>
  <c r="I62" i="18"/>
  <c r="F54" i="18"/>
  <c r="F60" i="18"/>
  <c r="F61" i="18"/>
  <c r="I55" i="18"/>
  <c r="I54" i="18"/>
  <c r="F55" i="18"/>
  <c r="I53" i="18"/>
  <c r="I60" i="18"/>
  <c r="F53" i="18"/>
  <c r="F62" i="18"/>
  <c r="J82" i="17"/>
  <c r="J129" i="18"/>
  <c r="J101" i="18"/>
  <c r="C104" i="18"/>
  <c r="C107" i="18"/>
  <c r="C105" i="18"/>
  <c r="C109" i="18"/>
  <c r="C103" i="18"/>
  <c r="C102" i="18"/>
  <c r="C108" i="18"/>
  <c r="C110" i="18"/>
  <c r="C106" i="18"/>
  <c r="J97" i="18"/>
  <c r="J98" i="18" s="1"/>
  <c r="I15" i="26" l="1"/>
  <c r="I13" i="26"/>
  <c r="I14" i="26"/>
  <c r="I12" i="26"/>
  <c r="I11" i="26"/>
  <c r="F16" i="26"/>
  <c r="F15" i="26"/>
  <c r="F13" i="26"/>
  <c r="F12" i="26"/>
  <c r="F14" i="26"/>
  <c r="F11" i="26"/>
  <c r="J9" i="26"/>
  <c r="D14" i="26"/>
  <c r="D15" i="26"/>
  <c r="J15" i="26" s="1"/>
  <c r="D16" i="26"/>
  <c r="J16" i="26" s="1"/>
  <c r="D11" i="26"/>
  <c r="J11" i="26" s="1"/>
  <c r="D12" i="26"/>
  <c r="D13" i="26"/>
  <c r="I10" i="26"/>
  <c r="F10" i="26"/>
  <c r="D10" i="26"/>
  <c r="J112" i="18"/>
  <c r="J119" i="18"/>
  <c r="J54" i="18"/>
  <c r="J113" i="18"/>
  <c r="J116" i="18"/>
  <c r="J62" i="18"/>
  <c r="J115" i="18"/>
  <c r="J53" i="18"/>
  <c r="J118" i="18"/>
  <c r="J61" i="18"/>
  <c r="J55" i="18"/>
  <c r="J117" i="18"/>
  <c r="J46" i="18"/>
  <c r="F65" i="18"/>
  <c r="F66" i="18"/>
  <c r="I65" i="18"/>
  <c r="I67" i="18"/>
  <c r="I66" i="18"/>
  <c r="I26" i="22"/>
  <c r="F26" i="22"/>
  <c r="F28" i="22"/>
  <c r="I30" i="22" s="1"/>
  <c r="C34" i="22"/>
  <c r="C41" i="22" s="1"/>
  <c r="J33" i="22"/>
  <c r="J47" i="22" s="1"/>
  <c r="I27" i="22"/>
  <c r="J78" i="18"/>
  <c r="F27" i="22"/>
  <c r="J64" i="18"/>
  <c r="F32" i="22"/>
  <c r="I28" i="22"/>
  <c r="F22" i="22"/>
  <c r="F23" i="22" s="1"/>
  <c r="F16" i="22"/>
  <c r="F21" i="22" s="1"/>
  <c r="J103" i="18"/>
  <c r="J42" i="18"/>
  <c r="J39" i="18"/>
  <c r="J89" i="18"/>
  <c r="J72" i="16"/>
  <c r="J109" i="18"/>
  <c r="J87" i="18"/>
  <c r="J105" i="18"/>
  <c r="J107" i="18"/>
  <c r="J88" i="18"/>
  <c r="J86" i="18"/>
  <c r="J25" i="22"/>
  <c r="J28" i="22" s="1"/>
  <c r="C26" i="22"/>
  <c r="C27" i="22"/>
  <c r="C32" i="22"/>
  <c r="C31" i="22"/>
  <c r="J19" i="18"/>
  <c r="J41" i="18"/>
  <c r="J40" i="18"/>
  <c r="J14" i="22"/>
  <c r="C22" i="22"/>
  <c r="C16" i="22"/>
  <c r="C15" i="22"/>
  <c r="C44" i="22"/>
  <c r="C46" i="22"/>
  <c r="C45" i="22"/>
  <c r="J28" i="18"/>
  <c r="J37" i="18"/>
  <c r="J17" i="18"/>
  <c r="J106" i="18"/>
  <c r="J110" i="18"/>
  <c r="J24" i="18"/>
  <c r="J38" i="18"/>
  <c r="J108" i="18"/>
  <c r="J69" i="18"/>
  <c r="J18" i="18"/>
  <c r="I22" i="22"/>
  <c r="I16" i="22"/>
  <c r="I15" i="22"/>
  <c r="J23" i="18"/>
  <c r="J102" i="18"/>
  <c r="J27" i="18"/>
  <c r="J70" i="18"/>
  <c r="J21" i="18"/>
  <c r="J74" i="16"/>
  <c r="J73" i="16"/>
  <c r="J82" i="18"/>
  <c r="J92" i="18"/>
  <c r="J80" i="18"/>
  <c r="J91" i="18"/>
  <c r="F56" i="22"/>
  <c r="F54" i="22"/>
  <c r="I54" i="22"/>
  <c r="F55" i="22"/>
  <c r="I59" i="22"/>
  <c r="I56" i="22"/>
  <c r="I60" i="22"/>
  <c r="F60" i="22"/>
  <c r="I55" i="22"/>
  <c r="I57" i="22"/>
  <c r="F59" i="22"/>
  <c r="I58" i="22"/>
  <c r="F58" i="22"/>
  <c r="J104" i="18"/>
  <c r="J26" i="18"/>
  <c r="J48" i="18"/>
  <c r="J81" i="18"/>
  <c r="C30" i="22"/>
  <c r="J83" i="18"/>
  <c r="J74" i="18"/>
  <c r="J94" i="18"/>
  <c r="J72" i="18"/>
  <c r="J95" i="18"/>
  <c r="J20" i="18"/>
  <c r="J79" i="18"/>
  <c r="J73" i="18"/>
  <c r="J96" i="18"/>
  <c r="J30" i="18"/>
  <c r="J43" i="18"/>
  <c r="J31" i="18"/>
  <c r="J47" i="18"/>
  <c r="J84" i="18"/>
  <c r="J53" i="22"/>
  <c r="J93" i="18"/>
  <c r="J34" i="18"/>
  <c r="J49" i="18"/>
  <c r="C56" i="22"/>
  <c r="C54" i="22"/>
  <c r="C57" i="22"/>
  <c r="C55" i="22"/>
  <c r="C58" i="22"/>
  <c r="C59" i="22"/>
  <c r="C60" i="22"/>
  <c r="J44" i="18"/>
  <c r="J58" i="18"/>
  <c r="C66" i="18"/>
  <c r="C67" i="18"/>
  <c r="C65" i="18"/>
  <c r="J51" i="18"/>
  <c r="J33" i="18"/>
  <c r="J100" i="18"/>
  <c r="J36" i="18"/>
  <c r="J49" i="22"/>
  <c r="C51" i="22"/>
  <c r="C50" i="22"/>
  <c r="C52" i="22"/>
  <c r="J35" i="18"/>
  <c r="J99" i="18"/>
  <c r="F52" i="22"/>
  <c r="I51" i="22"/>
  <c r="F50" i="22"/>
  <c r="I52" i="22"/>
  <c r="I50" i="22"/>
  <c r="F51" i="22"/>
  <c r="J59" i="18"/>
  <c r="J50" i="18"/>
  <c r="J22" i="18"/>
  <c r="J77" i="18"/>
  <c r="J14" i="26" l="1"/>
  <c r="J13" i="26"/>
  <c r="J12" i="26"/>
  <c r="J10" i="26"/>
  <c r="J15" i="22"/>
  <c r="F31" i="22"/>
  <c r="J45" i="22"/>
  <c r="J46" i="22"/>
  <c r="J44" i="22"/>
  <c r="C37" i="22"/>
  <c r="C35" i="22"/>
  <c r="C38" i="22"/>
  <c r="C40" i="22"/>
  <c r="C42" i="22"/>
  <c r="J52" i="22"/>
  <c r="C39" i="22"/>
  <c r="J34" i="22"/>
  <c r="I29" i="22"/>
  <c r="I31" i="22"/>
  <c r="C36" i="22"/>
  <c r="F29" i="22"/>
  <c r="J30" i="22"/>
  <c r="C43" i="22"/>
  <c r="J27" i="22"/>
  <c r="J67" i="18"/>
  <c r="J66" i="18"/>
  <c r="I20" i="22"/>
  <c r="F18" i="22"/>
  <c r="J31" i="22"/>
  <c r="F20" i="22"/>
  <c r="J65" i="18"/>
  <c r="I23" i="22"/>
  <c r="F17" i="22"/>
  <c r="F19" i="22"/>
  <c r="I17" i="22"/>
  <c r="I19" i="22"/>
  <c r="I18" i="22"/>
  <c r="F30" i="22"/>
  <c r="J29" i="22"/>
  <c r="J50" i="22"/>
  <c r="I21" i="22"/>
  <c r="J32" i="22"/>
  <c r="J26" i="22"/>
  <c r="J22" i="22"/>
  <c r="C23" i="22"/>
  <c r="J16" i="22"/>
  <c r="C17" i="22"/>
  <c r="C20" i="22"/>
  <c r="C18" i="22"/>
  <c r="C21" i="22"/>
  <c r="C19" i="22"/>
  <c r="J60" i="22"/>
  <c r="J58" i="22"/>
  <c r="J51" i="22"/>
  <c r="J57" i="22"/>
  <c r="J55" i="22"/>
  <c r="J54" i="22"/>
  <c r="J56" i="22"/>
  <c r="J59" i="22"/>
  <c r="J40" i="22" l="1"/>
  <c r="J39" i="22"/>
  <c r="J36" i="22"/>
  <c r="J20" i="22"/>
  <c r="J17" i="22"/>
  <c r="J42" i="22"/>
  <c r="J35" i="22"/>
  <c r="J38" i="22"/>
  <c r="J41" i="22"/>
  <c r="J37" i="22"/>
  <c r="J43" i="22"/>
  <c r="J19" i="22"/>
  <c r="J21" i="22"/>
  <c r="J18" i="22"/>
  <c r="J23" i="22"/>
  <c r="I4" i="26"/>
  <c r="F4" i="26"/>
  <c r="I7" i="26"/>
  <c r="F7" i="26"/>
  <c r="D4" i="26"/>
  <c r="J4" i="26" s="1"/>
  <c r="D6" i="26"/>
  <c r="J6" i="26" s="1"/>
  <c r="D8" i="26"/>
  <c r="J8" i="26" s="1"/>
  <c r="F8" i="26"/>
  <c r="I8" i="26"/>
  <c r="I6" i="26"/>
  <c r="F6" i="26"/>
  <c r="D5" i="26"/>
  <c r="J5" i="26" s="1"/>
  <c r="I5" i="26"/>
  <c r="F5" i="26"/>
  <c r="D7" i="26"/>
  <c r="J7" i="26" s="1"/>
</calcChain>
</file>

<file path=xl/sharedStrings.xml><?xml version="1.0" encoding="utf-8"?>
<sst xmlns="http://schemas.openxmlformats.org/spreadsheetml/2006/main" count="20263" uniqueCount="2206">
  <si>
    <t>ROL_JEFE_CONT_CONTA</t>
  </si>
  <si>
    <t>ROL_ANALI_CONTA</t>
  </si>
  <si>
    <t>ROL_AUDIT_CONTA</t>
  </si>
  <si>
    <t>ROL_ADM_CONTA</t>
  </si>
  <si>
    <t>ROL_CDTE_CONTA</t>
  </si>
  <si>
    <t>ROL_LOGIS_CONTA</t>
  </si>
  <si>
    <t>ROL_JEFE_FIN_CONTA</t>
  </si>
  <si>
    <t>ROL_JEFE_ADQ_CONTA</t>
  </si>
  <si>
    <t>ROL_JEFE_ABAT_CONTA</t>
  </si>
  <si>
    <t>ROL_CONSOLI_CONTA</t>
  </si>
  <si>
    <t>ROL_COMP_CONTA</t>
  </si>
  <si>
    <t>ROL_JEFE_CONT_CONTA_HOSP</t>
  </si>
  <si>
    <t>ROL_SUPER_CONTA_LEY</t>
  </si>
  <si>
    <t>ROL_CONTA_LICENCIA</t>
  </si>
  <si>
    <t>Modulos</t>
  </si>
  <si>
    <t>Modulo</t>
  </si>
  <si>
    <t>Id</t>
  </si>
  <si>
    <t>Descripción</t>
  </si>
  <si>
    <t>PARÁMETROS</t>
  </si>
  <si>
    <t>PROCESOS</t>
  </si>
  <si>
    <t>CONSULTAS</t>
  </si>
  <si>
    <t>INFORMES</t>
  </si>
  <si>
    <t>CIERRE</t>
  </si>
  <si>
    <t>Nombre Opción</t>
  </si>
  <si>
    <t>Nivel</t>
  </si>
  <si>
    <t>ENTIDADES CONSOLIDADORAS</t>
  </si>
  <si>
    <t>UNIDAD</t>
  </si>
  <si>
    <t>UNIDADES INTERNAS</t>
  </si>
  <si>
    <t>ZONA</t>
  </si>
  <si>
    <t>ALTA REPARTICIÓN</t>
  </si>
  <si>
    <t>DEPENDENCIA</t>
  </si>
  <si>
    <t>ORGANICA</t>
  </si>
  <si>
    <t>PLAN DE CUENTAS POR ENTIDAD</t>
  </si>
  <si>
    <t>CUENTAS POR TIPO DE DOCUMENTOS – CAJA</t>
  </si>
  <si>
    <t>CONTRATOS UNIDADES</t>
  </si>
  <si>
    <t>MANTENCIÓN CÓDIGO DIARIO</t>
  </si>
  <si>
    <t>MANTENCIÓN NUMERO CONTROL</t>
  </si>
  <si>
    <t>MANTENCIÓN TIPO ASIENTO</t>
  </si>
  <si>
    <t>CUENTAS CONTABLES LICENCIAS</t>
  </si>
  <si>
    <t>HOMOLOGADOS</t>
  </si>
  <si>
    <t>TIPO COMPROMISOS</t>
  </si>
  <si>
    <t>TIPO DEVENGO EFECTIVO</t>
  </si>
  <si>
    <t>CARTERA CONTABLE</t>
  </si>
  <si>
    <t>GRUPO DE ANALITICOS</t>
  </si>
  <si>
    <t>TIPOS DE CUENTAS</t>
  </si>
  <si>
    <t>TIPOS DE BIENES</t>
  </si>
  <si>
    <t>CUENTAS DE BIENES</t>
  </si>
  <si>
    <t>VALOR MONEDA (CAJA)</t>
  </si>
  <si>
    <t>UNIDAD DE FOMENTO</t>
  </si>
  <si>
    <t>INDICE PRECIO AL CONSUMIDOR</t>
  </si>
  <si>
    <t>UNIDAD TRIBUTARIA MENSUAL</t>
  </si>
  <si>
    <t>MANTENIMIENTO EVENTOS CONTABLES</t>
  </si>
  <si>
    <t>TIPOS DE IMPUESTOS</t>
  </si>
  <si>
    <t>MONEDA</t>
  </si>
  <si>
    <t>PLANTILLA RESOUCIÓN DE PAGO EXENTA</t>
  </si>
  <si>
    <t>MANTENCION DE PROVEEDORES</t>
  </si>
  <si>
    <t>MANTENCION DE FINANCIADORES</t>
  </si>
  <si>
    <t>IDENTIFICACION DE LOS MÓDULOS</t>
  </si>
  <si>
    <t>ENTRADA DE ASIENTOS CONTABLES</t>
  </si>
  <si>
    <t>ACTUALIZACIÓN DE ASIENTOS CONTABLES</t>
  </si>
  <si>
    <t>TRASPASA ASIENTOS EFECTIVOS ILIAS</t>
  </si>
  <si>
    <t>ENTRADA Y MANTENIMIENTO DE ANÁLITICOS</t>
  </si>
  <si>
    <t>FACTURACIÓN HOSPITAL</t>
  </si>
  <si>
    <t>INVERSIONES Y COLOCACIONES</t>
  </si>
  <si>
    <t xml:space="preserve">INVERSIONES Y COLOCACIONES </t>
  </si>
  <si>
    <t>CUADRATURA SIGFE POR ENTIDAD</t>
  </si>
  <si>
    <t>POR UNIDAD</t>
  </si>
  <si>
    <t xml:space="preserve">POR UNIDAD </t>
  </si>
  <si>
    <t>COMPROMISOS POR UNIDAD</t>
  </si>
  <si>
    <t>VALIDA ESCTRUCTURA ARCHIVO PLANO</t>
  </si>
  <si>
    <t>PROCESA ARCHIVO PLANO</t>
  </si>
  <si>
    <t>GENERA ARCHIVO PLANO DE FACTURACIÓN</t>
  </si>
  <si>
    <t>TOMA DE COLOCACION</t>
  </si>
  <si>
    <t>CONFIRMA BANCO</t>
  </si>
  <si>
    <t>ANULA COLOCACION</t>
  </si>
  <si>
    <t>RESCATA Y LIQUIDA COLOCACIÓN</t>
  </si>
  <si>
    <t>RESCATA INTERESES Y RENUEVA COLOCACIÓN</t>
  </si>
  <si>
    <t>RENUEVA COLOCACIONES CON INTERESES</t>
  </si>
  <si>
    <t>RESCATA PARCIAL CON DEPOSITO</t>
  </si>
  <si>
    <t>RESCATA PARCIAL PARA PAGO</t>
  </si>
  <si>
    <t>SALDO INICIAL DE CAJA</t>
  </si>
  <si>
    <t>CUADRARTURA MOVIMIENTO DE FONDOS</t>
  </si>
  <si>
    <t>BALANCE COMPROBACIÓN Y SALDOS DEL MES</t>
  </si>
  <si>
    <t>LIBRO MAYOR DEL MES</t>
  </si>
  <si>
    <t>CUENTAS COMPLEMENTARIAS DEL MES</t>
  </si>
  <si>
    <t>MOVIMIENTOS DE FONDOS DEL MES</t>
  </si>
  <si>
    <t>SALDOS DE CUENTAS</t>
  </si>
  <si>
    <t>CUADRATURA UNIDAD / CUENTAS DE GASTO</t>
  </si>
  <si>
    <t>CUADRATURA UNIDAD / CUENTAS DE INGRESOS</t>
  </si>
  <si>
    <t>SALDOS POR FECHAS</t>
  </si>
  <si>
    <t>DE MOVIMIENTOS</t>
  </si>
  <si>
    <t>MOVIMIENTOS POR NRO CONTROL PAGOS EFECTUADOS POR RUT</t>
  </si>
  <si>
    <t>MERCADO PÚBLICO</t>
  </si>
  <si>
    <t>DE INGRESOS POR CUENTA</t>
  </si>
  <si>
    <t>DE GASTOS POR CUENTA</t>
  </si>
  <si>
    <t>ASIENTOS</t>
  </si>
  <si>
    <t>ACTUALIZADOS DEL MES EN PROCESO</t>
  </si>
  <si>
    <t>ASIENTO CONTABLE</t>
  </si>
  <si>
    <t/>
  </si>
  <si>
    <t>ANALITICOS DE CUENTAS</t>
  </si>
  <si>
    <t>ANALITICOS</t>
  </si>
  <si>
    <t>ANALITICOS DETALLE DE ANALITICOS</t>
  </si>
  <si>
    <t>DESVIACIÓN CAJA</t>
  </si>
  <si>
    <t>CUADRATURA MOVIMIENTO DE FONDOS DEL MES</t>
  </si>
  <si>
    <t>ANALITICOS DE CUENTAS POR UU.II</t>
  </si>
  <si>
    <t>DETALLE DE ANALITICOS POR UU.II</t>
  </si>
  <si>
    <t>SALDOS DE CUENTAS DEL MES</t>
  </si>
  <si>
    <t>CUADRATURA UNIDAD INTERNA / CUENTAS DE GASTOS DEL MES</t>
  </si>
  <si>
    <t>CUADRATURA UNIDAD INTERNA / CUENTAS DE INGRESOS DEL MES</t>
  </si>
  <si>
    <t>COMPROMISOS POR UNIDAD INTERNA / DE INGRESOS POR UU.II / CUENTA</t>
  </si>
  <si>
    <t>COMPROMISOS POR UNIDAD INTERNA / DE GASTOS POR UU.II / CUENTA</t>
  </si>
  <si>
    <t>FINANCIEROS</t>
  </si>
  <si>
    <t>FACTURAS POR FECHAS</t>
  </si>
  <si>
    <t>FACTURAS POR FINANCIADORES</t>
  </si>
  <si>
    <t>RESUMEN FACTURAS POR FECHA</t>
  </si>
  <si>
    <t xml:space="preserve">CONTROL EN LINEA CONSOLIDADO </t>
  </si>
  <si>
    <t>LICOPE GASTOS NEGATIVO</t>
  </si>
  <si>
    <t>LICOPE INGRESOS NEGATIVO</t>
  </si>
  <si>
    <t>EJECUCIÓN PRESUPUESTARIA DE GASTOS</t>
  </si>
  <si>
    <t>EJECUCIÓN PRESUPUESTARIA DE INGRESOS</t>
  </si>
  <si>
    <t>CONTROL EN LINEA UNIDAD</t>
  </si>
  <si>
    <t>COLOCACION ESPECIFICA</t>
  </si>
  <si>
    <t>VALIDAR INFORMACION</t>
  </si>
  <si>
    <t>ANULACIÓN O/C</t>
  </si>
  <si>
    <t>ORDENES DE COMPRAS</t>
  </si>
  <si>
    <t>RECHAZADAS POR FINANZAS</t>
  </si>
  <si>
    <t>RECHAZADAS POR MERCADO PUBLICO</t>
  </si>
  <si>
    <t>FINALIZADAS POR MERCADO PUBLICO</t>
  </si>
  <si>
    <t>POR PERIODO DE FECHAS</t>
  </si>
  <si>
    <t>POR UNIDAD INTERNA</t>
  </si>
  <si>
    <t>RESUMEN O/C REALIZADAS POR MES</t>
  </si>
  <si>
    <t>CATALOGO DE ARTICULOS</t>
  </si>
  <si>
    <t>AUTORIZADAS POR FINANZAS</t>
  </si>
  <si>
    <t>REIMPRESION CERTIFICADOS</t>
  </si>
  <si>
    <t>MANTENCION</t>
  </si>
  <si>
    <t>AUTORIZADORES</t>
  </si>
  <si>
    <t>MANTENCION CORREOS</t>
  </si>
  <si>
    <t>CORREO ELECTRONICOS UNIDAD INTERNA</t>
  </si>
  <si>
    <t>BALANCE GENERAL</t>
  </si>
  <si>
    <t>ESTADO RESULTADO</t>
  </si>
  <si>
    <t>MOVIMIENTO DE FONDOS</t>
  </si>
  <si>
    <t>CUENTAS COMPLEMENTARIAS</t>
  </si>
  <si>
    <t>BALANCE COMPROBACIÓN Y SALDOS</t>
  </si>
  <si>
    <t>BALANCE COMPROACIÓN CONTRALORIA</t>
  </si>
  <si>
    <t>CAPITULO V</t>
  </si>
  <si>
    <t>Visto</t>
  </si>
  <si>
    <t>EMISION  DE INFROMES A C.A.I.G.G</t>
  </si>
  <si>
    <t>DETALLE  DE INFROMES C.A.I.G.G</t>
  </si>
  <si>
    <t>EMISION GASTO A C.A.I.G.G</t>
  </si>
  <si>
    <t>INFORMES A C.A.I.G.G</t>
  </si>
  <si>
    <t>LIBRO DIARIO</t>
  </si>
  <si>
    <t>BALANCE DE COMPROBACION Y DE SALDOS</t>
  </si>
  <si>
    <t>LIBRO MAYOR</t>
  </si>
  <si>
    <t>RESOLUCIÓN DE PAGO</t>
  </si>
  <si>
    <t>PAGO A PROVEEDORES</t>
  </si>
  <si>
    <t>DETALLE DEUDORES Y ACREEDORES PRESUPUESTARIOS.</t>
  </si>
  <si>
    <t>COMPROBANTE DE EGRESO</t>
  </si>
  <si>
    <t>RESUMEN COMPROBANTE DE EGRESO</t>
  </si>
  <si>
    <t>DESVIACION CAJA</t>
  </si>
  <si>
    <t>BALANCE COMPROBACION Y SALDOS</t>
  </si>
  <si>
    <t>DETALLE DE CUENTAS POR UU.II</t>
  </si>
  <si>
    <t>INFORMES CONSOLIDADOS POR UNIDAD INTERNA CEAFOSS</t>
  </si>
  <si>
    <t>ESTADO DE RENDIMIENTO ECONOMICOS</t>
  </si>
  <si>
    <t>EN CARTERA NIVEL CONSOLIDADO</t>
  </si>
  <si>
    <t>EN CARTERA NIVEL UNIDAD</t>
  </si>
  <si>
    <t>CIERRES</t>
  </si>
  <si>
    <t>INFORMA UNIDAD</t>
  </si>
  <si>
    <t>CIERRE MENSUAL</t>
  </si>
  <si>
    <t>CIERRE ANUAL</t>
  </si>
  <si>
    <t>ASIENTOS DE CIERRE</t>
  </si>
  <si>
    <t>ASIENTOS DE APERTURA</t>
  </si>
  <si>
    <t>VER</t>
  </si>
  <si>
    <t>CREAR</t>
  </si>
  <si>
    <t>EDITAR</t>
  </si>
  <si>
    <t>ELIMINAR</t>
  </si>
  <si>
    <t>IMPRIMIR</t>
  </si>
  <si>
    <t>DESCARGAR</t>
  </si>
  <si>
    <t>USU_CF</t>
  </si>
  <si>
    <t>USU_ENTE</t>
  </si>
  <si>
    <t>ROL_ADM_PRESU</t>
  </si>
  <si>
    <t>ROL_ANALI_PRESU</t>
  </si>
  <si>
    <t>ROL_AUDIT_PRESU</t>
  </si>
  <si>
    <t>ROL_CDTE_PRESU</t>
  </si>
  <si>
    <t>ROL_COMP_PRESU</t>
  </si>
  <si>
    <t>ROL_CONSOLI_PRESU</t>
  </si>
  <si>
    <t>ROL_JEFE_ABAT_PRESU</t>
  </si>
  <si>
    <t>ROL_JEFE_ADQ_PRESU</t>
  </si>
  <si>
    <t>ROL_JEFE_CONT_PRESU</t>
  </si>
  <si>
    <t>ROL_JEFE_FIN_PRESU</t>
  </si>
  <si>
    <t>ROL_LOGIS_PRESU</t>
  </si>
  <si>
    <t>ROL_PRESUPUESTO_PRESU</t>
  </si>
  <si>
    <t>ROL_JEFE_CONT_PRSU_HOSPI</t>
  </si>
  <si>
    <t>ROL_GESTION_PRESU</t>
  </si>
  <si>
    <t>ROL_FLUJOCAJA_UNIINT</t>
  </si>
  <si>
    <t>ROL_FLUJOCAJA_FINANZAS</t>
  </si>
  <si>
    <t>ADMINISTRADORES DE PROGRAMA</t>
  </si>
  <si>
    <t>PROGRAMAS</t>
  </si>
  <si>
    <t>SUBPROGRAMAS</t>
  </si>
  <si>
    <t>ACTIVIDADES</t>
  </si>
  <si>
    <t>PERIODOS PLURIANUALES</t>
  </si>
  <si>
    <t>BLOQUEO/DESBLOQUEO UNIDADES</t>
  </si>
  <si>
    <t>BLOQUEO/DESBLOQUEO PRESUPUESTO CENTRAL</t>
  </si>
  <si>
    <t>CREACION Y MANTENCIÓN DE VERSIONES</t>
  </si>
  <si>
    <t>INFORMACIÓN ENTIDAD CONSOLIDADORA</t>
  </si>
  <si>
    <t>MARCO ENTIDAD</t>
  </si>
  <si>
    <t>CONTABILIDAD</t>
  </si>
  <si>
    <t>PRESUPUESTO</t>
  </si>
  <si>
    <t>VIÁTICO MONEDA NACIONAL</t>
  </si>
  <si>
    <t>CAJA</t>
  </si>
  <si>
    <t>COMPRAS</t>
  </si>
  <si>
    <t>DECRETOS</t>
  </si>
  <si>
    <t>LICENCIAS MÉDICAS</t>
  </si>
  <si>
    <t>DESCUENTOS</t>
  </si>
  <si>
    <t>ALIMENTACIÓN</t>
  </si>
  <si>
    <t>VIÁTICO MONEDA EXTRANJERA</t>
  </si>
  <si>
    <t>INFORMACION UNIDAD</t>
  </si>
  <si>
    <t>PIE DE FIRMA RESOLUCION DE PAGO</t>
  </si>
  <si>
    <t>PIE DE FIRMA FLUJO DE CAJA</t>
  </si>
  <si>
    <t>MODIFICACIONES PRESUPUESTARIAS</t>
  </si>
  <si>
    <t>NUEVAS TAREAS Y/O ASOCIACION ITEM A TAREAS</t>
  </si>
  <si>
    <t>ENTRADA DE MODIFICACIONES PRESUPUESTARIAS</t>
  </si>
  <si>
    <t>PROGRAMA CAJA</t>
  </si>
  <si>
    <t>ACTUALIZACIÓN PROGRAMA DE CAJA</t>
  </si>
  <si>
    <t>ENTRADA PROGRAMA DE CAJA</t>
  </si>
  <si>
    <t>CALENDARIZACION PROGRAMA DE CAJA</t>
  </si>
  <si>
    <t>FLUJO DE CAJA</t>
  </si>
  <si>
    <t>UNIDADES INTERNAS SOLICITAN</t>
  </si>
  <si>
    <t>DEVENGOS NO PAGADOS</t>
  </si>
  <si>
    <t>COMPROMISOS POR DEVENGAR</t>
  </si>
  <si>
    <t>IMPREVISTOS / OTROS</t>
  </si>
  <si>
    <t>DEPTO DE FINANZAS VALIDA</t>
  </si>
  <si>
    <t>OBSERVACIONES SOLICITUD DE CAJA</t>
  </si>
  <si>
    <t>DIRECCION DE FINANZAS CONSOLIDA</t>
  </si>
  <si>
    <t>SOLICITA FLUJO DE CAJA</t>
  </si>
  <si>
    <t>RECEPCIONA FLUJO DE CAJA</t>
  </si>
  <si>
    <t>REPROGRAMA FLUJO DE CAJA PLANIFICADA</t>
  </si>
  <si>
    <t>ANTEPROYECTO UNIDAD</t>
  </si>
  <si>
    <t>INGRESO Y MANTENCION ANTEPROYECTO</t>
  </si>
  <si>
    <t>COPIA VERSIÓN</t>
  </si>
  <si>
    <t>COPIA VERSIÓN POR PERIODO</t>
  </si>
  <si>
    <t>APROBACION ANTEPROYECTO</t>
  </si>
  <si>
    <t>ANTEPROYECTO CONSOLIDADO</t>
  </si>
  <si>
    <t>COPIA ANTEPROYECTO POR UNIDAD</t>
  </si>
  <si>
    <t>COPIA ANTEPROYECTO POR ENTIDAD</t>
  </si>
  <si>
    <t>PORCENTAJES PARA CALCULO PPTO</t>
  </si>
  <si>
    <t>CALCULO DE PRESUPUESTO</t>
  </si>
  <si>
    <t>INGRESO Y MANTENCION ANTEPROYECTO DE UNIDADES</t>
  </si>
  <si>
    <t>APROBAR VERSION FINAL</t>
  </si>
  <si>
    <t>TRANSFERENCIA A EJECUCION PRESUPUESTARIA</t>
  </si>
  <si>
    <t>GENERA ARCHIVO PLANO PARA PRESENTACION</t>
  </si>
  <si>
    <t>GESTION ANTEPROYECTO CONSOLIDADO</t>
  </si>
  <si>
    <t>PREOBLIGA Y OBLIGA DIRECTA</t>
  </si>
  <si>
    <t>UNIDAD / UNIDAD INTERNA</t>
  </si>
  <si>
    <t>EJECUCION PRESUPUESTARIA</t>
  </si>
  <si>
    <t>FONDOS NO OBLIGADOS</t>
  </si>
  <si>
    <t>NIVEL SUBTITULO CONSOLIDADO</t>
  </si>
  <si>
    <t>NIVEL ITEM CONSOLIDADO</t>
  </si>
  <si>
    <t>MODIFICACIONES PRESUPUESTARIAS POR UNIDAD INTERNA</t>
  </si>
  <si>
    <t>MODIFICACIONES PRESUPUESTARIAS POR FECHA</t>
  </si>
  <si>
    <t>MODIFICACIONES PRESUPUESTARIAS POR MES Y ANNO</t>
  </si>
  <si>
    <t>CALENDARIZACION PROGRAMA CAJA</t>
  </si>
  <si>
    <t>FORMULACION PRESUPUESTARIA</t>
  </si>
  <si>
    <t>RESUMEN DE UNIDAD INTERNA</t>
  </si>
  <si>
    <t>DETALLE POR UNIDAD INTERNA</t>
  </si>
  <si>
    <t>EJECUCION PORCENTUAL</t>
  </si>
  <si>
    <t>DEL MES</t>
  </si>
  <si>
    <t>ACUMULADOS</t>
  </si>
  <si>
    <t>EJECUCION POR CUENTA</t>
  </si>
  <si>
    <t>LICOPES DE GASTOS POR UNIDAD INTERNA</t>
  </si>
  <si>
    <t>LICOPES DE INGRESOS POR UNIDAD INTERNA</t>
  </si>
  <si>
    <t>CALENDARIZACION FLUJO DE CAJA INSTITUCIONAL</t>
  </si>
  <si>
    <t>CALENDARIZACION FLUJO DE CAJA ENTIDAD</t>
  </si>
  <si>
    <t>CALENDARIZACION FLUJO DE CAJA UNIDAD</t>
  </si>
  <si>
    <t>RESUMEN SOLICITUD DE CAJA CONSOLIDADA DIRFIN</t>
  </si>
  <si>
    <t>RESUMEN SOLICITUD DE CAJA POR UNIDAD</t>
  </si>
  <si>
    <t>RESUMEN DE CAJA SOLICITADA UNIDAD VERSUS CAJA PLANIFICADA</t>
  </si>
  <si>
    <t>DEVENGOS NO PAGADOS POR UNIDAD</t>
  </si>
  <si>
    <t>DEVENGOS NO PAGADOS POR UNIDAD INTERNA</t>
  </si>
  <si>
    <t>CAJA SOLICITADA</t>
  </si>
  <si>
    <t>COMPROMISOS POR DEVENGAR UNIDAD</t>
  </si>
  <si>
    <t>IMPREVISTOS / OTROS POR UNIDAD</t>
  </si>
  <si>
    <t>COMPROMISOS POR DEVENGAR UNIDAD INTERNA</t>
  </si>
  <si>
    <t>EJECUCION PRESUPUESTARIA DE INGRESOS</t>
  </si>
  <si>
    <t>GASTOS NIVEL PARTIDA</t>
  </si>
  <si>
    <t>GASTO NIVEL ENTIDAD</t>
  </si>
  <si>
    <t>GASTO NIVEL UNIDAD</t>
  </si>
  <si>
    <t>GASTO MATRIZ UNIDAD INTERNA</t>
  </si>
  <si>
    <t>GASTO UNIDADES INTERNAS</t>
  </si>
  <si>
    <t>GASTO NIVEL ITEM</t>
  </si>
  <si>
    <t>GASTO CONSOLIDADO UNIDAD INTERNA</t>
  </si>
  <si>
    <t>GASTOS</t>
  </si>
  <si>
    <t>GASTO UNIDAD INTERNA</t>
  </si>
  <si>
    <t>EJECUCION PRESUPUESTARIA HISTORICA INGRESOS</t>
  </si>
  <si>
    <t>EJECUCION PRESUPUESTARIA POR PROGRAMA INGRESOS</t>
  </si>
  <si>
    <t>EJECUCION PRESUPUESTARIA PLURIANUAL</t>
  </si>
  <si>
    <t>EJECUCION PPTARIA PLURIANUAL POR ENTIDAD</t>
  </si>
  <si>
    <t>EJECUCION PPTARIA DEL GASTO PLURIANUAL POR UNIDAD</t>
  </si>
  <si>
    <t>EJECUCION PPTARIA DEL GASTO PLURIANUAL POR UNIDAD INTERNA</t>
  </si>
  <si>
    <t>EJECUCION PPTARIA DEL GASTO PLURIANUAL POR PROGRAMA</t>
  </si>
  <si>
    <t>CONSOLIDADORES DE PROGRAMAS</t>
  </si>
  <si>
    <t>MONEDA NACIONAL</t>
  </si>
  <si>
    <t>MONEDA EXTRANJERA</t>
  </si>
  <si>
    <t>SALDOS PRESUPUESTARIOS POR UNIDAD INTERNA</t>
  </si>
  <si>
    <t>INTERNA</t>
  </si>
  <si>
    <t>EXTERNA</t>
  </si>
  <si>
    <t>INTERNA POR PROGRAMA</t>
  </si>
  <si>
    <t>ITEM</t>
  </si>
  <si>
    <t>EXTERNA POR PROGRAMA</t>
  </si>
  <si>
    <t>NULAS INTERNAS</t>
  </si>
  <si>
    <t>EXTERNAS</t>
  </si>
  <si>
    <t>LISTADO DE COMPROMISOS PENDIENTES</t>
  </si>
  <si>
    <t>PRESUPUESTARIO MENSUAL</t>
  </si>
  <si>
    <t>PRESUPUESTARIO ACUMULADO</t>
  </si>
  <si>
    <t>NO PRESUPUESTARIO MENSUAL</t>
  </si>
  <si>
    <t>NO PRESUPUESTARIO ACUMULADO</t>
  </si>
  <si>
    <t>CIRCULAZACION DE DEUDAS</t>
  </si>
  <si>
    <t>CARTOLA POR PROVEEDOR</t>
  </si>
  <si>
    <t>PORTAL INSTITUCIONAL</t>
  </si>
  <si>
    <t>EJEC. PPTARIAS ACUMULADAS</t>
  </si>
  <si>
    <t>EJEC. PPTARIAS MENSUAL</t>
  </si>
  <si>
    <t>FACH</t>
  </si>
  <si>
    <t>OTROS ORGANISMOS</t>
  </si>
  <si>
    <t>FORMULACION CONSOLIDADO INSTITUCIONAL</t>
  </si>
  <si>
    <t>PRESUPUESTO POR PROGRAMA</t>
  </si>
  <si>
    <t>PRESUPUESTO POR ITEM</t>
  </si>
  <si>
    <t>ANTEPROYECTO PRESUPUESTARIO</t>
  </si>
  <si>
    <t>LISTADO DETALLADO</t>
  </si>
  <si>
    <t>LISTADO DETALLADO POR FASES</t>
  </si>
  <si>
    <t>LISTADO DETALLADO TAREAS POR MES</t>
  </si>
  <si>
    <t>RESUMEN DE TAREAS POR UNIDAD</t>
  </si>
  <si>
    <t>RESUMEN DE TAREAS POR UNIDAD INTERNA</t>
  </si>
  <si>
    <t>RESUMEN POR PROGRAMA, SUBPROGRAMA Y ACTIVIDAD POR UNIDAD INTERNA</t>
  </si>
  <si>
    <t>RESUMEN SPAC / ITEM POR UNIDAD</t>
  </si>
  <si>
    <t>RESUMEN SPAC / ITEM POR UNIDAD INTERNA</t>
  </si>
  <si>
    <t>RESUMEN POR SUBTITULO, ITEM Y ASIGNACION POR UNIDAD INTERNA</t>
  </si>
  <si>
    <t>RESUMEN ANTEPROYECTO PRESUPUESTARIO</t>
  </si>
  <si>
    <t>UNIDADES INTERNAS Y FASES</t>
  </si>
  <si>
    <t>POR ENTIDAD</t>
  </si>
  <si>
    <t>ACTIVIDAD</t>
  </si>
  <si>
    <t>PROGRAMA, SUBPROGRAMA Y ACTIVIDAD</t>
  </si>
  <si>
    <t>SUBTITULO, ITEM, ASIGNACION Y FASES</t>
  </si>
  <si>
    <t>CALENDARIZACION FLUJO DE CAJA ENTIDAD D.S. ESPECIFICO</t>
  </si>
  <si>
    <t>CALENDARIZACION FLUJO DE CAJA UNIDAD D.S. ESPECIFICO</t>
  </si>
  <si>
    <t>CALENDARIZACION FLUJO DE CAJA UNIDAD INTERNA D.S. ESPECIFICO</t>
  </si>
  <si>
    <t>RESUMEN SOLICITUD DE CAJA AFL</t>
  </si>
  <si>
    <t>CAJA SOLICITADA POR UNIDAD</t>
  </si>
  <si>
    <t>CAJA SOLICITADA POR UNIDAD INTERNA</t>
  </si>
  <si>
    <t>RESUMEN SOLICITUD DE CAJA DECRETOS</t>
  </si>
  <si>
    <t>RESUMEN SOLICITUD DE CAJA AFL POR ENTIDAD</t>
  </si>
  <si>
    <t>RESUMEN SOLICITUD DE CAJA AFL POR UNIDAD</t>
  </si>
  <si>
    <t>DEMOSTRACION SOLICITUD DE CAJA AFL POR ENTIDAD</t>
  </si>
  <si>
    <t>DEMOSTRACION SOLICITUD DE CAJA AFL POR UNIDAD</t>
  </si>
  <si>
    <t>REQUERIMIENTO DE CAJA DECRETOS POR ENTIDAD</t>
  </si>
  <si>
    <t>REQUERIMIENTO DE CAJA DECRETOS POR UNIDAD</t>
  </si>
  <si>
    <t>DEMOSTRACION SOLICITUD DE CAJA DECRETOS UNIDAD</t>
  </si>
  <si>
    <t>DEMOSTRACION SOLICITUD DE CAJA DECRETOS ENTIDAD</t>
  </si>
  <si>
    <t>HOMOLOGACION SIGFE</t>
  </si>
  <si>
    <t>TRANSFERENCIA PRESUPUESTO POR DUODECIMOS</t>
  </si>
  <si>
    <t>BLOQUEO SOLICITUD FLUJO CAJA POR ENTIDAD</t>
  </si>
  <si>
    <t>BLOQUEO SOLICITUD FLUJO CAJA POR UNIDAD</t>
  </si>
  <si>
    <t>*</t>
  </si>
  <si>
    <t>TRASPASO PRESUPUESTO INICIAL Y LICOPE</t>
  </si>
  <si>
    <t>ROL_ADM_VIA</t>
  </si>
  <si>
    <t>ROL_JEFE_CONT_VIA</t>
  </si>
  <si>
    <t>ROL_ANALI_VIA</t>
  </si>
  <si>
    <t>ROL_AUDIT_VIA</t>
  </si>
  <si>
    <t>ROL_AYU_VIA</t>
  </si>
  <si>
    <t>ROL_UI_VIA</t>
  </si>
  <si>
    <t>ROL_SIAPER_VIA</t>
  </si>
  <si>
    <t>MANTENCION UNIDAD</t>
  </si>
  <si>
    <t>MANTENCION EMPLEADOS</t>
  </si>
  <si>
    <t>IDENTIDADES</t>
  </si>
  <si>
    <t>TIPOS DE VIATICOS</t>
  </si>
  <si>
    <t>ESCALA DE VIATICOS</t>
  </si>
  <si>
    <t>CARGA TABLA EMPLEADOS</t>
  </si>
  <si>
    <t>CATEGPRIZACION</t>
  </si>
  <si>
    <t>EMPLEADOS AUTORIZADOS</t>
  </si>
  <si>
    <t>MEDIOS DE TRANSPORTE</t>
  </si>
  <si>
    <t>PIE DE FIRMAS</t>
  </si>
  <si>
    <t>SERVICIO EMISOR</t>
  </si>
  <si>
    <t>REGION</t>
  </si>
  <si>
    <t>COMUNA</t>
  </si>
  <si>
    <t>AREAS</t>
  </si>
  <si>
    <t>DEPARTAMENTOS</t>
  </si>
  <si>
    <t>ENTRADA RESOLUCION</t>
  </si>
  <si>
    <t>ANULA RESOLUCION DE COMISION SIN ACTUALIZAR</t>
  </si>
  <si>
    <t>SEGUIMIENTO A RESOLUCION DE COMISION</t>
  </si>
  <si>
    <t>INGRESO DE INFORME DE CUMPLIMIENTO DE COMISION</t>
  </si>
  <si>
    <t>ACTUALIZACION DE RESOLUCION DE COMISION</t>
  </si>
  <si>
    <t>GENERA ASIENTO CONTABLE POR RESOLUCION DE COMISION</t>
  </si>
  <si>
    <t>ACT.DE INFORME DE CUMPLIMIENTO DE COMISION</t>
  </si>
  <si>
    <t>GENERA ASIENTO CONTABLE POR INF. CUMPLIMIENTO</t>
  </si>
  <si>
    <t>SEGUIMIENTO A INFORME DE CUMPLIMIENTO</t>
  </si>
  <si>
    <t>ANULACION INFORME DE CUMPLIMIENTO SIN ACTUALIZAR</t>
  </si>
  <si>
    <t>GENERACION ARCHIVO XML</t>
  </si>
  <si>
    <t>SIAPER</t>
  </si>
  <si>
    <t>RESOLUCIÓN DE COMISIÓN</t>
  </si>
  <si>
    <t>INFORME CUMPLIMIENTO DE COMISIÓN</t>
  </si>
  <si>
    <t>ESCALA DE VIATICO</t>
  </si>
  <si>
    <t>EMPLEADOS FACH</t>
  </si>
  <si>
    <t>RESOLUCIÓN DE COMISIÓN POR UNIDAD</t>
  </si>
  <si>
    <t>RESOLUCIÓN DE COMISIÓN POR UNIDAD INTERNA</t>
  </si>
  <si>
    <t>RESOLUCIÓN DE COMISIÓN POR EMPLEADO</t>
  </si>
  <si>
    <t>SITUACION PPTARIA. POR UNIDAD</t>
  </si>
  <si>
    <t>SITUACION PPTARIA. POR UNIDAD INTERNA</t>
  </si>
  <si>
    <t>SITUACION DE RESOLUCION DE COMISION</t>
  </si>
  <si>
    <t>SITUACION DE INFORMES DE CUMPLIMIENTO</t>
  </si>
  <si>
    <t>TRAZABILIDAD DEL PROCESO DE RESOLUCIONES POR UNIDAD</t>
  </si>
  <si>
    <t>TRAZABILIDAD DEL PROCESO DE RESOLUCIONES POR UU.II.</t>
  </si>
  <si>
    <t>TRAZABILIDAD DEL PROCESO DE RESOLUCIONES</t>
  </si>
  <si>
    <t>QUINTERO</t>
  </si>
  <si>
    <t>CATEGORIZADOS POR ENTIDAD</t>
  </si>
  <si>
    <t>CATEGORIZACION</t>
  </si>
  <si>
    <t>RESOL. DE COMISIÓN</t>
  </si>
  <si>
    <t>GATEORIZACION RESOLUCION DE COMISIÓN</t>
  </si>
  <si>
    <t>CATEGORIZADOS POR UNIDAD</t>
  </si>
  <si>
    <t>SALDOS PRESUPUESTARIOS</t>
  </si>
  <si>
    <t>RELACION DE RESOLUCIONES DE COMISION</t>
  </si>
  <si>
    <t>RESOLUCIONES DE COMISION EMITIDOS</t>
  </si>
  <si>
    <t>RESOLUCIONES DE COMISION POR ESTADO</t>
  </si>
  <si>
    <t>RESOLUCIONES DE COMSION POR TIPO DE ANTICIPO</t>
  </si>
  <si>
    <t>RESOLUCIONES DE COMISIONES CON INF. DE CUMPLIMIENTO</t>
  </si>
  <si>
    <t>RESOLUCIONES DE COMISIONES PENDIENTE POR LIQUIDAR</t>
  </si>
  <si>
    <t>INFORMES DE CUMPLIMIENTO</t>
  </si>
  <si>
    <t>INFORMES DE CUMPLIMIENTO POR ESTADO</t>
  </si>
  <si>
    <t>RESOLUCION DE COMISION</t>
  </si>
  <si>
    <t>INFORME ED CUMPLIMIENTO DE COMISION</t>
  </si>
  <si>
    <t>CARTOLA DE RESOLUCIONES  POR FUNCIONARIO</t>
  </si>
  <si>
    <t>INFORMES SIAPER</t>
  </si>
  <si>
    <t>RESOLUCIONES DE COMISION ENVIADAS POR RENGO DE FECHAS</t>
  </si>
  <si>
    <t>RESOLUCIONES DE COMISION ENVIADAS POR RENGO FUNCIONARIO</t>
  </si>
  <si>
    <t>RESOLUCIONES DE COMISION ENVIADAS POR SERVICIO EMISOR</t>
  </si>
  <si>
    <t xml:space="preserve"> CATEGORIZACION RESOL. COMISIONES</t>
  </si>
  <si>
    <t>UNIDAD / U. II.</t>
  </si>
  <si>
    <t>UNIDAD INTERNA</t>
  </si>
  <si>
    <t>RESOL. COMISIONES CATEGORIZADOS POR UNIDAD</t>
  </si>
  <si>
    <t>CONSOLIDADOS</t>
  </si>
  <si>
    <t>CATEGORIZACION RESOL COMISIONES</t>
  </si>
  <si>
    <t>MAYOR GASTO POR CAMBIO DE ESCALA DE VIATICOS</t>
  </si>
  <si>
    <t>INFORME RESOLUCION PARA INFORMES C.A.I.G.G</t>
  </si>
  <si>
    <t>CONCILIACIÓN CKS</t>
  </si>
  <si>
    <t>ROL_ADM_CKS</t>
  </si>
  <si>
    <t>ROL_ANALI_CKS</t>
  </si>
  <si>
    <t>ROL_AUDIT_CKS</t>
  </si>
  <si>
    <t>ROL_CDTE_CKS</t>
  </si>
  <si>
    <t>ROL_COMP_CKS</t>
  </si>
  <si>
    <t>ROL_CONSOLI_CKS</t>
  </si>
  <si>
    <t>ROL_JEFE_ABAT_CKS</t>
  </si>
  <si>
    <t>ROL_JEFE_ADQ_CKS</t>
  </si>
  <si>
    <t>ROL_JEFE_CONT_CKS</t>
  </si>
  <si>
    <t>ROL_JEFE_FIN_CKS</t>
  </si>
  <si>
    <t>ROL_LOGIS_CKS</t>
  </si>
  <si>
    <t>INGRESO CHEQUERA</t>
  </si>
  <si>
    <t>ASIGNACION DE CHEQUES</t>
  </si>
  <si>
    <t>TIPOS DE DOCUMENTOS</t>
  </si>
  <si>
    <t>BANCOS</t>
  </si>
  <si>
    <t>PIE DE FIRMA</t>
  </si>
  <si>
    <t>MANTENCION ENTIDAD BANCARIA</t>
  </si>
  <si>
    <t>BANCO</t>
  </si>
  <si>
    <t>SUCURSAL</t>
  </si>
  <si>
    <t>FORMAS DE PAGO</t>
  </si>
  <si>
    <t>PAGOS</t>
  </si>
  <si>
    <t>IMPRESIÓN DE CHEQUES</t>
  </si>
  <si>
    <t>NOMINA TRANNSFERENCIA ELECTRONICA</t>
  </si>
  <si>
    <t>INGRESO Y MANTENIMIENTO DE DOCUMENTOS</t>
  </si>
  <si>
    <t>INGRESO DE DOCUMENTOS</t>
  </si>
  <si>
    <t>ALTAS O CADUCACION CHEQUES</t>
  </si>
  <si>
    <t>TRANSFERENCIAS ELECTRONICAS</t>
  </si>
  <si>
    <t>MANTENIMIENTO DE DOCUMENTO</t>
  </si>
  <si>
    <t>ANULACION DE CHEQUES</t>
  </si>
  <si>
    <t>DEPOSITOS</t>
  </si>
  <si>
    <t>ENVIO DE CHEQUES A CAJA</t>
  </si>
  <si>
    <t>CUADRATURA CUENTA CORRIENTE</t>
  </si>
  <si>
    <t>PROCESO D.I.R. (REMUNERACIONES)</t>
  </si>
  <si>
    <t>DOCUMENTOS POR ESTADO</t>
  </si>
  <si>
    <t>DOCUMENTOS POR ESTADO HISTORICO</t>
  </si>
  <si>
    <t>RESUMEN CONCILIACION</t>
  </si>
  <si>
    <t>RESUMEN CONCILIACION HISTORICA</t>
  </si>
  <si>
    <t>CARTOLA DOCUMENTOS CONCILIADOS</t>
  </si>
  <si>
    <t>LIBRO DE CHEQUES</t>
  </si>
  <si>
    <t>PAGOS EFECTUADOS</t>
  </si>
  <si>
    <t>DETALLE DE PAGOS TRANSFER</t>
  </si>
  <si>
    <t>REIMPRESION DE CHEQUES</t>
  </si>
  <si>
    <t>REIMPRESION DOCUMENTOS CHEQUES A CAJA</t>
  </si>
  <si>
    <t>DOCUMENTOS DEL MES</t>
  </si>
  <si>
    <t>ROL_ADM_CAJA</t>
  </si>
  <si>
    <t>ROL_JEFE_CAJA</t>
  </si>
  <si>
    <t>ROL_SUPER_CAJA</t>
  </si>
  <si>
    <t>ROL_ANALI_CAJA</t>
  </si>
  <si>
    <t>ROL_AUDIT_CAJA</t>
  </si>
  <si>
    <t>ROL_ANALI_VTAS_CAJA</t>
  </si>
  <si>
    <t>MANTENCIÓN DE UNIDAD</t>
  </si>
  <si>
    <t>MANTENCION CAJA RECAUDADORA</t>
  </si>
  <si>
    <t>MANTENCION CAJA FUERTE</t>
  </si>
  <si>
    <t>MANTENCION TIPO DOCUMENTO</t>
  </si>
  <si>
    <t>RECAUDACIÓN</t>
  </si>
  <si>
    <t>ANULA COMPROBANTE DE INGRESO</t>
  </si>
  <si>
    <t>COMPROBANTE DE INGRESO VENTAS CREDITO</t>
  </si>
  <si>
    <t>ENTREGA VALORES A DEPOSITO</t>
  </si>
  <si>
    <t>RECEPCION COMPROBANTE DE DEPOSITO</t>
  </si>
  <si>
    <t>PROCESAR ARQUEO DIARIO</t>
  </si>
  <si>
    <t>ANULA COMPROBANTE DE INGRESO VENTAS CREDITO</t>
  </si>
  <si>
    <t>CORRECION DE ARQUEO</t>
  </si>
  <si>
    <t>RECEPCION Y/O ENTREGA DE CHEQUES</t>
  </si>
  <si>
    <t>PODER SIMPLE RETIRO DE CHEQUES</t>
  </si>
  <si>
    <t>CUSTODIA</t>
  </si>
  <si>
    <t>INGRESO DE CHEQUES A FECHA</t>
  </si>
  <si>
    <t>INGRESO DE OTROS DOCMENTOS</t>
  </si>
  <si>
    <t>SALIDA DE DOCUMENTOS</t>
  </si>
  <si>
    <t>ANULA DOCUMENTO EN CUSTODIA</t>
  </si>
  <si>
    <t>ACTUALIZACION VALOR DE DOCUMENTOS</t>
  </si>
  <si>
    <t>INGRESO DE POLIZA ESCUELAS MATRICES</t>
  </si>
  <si>
    <t>MANTENIMIENTO UNIDAD INTERNA</t>
  </si>
  <si>
    <t>COMPROBANTES</t>
  </si>
  <si>
    <t>DE INGRESO A CAJA</t>
  </si>
  <si>
    <t>POR DIA</t>
  </si>
  <si>
    <t>POR CONTABILIDAD</t>
  </si>
  <si>
    <t>POR CAJA RECAUDADORA</t>
  </si>
  <si>
    <t>ANULADOS</t>
  </si>
  <si>
    <t>RELACION DE ENTREGA VALORES A DEPOSITO</t>
  </si>
  <si>
    <t>TRAZABILIDAD COMPROBANTES DE INGRESO</t>
  </si>
  <si>
    <t>DIARIOS</t>
  </si>
  <si>
    <t>PENDIENTES</t>
  </si>
  <si>
    <t>CHEQUES</t>
  </si>
  <si>
    <t>EN CAJA</t>
  </si>
  <si>
    <t>ENTREGADOS</t>
  </si>
  <si>
    <t>POR NOMBRE</t>
  </si>
  <si>
    <t>POR RUT</t>
  </si>
  <si>
    <t>POR TRANSFER</t>
  </si>
  <si>
    <t>POR CADUCAR</t>
  </si>
  <si>
    <t>EN CAJA POR CONTABILIDAD</t>
  </si>
  <si>
    <t>CADUCADOS</t>
  </si>
  <si>
    <t>DOCUMENTOS EN CUSTODIA</t>
  </si>
  <si>
    <t>DOCUMENTOS EN CUSTODIA VENCIDOS</t>
  </si>
  <si>
    <t>DOCUMENTOS EN CUSTODIA POR VENCER</t>
  </si>
  <si>
    <t>DOCUMENTOS ENTREGADOS DE CUSTODIA</t>
  </si>
  <si>
    <t>ARQUEO DIARIO</t>
  </si>
  <si>
    <t>DE INGRESO A BANCO</t>
  </si>
  <si>
    <t>POR VENTA CREDITO</t>
  </si>
  <si>
    <t>DETALLE POR DIA</t>
  </si>
  <si>
    <t>DEPOSITOS DIARIOS</t>
  </si>
  <si>
    <t>INGRESOS POR DEPOSITAR</t>
  </si>
  <si>
    <t>DOCUMENTOS VIGENTES</t>
  </si>
  <si>
    <t>ROL_JEFE_FIN_COMPRAS</t>
  </si>
  <si>
    <t>ROL_JEFE_CONT_COMPRAS</t>
  </si>
  <si>
    <t>ROL_ANALI_COMPRAS</t>
  </si>
  <si>
    <t>ROL_JEFE_ABAT_COMPRAS</t>
  </si>
  <si>
    <t>ROL_JEFE_ADQ_COMPRAS</t>
  </si>
  <si>
    <t>ROL_COMP_COMPRAS</t>
  </si>
  <si>
    <t>ROL_LOGIS_COMPRAS</t>
  </si>
  <si>
    <t>ROL_CONSOLI_COMPRAS</t>
  </si>
  <si>
    <t>ROL_ADM_COMPRAS</t>
  </si>
  <si>
    <t>ROL_MEMO_COMPRAS</t>
  </si>
  <si>
    <t>ROL_JEFE_SUPER_COMPRAS</t>
  </si>
  <si>
    <t>ROL_ANALI_COMPRAS_ACTA</t>
  </si>
  <si>
    <t>ROL_SUPERVISOR_COMPRAS_ACTA</t>
  </si>
  <si>
    <t>ROL_ACTA_ALIM</t>
  </si>
  <si>
    <t>MANTENIMIENTO UNIDAD</t>
  </si>
  <si>
    <t>PRIORIDADES</t>
  </si>
  <si>
    <t>ORIGENES DE ADJUDICACION</t>
  </si>
  <si>
    <t>RAZONES DE ADJUDICACION</t>
  </si>
  <si>
    <t>GRUPOS DE ARTICULOS</t>
  </si>
  <si>
    <t>SUBGRUPOS DE ARTICULOS</t>
  </si>
  <si>
    <t>PIES DE FIRMA COT-ADJ-O/C SAFI</t>
  </si>
  <si>
    <t>ACTA DE RECEPCION</t>
  </si>
  <si>
    <t>O/C SAFI</t>
  </si>
  <si>
    <t>O/C MERCADO PUBLICO</t>
  </si>
  <si>
    <t>PLANTILLA RESOLUCION EXENTA ED ORDEN DE COMPRA</t>
  </si>
  <si>
    <t>SOLICITUDES DE BIENES Y SERVICIOS</t>
  </si>
  <si>
    <t>INGRESO / MODIFICACION</t>
  </si>
  <si>
    <t>ANULACION DE SOLICITUDES</t>
  </si>
  <si>
    <t>Total</t>
  </si>
  <si>
    <t>COTIZACIONES</t>
  </si>
  <si>
    <t>ELECCION DE PROVEEDORES</t>
  </si>
  <si>
    <t>GENERACION DE COTIZACION</t>
  </si>
  <si>
    <t>RESPUESTAS DE SOLICITUDES</t>
  </si>
  <si>
    <t>ADJUDICACION Y AUTORIZACION</t>
  </si>
  <si>
    <t>LISTADO DE SOLICITUDES DE COTIZACION</t>
  </si>
  <si>
    <t>CUADRO COMPARATIVO</t>
  </si>
  <si>
    <t>ACTA DE ADJUDICACION</t>
  </si>
  <si>
    <t>ORDENES DE COMPRA</t>
  </si>
  <si>
    <t>GENERACION</t>
  </si>
  <si>
    <t>ANULACION DE ORDEN DE COMPRA</t>
  </si>
  <si>
    <t>FINALIZACION DIRECTA DE ORDEN DE COMPRA</t>
  </si>
  <si>
    <t>REIMPRESION DE ORDENES</t>
  </si>
  <si>
    <t>PENDIENTES DE EMISION</t>
  </si>
  <si>
    <t>DEPURA SALDOS PENDIENTES ORDEN DE COMPRA</t>
  </si>
  <si>
    <t>DISPONIILIZA ORDEN DE COMPRA</t>
  </si>
  <si>
    <t>MANTENCION O/C MERCADO PUBLICO</t>
  </si>
  <si>
    <t>HOMOLOGAR ARTICULOS MERCADO PUBLICO</t>
  </si>
  <si>
    <t>ALIMENTACION</t>
  </si>
  <si>
    <t>ANULACION SIN ASIENTO CONTABLE</t>
  </si>
  <si>
    <t>ANULACION CON ASIENTO CONTABLE</t>
  </si>
  <si>
    <t>ENVIO PRODUCTOS A ALIMENTACION</t>
  </si>
  <si>
    <t>ACTUALIZA</t>
  </si>
  <si>
    <t>ACTIVA ACTA EN TRANSITO</t>
  </si>
  <si>
    <t>ENTREGA ACTA</t>
  </si>
  <si>
    <t>RECIBE / RECHAZA ALTA</t>
  </si>
  <si>
    <t>SOLICITUDES</t>
  </si>
  <si>
    <t>ESPECIFICA</t>
  </si>
  <si>
    <t>ACTAS POR ORDEN DE COMPRA</t>
  </si>
  <si>
    <t>O/C POR RECEPCIONAR</t>
  </si>
  <si>
    <t>EN TRANSITO</t>
  </si>
  <si>
    <t>ANULADAS</t>
  </si>
  <si>
    <t>BITACORA</t>
  </si>
  <si>
    <t>PROVEEDORES</t>
  </si>
  <si>
    <t>PRESUPUESTO POR UNIDAD INTERNA</t>
  </si>
  <si>
    <t>MERCADO PUBLICO</t>
  </si>
  <si>
    <t>POR PERIODO DE FECHAS POR UNIDAD INTERNA</t>
  </si>
  <si>
    <t>CATALOGO DE VIVERES MP</t>
  </si>
  <si>
    <t>CONSULTA FACTURAS</t>
  </si>
  <si>
    <t>COMPOSICION DE SOLICITUDES</t>
  </si>
  <si>
    <t>RELACION DE COTIZACIONES POR PROVEEDOR</t>
  </si>
  <si>
    <t>COMPOSICION DE COTIZACIONES</t>
  </si>
  <si>
    <t>RELACION DE ORDENES DE COMPRA</t>
  </si>
  <si>
    <t>RELACION DE ORDENES DE COMPRA VENCIDAS</t>
  </si>
  <si>
    <t>RESOLUCION EXENTA DE ORDEN DE COMPRA</t>
  </si>
  <si>
    <t>SOLICITUDES PENDIENTES O APROBADOS</t>
  </si>
  <si>
    <t>ANEXO ORDEN DEL DIA</t>
  </si>
  <si>
    <t>O/C POR RECEPCIONAR UNIDAD</t>
  </si>
  <si>
    <t>O/C POR RECEPCIONAR ENTIDAD</t>
  </si>
  <si>
    <t>AUTORIZADAS POR MERCADO PUBLICO</t>
  </si>
  <si>
    <t>CIERRE DE SOLICITUDES</t>
  </si>
  <si>
    <t>CIERRE DE ORDENES DE COMPRA</t>
  </si>
  <si>
    <t>ROL_ADM_DECRETOS</t>
  </si>
  <si>
    <t>ROL_ANALI_DECRETOS</t>
  </si>
  <si>
    <t>ROL_AUDITOR_DECRETOS</t>
  </si>
  <si>
    <t>ROL_JEFE_DECRETOS</t>
  </si>
  <si>
    <t>ROL_SUPER_DECRETOS</t>
  </si>
  <si>
    <t>ROL_ADM_FMS</t>
  </si>
  <si>
    <t>ROL_ANALI_FMS</t>
  </si>
  <si>
    <t>ROL_AUDITOR_FMS</t>
  </si>
  <si>
    <t>ROL_JEFE_FMS</t>
  </si>
  <si>
    <t>ROL_SUPER_FMS</t>
  </si>
  <si>
    <t>ROL_DIRFIN_FMS</t>
  </si>
  <si>
    <t>ROL_DIVEDU_FMS</t>
  </si>
  <si>
    <t>ROL_CONTRATO_FMS</t>
  </si>
  <si>
    <t>ROL_DAF_FMS</t>
  </si>
  <si>
    <t>ROL_ADM_PROYECTOS</t>
  </si>
  <si>
    <t>ROL_ANALI_PROYECTOS</t>
  </si>
  <si>
    <t>ROL_AUDITOR_PROYECTOS</t>
  </si>
  <si>
    <t>ROL_JEFE_PROYECTOS</t>
  </si>
  <si>
    <t>ROL_SUPER_PROYECTOS</t>
  </si>
  <si>
    <t>ROL_CONTRATO_PROYECTOS</t>
  </si>
  <si>
    <t>FMS</t>
  </si>
  <si>
    <t>MANTENCION INGRESOS / EGRESOS</t>
  </si>
  <si>
    <t>MANTENCION CASOS F.M.S. ASIENTOS CONTABLES</t>
  </si>
  <si>
    <t>MANTENCION ANTICIPOS A PROVEEDORES / BANCO</t>
  </si>
  <si>
    <t>MANTENCION COLOCACIONES POR DECRETO</t>
  </si>
  <si>
    <t>MANTENCION COLOCACIONES POR FOLIO</t>
  </si>
  <si>
    <t>PIES DE FIRMA CARATULAS</t>
  </si>
  <si>
    <t>TIPOS DE GASTOS</t>
  </si>
  <si>
    <t>TIPOS DE AGENCIAS DE IMPLEMENTACION</t>
  </si>
  <si>
    <t>TIPOS DE CONTRATOS</t>
  </si>
  <si>
    <t>TIPOS DE ADQUISICIONES</t>
  </si>
  <si>
    <t>TIPOS DE CASOS F.M.S</t>
  </si>
  <si>
    <t>TIPOS DE AMBITO DE ACCION</t>
  </si>
  <si>
    <t>TIPOS DE SECTORES</t>
  </si>
  <si>
    <t>TIPOS DE SUBSECTORES</t>
  </si>
  <si>
    <t>PROYECTOS / PROGRAMAS INTERNOS</t>
  </si>
  <si>
    <t>CONTRATOS / OBRAS</t>
  </si>
  <si>
    <t>ASOCIA CONTRATOS/OBRAS A DECRETOS</t>
  </si>
  <si>
    <t>LINEAS DE PAGO CASOS F.M.S.</t>
  </si>
  <si>
    <t>RELACION DE EVALUACIONES</t>
  </si>
  <si>
    <t>MATRIZ CICLO DE VIDA</t>
  </si>
  <si>
    <t>FACTORES</t>
  </si>
  <si>
    <t>INVESTIGACION</t>
  </si>
  <si>
    <t>PERSONAL</t>
  </si>
  <si>
    <t>OPERACIÓN</t>
  </si>
  <si>
    <t>ELIMINACION</t>
  </si>
  <si>
    <t>COSTOS INVESTIGACION</t>
  </si>
  <si>
    <t>COSTOS INVERSION</t>
  </si>
  <si>
    <t>COSTOS OPERACIONES</t>
  </si>
  <si>
    <t>COSTOS DISPOSICION</t>
  </si>
  <si>
    <t>FICHAS FUNDAMENTO / PROYECTOS EXTERNOS</t>
  </si>
  <si>
    <t>JEFES DE PROYECTOS</t>
  </si>
  <si>
    <t>JEFES DE PROYECTOS CASOS F.M.S</t>
  </si>
  <si>
    <t xml:space="preserve">FIRMAS INFORMES FINANCIEROS </t>
  </si>
  <si>
    <t>REFRENDEDORES</t>
  </si>
  <si>
    <t>INGRESOS CUENTA DE RVA NRO 9.153</t>
  </si>
  <si>
    <t>INGRESO Y GASTO PISO ANUAL</t>
  </si>
  <si>
    <t>DECRETO MATRIZ</t>
  </si>
  <si>
    <t>REDECRETACION</t>
  </si>
  <si>
    <t>CARTAS DE CREDITO</t>
  </si>
  <si>
    <t>REINTEGROS</t>
  </si>
  <si>
    <t>INGRESO</t>
  </si>
  <si>
    <t>MANTENCIÓN</t>
  </si>
  <si>
    <t>INGRESO FLUJO DE GASTOS</t>
  </si>
  <si>
    <t>MANTENCION FLUJO DE GASTOS</t>
  </si>
  <si>
    <t>DECRETO DIFERIDO</t>
  </si>
  <si>
    <t>INGRESOS PERCIBIDOS</t>
  </si>
  <si>
    <t>PAGOS HISTORICOS</t>
  </si>
  <si>
    <t>RATE CONVERSION POR DECRETO</t>
  </si>
  <si>
    <t>DECRETO ADENDUM</t>
  </si>
  <si>
    <t>PREPARA BALANCE SUBSEC PARA LAS FF.AA</t>
  </si>
  <si>
    <t>PROYECTOS</t>
  </si>
  <si>
    <t>MANTENCION DEL PROYECTO</t>
  </si>
  <si>
    <t>DESCRIPCION DETALLADA DE ADQUISICION</t>
  </si>
  <si>
    <t>ASOCIA OTROS GASTOS A PROYECTO Y AVANCE</t>
  </si>
  <si>
    <t>MANTENCION AVANCE POR JEFE DE PROYECTO</t>
  </si>
  <si>
    <t>VALORES CICLO DE VIDA</t>
  </si>
  <si>
    <t>VALROES CICLO DE VIDA – OPERACIÓN</t>
  </si>
  <si>
    <t>CARTA OFERTA / CASOS F.M.S</t>
  </si>
  <si>
    <t>RECHAZO CARTA OFERTA</t>
  </si>
  <si>
    <t>LINEAS DE LA LOA</t>
  </si>
  <si>
    <t>CALENDARIO DE PAGOS – CARGOS</t>
  </si>
  <si>
    <t>CIERREDE CASOS</t>
  </si>
  <si>
    <t>ENMIENDAS A CASOS F.M.S</t>
  </si>
  <si>
    <t>INFORMES FINANCIEROS</t>
  </si>
  <si>
    <t>REFRENDAR</t>
  </si>
  <si>
    <t>ENVIO A REFRENDAR</t>
  </si>
  <si>
    <t>REFRENDAR DIRECCION DE FINANZAS</t>
  </si>
  <si>
    <t>CIERRE DE LINEAS</t>
  </si>
  <si>
    <t>HOLDING ACCOUNT</t>
  </si>
  <si>
    <t>CURSOS CON CARGO A CASOS F.M.S</t>
  </si>
  <si>
    <t>CONTRATOS</t>
  </si>
  <si>
    <t>CONTRATOS CDO.LOG</t>
  </si>
  <si>
    <t>CONTRATOS DE OBRA</t>
  </si>
  <si>
    <t>CONTRATOS INTERNOS</t>
  </si>
  <si>
    <t>UNIDADES</t>
  </si>
  <si>
    <t>INGRESO GASTO PISO ANUAL</t>
  </si>
  <si>
    <t>DECRETO MATRIZ ESPECIFICO</t>
  </si>
  <si>
    <t>DECRETO DIFERIDO ESPECIFICO</t>
  </si>
  <si>
    <t>RELACION DECRETOS MATRICES</t>
  </si>
  <si>
    <t>RELACION DECRETOS DIFERIDOS POR AÑO</t>
  </si>
  <si>
    <t>RELACION DECRETOS DIFERIDOS POR DECRETO MATRIZ</t>
  </si>
  <si>
    <t>RELACION DECRETOS ADENDUM POR AÑO</t>
  </si>
  <si>
    <t>INGRESOS POR DECRETO MATRIZ</t>
  </si>
  <si>
    <t>GASTOS POR DECRETO MATRIZ</t>
  </si>
  <si>
    <t>INGRESOS Y GASTOS POR DECRETO DIFERIDO</t>
  </si>
  <si>
    <t>INGRESOS Y GASTOS POR DECRETO DIFERIDO UNIDAD</t>
  </si>
  <si>
    <t>RATE DE CONVERSION POR DECRETO</t>
  </si>
  <si>
    <t>RATE DE CONVERSION POR PROYECTOS</t>
  </si>
  <si>
    <t>RELACION GENERAL RATE DE CONVERSION</t>
  </si>
  <si>
    <t>ASIENTOS CONTABLES</t>
  </si>
  <si>
    <t>DECRETO ADENDUM ESPECIFICO</t>
  </si>
  <si>
    <t>ANTECEDENTES ESPECIFICOS PROYECTO</t>
  </si>
  <si>
    <t>JEFES POR PROYECTO</t>
  </si>
  <si>
    <t>PROYECTOS POR JEFE</t>
  </si>
  <si>
    <t>RELACION GENERAL DE PROYECTOS</t>
  </si>
  <si>
    <t>RELACION DETALLADA DE PROYECTOS</t>
  </si>
  <si>
    <t>RELACION DE CONTRATOS Y OTROS POR PROYECTO</t>
  </si>
  <si>
    <t>RELACION DE MEMOS POR PROYECTOS</t>
  </si>
  <si>
    <t>RELACION DE O/C POR PROYECTOS</t>
  </si>
  <si>
    <t>RELACION DE CONTRATOS INTERNOS</t>
  </si>
  <si>
    <t>CASOS F.M.S</t>
  </si>
  <si>
    <t>ANTECEDENTES ESPECIFICOS CASO FMS</t>
  </si>
  <si>
    <t>SITUACION LINEAS DE LA LOA</t>
  </si>
  <si>
    <t>SITUACION PPARIA LINEAS DE LA LOA</t>
  </si>
  <si>
    <t>INFORMES FINANCIEROS ESPECIFICO</t>
  </si>
  <si>
    <t>RELACION DE CASO FMS</t>
  </si>
  <si>
    <t>RELACIONDE ENMIENDAS CASO FMS</t>
  </si>
  <si>
    <t>RELACION DE INFORMES FINANCIEROS ANUALES</t>
  </si>
  <si>
    <t>RESUMEN PRESUPUESTARIO POR CASO</t>
  </si>
  <si>
    <t>RESUMEN PAGOS POR CASO</t>
  </si>
  <si>
    <t>SITUACION PPARIA CUOTAS</t>
  </si>
  <si>
    <t>RELACION DE CONTRATOS COMANDO LOGISTICO</t>
  </si>
  <si>
    <t>BALANCE SUBSEC. PARA LAS FF.AA</t>
  </si>
  <si>
    <t>RELACION DECRETOS DIFERIDO POR ANO</t>
  </si>
  <si>
    <t>RELACION DECRETOS DIFERIDOS POR D.MATRIZ</t>
  </si>
  <si>
    <t>RELACION DECRETOS ADENDUM POR ANO</t>
  </si>
  <si>
    <t>CONTROL DE GESTION Y AVANCES DE GASTO</t>
  </si>
  <si>
    <t>INGRESOS Y GASTOS POR DECRETO MATRIZ</t>
  </si>
  <si>
    <t>INGRESOS Y GASTOS POR DECRETO MATRIZ – UNIDAD</t>
  </si>
  <si>
    <t>INGRESOS Y GASTOS POR DECRETO DIFERIDO – UNIDAD</t>
  </si>
  <si>
    <t>MOVIMIENTOS POR DECRETO MATRIZ</t>
  </si>
  <si>
    <t>BALANCES</t>
  </si>
  <si>
    <t>CARATULAS</t>
  </si>
  <si>
    <t>SUBCARATULAS</t>
  </si>
  <si>
    <t>CERTIFICADO INVERSIONES</t>
  </si>
  <si>
    <t>CERTIFICADOS CARTA DE CREDITO</t>
  </si>
  <si>
    <t>CERTIFICADOS DE REINTEGRO</t>
  </si>
  <si>
    <t>CERTIFICADOS TRASPASO CUENTADANTES</t>
  </si>
  <si>
    <t>CERTIFICADOS MOVIMIENTOS NO CONTABILIZADOS</t>
  </si>
  <si>
    <t>INGRESOS DEL TRIMESTRE</t>
  </si>
  <si>
    <t>GASTOS DEL TRIMESTRE</t>
  </si>
  <si>
    <t>SITUACION FLUJO DE CAJA POR DECRETO POR ENTIDAD</t>
  </si>
  <si>
    <t>SITUACION FLUJO DE CAJA POR DECRETO POR UNIDAD</t>
  </si>
  <si>
    <t>CALENDARIO DE PAGOS</t>
  </si>
  <si>
    <t>CARGOS</t>
  </si>
  <si>
    <t>RELACION CASOS F.M.S</t>
  </si>
  <si>
    <t>ESTADO DE SITUACION DE LOS CASOS F.M.S.</t>
  </si>
  <si>
    <t>SITUACION PPTARIAS. LINEAS DE LA LOA</t>
  </si>
  <si>
    <t>SALDOS PPTARIOS. POR UNIDAD INTERNA</t>
  </si>
  <si>
    <t>RELACION DE PROYECTOS</t>
  </si>
  <si>
    <t>SITUACION DE PROYECTOS</t>
  </si>
  <si>
    <t>ASIGNACION PPTARIA. PLURIANUAL POR PROYECTO</t>
  </si>
  <si>
    <t>ROL_ADM_LICENCIA</t>
  </si>
  <si>
    <t>ROL_SUPERVISOR_CP_LICENCIA</t>
  </si>
  <si>
    <t>ROL_SUPERVISOR_UNI_LICENCIA</t>
  </si>
  <si>
    <t>ROL_PERSONAL_CP_LICENCIA</t>
  </si>
  <si>
    <t>ROL_PERSONAL_UNI_LICENCIA</t>
  </si>
  <si>
    <t>ROL_JEFE_LICENCIA</t>
  </si>
  <si>
    <t>ROL_AUDIT_LICENCIA</t>
  </si>
  <si>
    <t>ROL_PERSONAL_SEC_LICENCIA</t>
  </si>
  <si>
    <t>SECCION PERSONAL</t>
  </si>
  <si>
    <t>MANTENCION DE PERSONAL</t>
  </si>
  <si>
    <t>CALENDARIO</t>
  </si>
  <si>
    <t>CAUSAS DE RECHAZO</t>
  </si>
  <si>
    <t>CONDICION DE RESOLUCION</t>
  </si>
  <si>
    <t>CONTROL DE PLAZOS</t>
  </si>
  <si>
    <t>FONDOS DE PENSIONES</t>
  </si>
  <si>
    <t>FORMA DE REPOSO</t>
  </si>
  <si>
    <t>LUGAR DE REPOSO</t>
  </si>
  <si>
    <t>SISTEMA DE SALUD</t>
  </si>
  <si>
    <t>SITUACION SUBSIDIOS</t>
  </si>
  <si>
    <t>TIPO DE CONTRATO</t>
  </si>
  <si>
    <t>TIPO DE DOCUMENTO</t>
  </si>
  <si>
    <t>TIPO DE LICENCIA</t>
  </si>
  <si>
    <t>TIPO DE ORGANISMO</t>
  </si>
  <si>
    <t>TIPO DE PAGOS</t>
  </si>
  <si>
    <t>TIPO DE REPOSO</t>
  </si>
  <si>
    <t>UNIDAD SUPERIOR</t>
  </si>
  <si>
    <t>UNIDAD DEPENDENCIA</t>
  </si>
  <si>
    <t>CUENTAS CONTABLES</t>
  </si>
  <si>
    <t>LICENCIA MEDICA</t>
  </si>
  <si>
    <t>TRAMITACION LICENCIA MEDICA</t>
  </si>
  <si>
    <t>ANULACION LICENCIA MEDICA</t>
  </si>
  <si>
    <t>POST NATAL PARENTAL</t>
  </si>
  <si>
    <t>CESE PERMISO POST NATAL PARENTAL</t>
  </si>
  <si>
    <t>RESOLUCION LICENCIA MEDICA</t>
  </si>
  <si>
    <t>COMANDO DE PERSONAL</t>
  </si>
  <si>
    <t>VALIDACION LICENCIAS MEDICAS</t>
  </si>
  <si>
    <t>MANTENCION LICENCIA MEDICA</t>
  </si>
  <si>
    <t>REACTIVAR LICENCIA MEDICA</t>
  </si>
  <si>
    <t>REGISTRA GESTION LICENCIA MEDICA</t>
  </si>
  <si>
    <t>VALIDACION PERMISO POST NATAL PARENTALES</t>
  </si>
  <si>
    <t>MANTENCION PERMISO POST NATAL PARENTALES</t>
  </si>
  <si>
    <t>RESOLUCION / APELACION LICENCIA MEDICA</t>
  </si>
  <si>
    <t>RESOLUCION PERMISO POST NATAL PARENTAL</t>
  </si>
  <si>
    <t>REACTIVAR PERMISO POST NATAL PARENTAL</t>
  </si>
  <si>
    <t>COBRANZA DE SUBSIDIOS</t>
  </si>
  <si>
    <t>MANTENCION DE COBRANZAS</t>
  </si>
  <si>
    <t>INGRESO DE PAGOS</t>
  </si>
  <si>
    <t>RECOBRANZAS</t>
  </si>
  <si>
    <t>RECOBRANZAS DE SUBSIDIOS</t>
  </si>
  <si>
    <t>RECOBRANZAS DE PARENTALES</t>
  </si>
  <si>
    <t>MANTENCION DE PAGOS</t>
  </si>
  <si>
    <t>DESCUENTOS A FUNCIONARIOS</t>
  </si>
  <si>
    <t>DESCUENTOS EFECTUADOS / REINTEGROS</t>
  </si>
  <si>
    <t>GENERACION DE ASIENTOS</t>
  </si>
  <si>
    <t>LICENCIA MEDICA ESPECIFICA</t>
  </si>
  <si>
    <t>LICENCIA MEDICA ESPECIFICA ANULADA</t>
  </si>
  <si>
    <t>PERMISOS POST NATALES POR VENCER</t>
  </si>
  <si>
    <t>PERMISO POST NATAL PARENTAL ESPECIFICO</t>
  </si>
  <si>
    <t>LICENCIAS</t>
  </si>
  <si>
    <t>PERMISOS POR FUNCIONARIO</t>
  </si>
  <si>
    <t>PERMISOS POR ESTADO</t>
  </si>
  <si>
    <t>PERMISOS POR SISTEMA DE SALUD</t>
  </si>
  <si>
    <t>PERMISOS POR TIPO DE CONTRATO</t>
  </si>
  <si>
    <t>PERMISOS POR TIPO DE LICENCIA</t>
  </si>
  <si>
    <t>PERMISOS  POR UNIDAD</t>
  </si>
  <si>
    <t>BITÁCORA ESPECIFICA</t>
  </si>
  <si>
    <t>DETALLE DE TRAMITACIÓN ESPECIFICA</t>
  </si>
  <si>
    <t>PERMISOS POR UNIDAD DEPENDENCIA</t>
  </si>
  <si>
    <t>DETALLE DE DESCUENTOS</t>
  </si>
  <si>
    <t>RELACIÓN DE DESCUENTOS</t>
  </si>
  <si>
    <t>RESUMEN DE LICENCIAS IMPAGAS</t>
  </si>
  <si>
    <t>RELACION DE PAGOS</t>
  </si>
  <si>
    <t>DETALLE DE PAGOS DE SUBSIDIOS</t>
  </si>
  <si>
    <t xml:space="preserve">LICENCIA MEDICA </t>
  </si>
  <si>
    <t>BITÁCORA POR UNIDAD</t>
  </si>
  <si>
    <t>SOLICITUD DE COBRANZA</t>
  </si>
  <si>
    <t>RELACION DE COBRANZA</t>
  </si>
  <si>
    <t>COMPROBANTE DE INGRESO PAGOS DE SUBSIDIOS</t>
  </si>
  <si>
    <t>RESUMEN DE PAGOS Y DESCUENTOS</t>
  </si>
  <si>
    <t>ESTADO HISTORICO DE LICENCIAS</t>
  </si>
  <si>
    <t>FORMULACION/RECEPCION</t>
  </si>
  <si>
    <t>ROL_ADM_GRAL_SIDESU</t>
  </si>
  <si>
    <t>ROL_ADM_SIDESU</t>
  </si>
  <si>
    <t>ROL_AUDITOR_SIDESU</t>
  </si>
  <si>
    <t>ROL_DIGITADOR_COMI_SIDESU</t>
  </si>
  <si>
    <t>ROL_DIGITADOR_FZAS_SIDESU</t>
  </si>
  <si>
    <t>ROL_SUPERVISOR_SIDESU</t>
  </si>
  <si>
    <t>ROL_ADM_SIDESU_CADETE</t>
  </si>
  <si>
    <t>ROL_DIGITADOR_SIDESU_CADETE</t>
  </si>
  <si>
    <t>MANTENCION UNIDADES</t>
  </si>
  <si>
    <t>MANTENCIÓN UNIDAD DE FORMULACIÓN</t>
  </si>
  <si>
    <t>MANTENCIÓN DE CATEGORÍA</t>
  </si>
  <si>
    <t>MANTENCIÓN CÓDIGOS DE DESCUENTOS</t>
  </si>
  <si>
    <t>MANTENCIÓN MONTO AUTORIZADO CADETES</t>
  </si>
  <si>
    <t>MANTENCIÓN DE EMPLEADOS AUTORIZADOS</t>
  </si>
  <si>
    <t>MANTENCIÓN SUBCODIGOS DE DESCUENTOS</t>
  </si>
  <si>
    <t>MANTENCIÓN MONEDA DE FORMULACIÓN</t>
  </si>
  <si>
    <t>MANTENCION OTROS EMPLEADOS</t>
  </si>
  <si>
    <t>GENERA ARCHIVO SISREM MONEDA NACIONAL</t>
  </si>
  <si>
    <t>GENERA ARCHIVO SISREM MONEDA DOLAR</t>
  </si>
  <si>
    <t>RECEPCION DESCUENTOS PERSONAL FACH</t>
  </si>
  <si>
    <t>CARGA DESCUENTOS EFECTUADOS</t>
  </si>
  <si>
    <t>RECEPCION DESCUENTOS MONEDA NACIONAL</t>
  </si>
  <si>
    <t>RECEPCION DESCUENTOS MONEDA DOLAR</t>
  </si>
  <si>
    <t>FORMULACION DESCUENTOS CAPREDENA / OTROS EMPLEADOS</t>
  </si>
  <si>
    <t>GENERA DESCUENTOS MASIVOS</t>
  </si>
  <si>
    <t>GENERA ARCHIVO CAPREDENA</t>
  </si>
  <si>
    <t>GENERA ARCHIVO OTROS EMPLEADOS</t>
  </si>
  <si>
    <t>RECEPCION DESCEUNTOS CAPREDENA / OTROS EMPLEADOS</t>
  </si>
  <si>
    <t>CARGA DESCUENTOS EFECTUADOS CAPREDENA</t>
  </si>
  <si>
    <t>CARGA DESCUENTOS EFECTUADOS OTROS EMPLEADOS</t>
  </si>
  <si>
    <t>RECEPCION DESCUENTOS CAPREDENA</t>
  </si>
  <si>
    <t>RECEPCION DESCUENTOS OTROS EMPLEADOS</t>
  </si>
  <si>
    <t>GENERA ARCHIVO PLANO INTRANET UNIDAD</t>
  </si>
  <si>
    <t>INGRESO DE DESCUENTOS</t>
  </si>
  <si>
    <t>ACTUALIZACION DESCUENTOS</t>
  </si>
  <si>
    <t>INGRESOS DE DESCUENTOS BATCH (NUMERO EMPLEADO)</t>
  </si>
  <si>
    <t>INGRESO DE DESCUENTOS MASIVOS</t>
  </si>
  <si>
    <t>PAGO</t>
  </si>
  <si>
    <t>ABONO DESCUENTOS EN UNA CUOTA</t>
  </si>
  <si>
    <t>ABONO DESCUENTOS EN DOS O MAS CUOTAS</t>
  </si>
  <si>
    <t>ANULA DESCUENTO INDIVIDUAL EN UNA CUOTA</t>
  </si>
  <si>
    <t>ANULA DESCUENTO INDIVIDUAL EN DOS O MAS CUOTAS</t>
  </si>
  <si>
    <t>ANULA FORMULARIOS SIN ACTUALIZAR</t>
  </si>
  <si>
    <t>DESCUENTOS POR EMPLEADOS</t>
  </si>
  <si>
    <t>DESCUENTOS MENSUALES</t>
  </si>
  <si>
    <t>DESCUENTOS ACUMULADOS</t>
  </si>
  <si>
    <t>DESCUENTOS TOTAL FACH</t>
  </si>
  <si>
    <t>DESCUENTOS POR FORMULARIOS</t>
  </si>
  <si>
    <t>DESCUENTOS INGRESADOS POR MES</t>
  </si>
  <si>
    <t>DESCUENTOS POR CODIGO/SUBCODIGO</t>
  </si>
  <si>
    <t>TOTAL CATALOGACION REMUNERACIONES</t>
  </si>
  <si>
    <t>SALDOS CREDITOS</t>
  </si>
  <si>
    <t>TOTALES POR CODIGO/SUBCODIGO</t>
  </si>
  <si>
    <t>FORMULARIOS</t>
  </si>
  <si>
    <t>DETALLE DE FORMULARIOS</t>
  </si>
  <si>
    <t>FORMULARIOS PENDIENTES DE ACTUALIZACION</t>
  </si>
  <si>
    <t>FORMULARIOS ANULADOS</t>
  </si>
  <si>
    <t>CODIGOS/SUBCODIGOS HABILITADOS</t>
  </si>
  <si>
    <t>MOVIMIENTO POR CADETE</t>
  </si>
  <si>
    <t>DESCUENTOS POR EMPLEADO</t>
  </si>
  <si>
    <t>DESCUENTOS ANULADOS</t>
  </si>
  <si>
    <t>TOTALES POR CODIGO / SUBCODIGO</t>
  </si>
  <si>
    <t>DEMOSTRACION POR CUENTA SAFI</t>
  </si>
  <si>
    <t>FORMULARIOS POR ESTADO</t>
  </si>
  <si>
    <t>PAGO/ABONO POR CAJA MENSUAL</t>
  </si>
  <si>
    <t>DESCUENTOS ENVIADOS A SISREM / CAPREDENA</t>
  </si>
  <si>
    <t>DESCUENTOS RECIBIDOS DE SISREM / CAPREDENA</t>
  </si>
  <si>
    <t>DESCUENTOS POR CODIGO / SUBCODIGO</t>
  </si>
  <si>
    <t>EMPLEADOS ERRONEOS EN DESCUENTOS BATCH</t>
  </si>
  <si>
    <t>LISTADO DE CADETES</t>
  </si>
  <si>
    <t>CONSOLIDADO</t>
  </si>
  <si>
    <t>NIVEL CENTRAL</t>
  </si>
  <si>
    <t>RESUMEN DE COLOCACIONES</t>
  </si>
  <si>
    <t>RELACION DE COLOCACIONES</t>
  </si>
  <si>
    <t>DETALLE DE COLOCACIONES</t>
  </si>
  <si>
    <t>INVERSIONES</t>
  </si>
  <si>
    <t>COMPROBANTE DE INGRESO</t>
  </si>
  <si>
    <t>RESUMEN CONSOLIDADO</t>
  </si>
  <si>
    <t>DETALLE DE OPERACIONES DE CAMBIO</t>
  </si>
  <si>
    <t>PREPARA MODIFICACIONES PRESUPUESTARIAS. ENERO MONEDA NACIONAL Y EXTRANJERA</t>
  </si>
  <si>
    <t>PREPARA MODIFICACIONES PRESUPUESTARUAS. ENERO OTROS</t>
  </si>
  <si>
    <t>PREPARA MODIFICACIONES PRESUPUESTARIAS. MONEDA NACIONAL Y EXTRANJERA</t>
  </si>
  <si>
    <t>PREPARA MODIFICACIONES PRESUPUESTARIAS OTROS</t>
  </si>
  <si>
    <t>PREPARA OBLIGACIONES MONEDA NACIONAL Y EXTRANJERA</t>
  </si>
  <si>
    <t>PREPARA OBLIGACIONES OTROS</t>
  </si>
  <si>
    <t>PREPARA CONTABILIDAD MONEDA NACIONAL Y EXTRANJERA</t>
  </si>
  <si>
    <t>PREPARA CONTABILIDAD OTROS</t>
  </si>
  <si>
    <t>ROL_CONSULTOR_SISALU</t>
  </si>
  <si>
    <t>ROL_ADM_SISALU</t>
  </si>
  <si>
    <t>ROL_ADM_GRAL_SISALU</t>
  </si>
  <si>
    <t>ROL_JEFE_SUPER_SISALU</t>
  </si>
  <si>
    <t>ROL_NUTRI_SISALU</t>
  </si>
  <si>
    <t>ROL_OPER_SISALU</t>
  </si>
  <si>
    <t>ROL_OPER_SANIDAD</t>
  </si>
  <si>
    <t>ROL_BODEGUERO_SISALU</t>
  </si>
  <si>
    <t>ROL_MAYORDOMO_SISALU</t>
  </si>
  <si>
    <t>ROL_CONTA_SISALU</t>
  </si>
  <si>
    <t>ROL_PERSONAL_SISALU</t>
  </si>
  <si>
    <t>UNIDAD DE INGRESO</t>
  </si>
  <si>
    <t>BODEGAS</t>
  </si>
  <si>
    <t>UNIDAD DE APORCIONAMIENTO</t>
  </si>
  <si>
    <t>VALOR APORCIONAMIENTO FISCAL</t>
  </si>
  <si>
    <t>CASINOS</t>
  </si>
  <si>
    <t>PIES DE FIRMA PARTE ALIMENTACION</t>
  </si>
  <si>
    <t>TIPOS DE ACTIVIDADES</t>
  </si>
  <si>
    <t>TIPOS DE CENTRO DE CONSUMO</t>
  </si>
  <si>
    <t>CENTROS DE CONSUMOS POR UNIDAD</t>
  </si>
  <si>
    <t>CUENTAS POR COBRAR</t>
  </si>
  <si>
    <t>CUENTAS POR SALIDA DE BODEGA</t>
  </si>
  <si>
    <t>CUENTAS POR PAGAR</t>
  </si>
  <si>
    <t>EXISTENCIAS</t>
  </si>
  <si>
    <t>TIPOS DE MOVIMIENTOS</t>
  </si>
  <si>
    <t>ARTICULOS</t>
  </si>
  <si>
    <t>HOMOLOGAR VIVERES MERCADO PUBLICO</t>
  </si>
  <si>
    <t>CARGO EXISTENCIA INICIAL</t>
  </si>
  <si>
    <t>TIPOS DE CLASES</t>
  </si>
  <si>
    <t>PRODUCCIÓN</t>
  </si>
  <si>
    <t>TIPOS DE REGIMEN</t>
  </si>
  <si>
    <t>TIPOS DE COMIDAS</t>
  </si>
  <si>
    <t>TIPOS DE ALIMENTACIÓN</t>
  </si>
  <si>
    <t>PLATOS</t>
  </si>
  <si>
    <t>DEPORTES</t>
  </si>
  <si>
    <t>DIVIDENDO</t>
  </si>
  <si>
    <t>TITULOS</t>
  </si>
  <si>
    <t>NIVEL 1</t>
  </si>
  <si>
    <t>TIPOS DE MOVIMIENTO</t>
  </si>
  <si>
    <t>ENTRADA DE MOVIMIENTOS</t>
  </si>
  <si>
    <t>ACTUALIZA ACTA DE RECEPCION (O/C)</t>
  </si>
  <si>
    <t>RECEPCION / ENTREGA MERCADERIA</t>
  </si>
  <si>
    <t>INGRESO NOTAS DE CREDITO</t>
  </si>
  <si>
    <t>DEVOLUCION DE MERCADERIA</t>
  </si>
  <si>
    <t>INGRESO TOMA DE EXISTENCIA</t>
  </si>
  <si>
    <t>INGRESO TOMA DE EXISTENCIA DESPLAZAMIENTO</t>
  </si>
  <si>
    <t>MODIFICA TOMA DE EXISTENCIA</t>
  </si>
  <si>
    <t>TRANSFERENCIA DE MERCADERIA ENTRE BODEGAS</t>
  </si>
  <si>
    <t>DEVOLUCION DE MERCADERIA ENTRE BODEGAS</t>
  </si>
  <si>
    <t>MODIFICA DATOS FONDO FIJO</t>
  </si>
  <si>
    <t>TRANSFERENCIA DE MERCADERÍA POR DESPLAZAMIENTOS</t>
  </si>
  <si>
    <t>DEVOLUCION DE MERCADERIA POR DESPLAZAMIENTOS</t>
  </si>
  <si>
    <t>GENERA ASIENTO FONDO FIJO</t>
  </si>
  <si>
    <t>GENERA ASIENTO SALIDAS DE BODEGA</t>
  </si>
  <si>
    <t>INGRESO MINUTA</t>
  </si>
  <si>
    <t>MODIFICA MINUTA</t>
  </si>
  <si>
    <t>ELIMINA MINUTA</t>
  </si>
  <si>
    <t>COPIA MINUTA</t>
  </si>
  <si>
    <t>SOLICITUD COMPRA</t>
  </si>
  <si>
    <t>PEDIDO BODEGA FISCAL</t>
  </si>
  <si>
    <t>ANULA PEDIDO COMPLEMENTARIO</t>
  </si>
  <si>
    <t>COSTEOS EXTRAS</t>
  </si>
  <si>
    <t>COSTEOS DE MINUTAS</t>
  </si>
  <si>
    <t>PERSONAL SELECCIONES DEPORTIVAS</t>
  </si>
  <si>
    <t>PARTE UNIDAD CENTRAL</t>
  </si>
  <si>
    <t>ABRIR PARTE</t>
  </si>
  <si>
    <t>PLANILLA COBRO ALIMENTACION FISCAL</t>
  </si>
  <si>
    <t>DIFERENCIA DE RANCHO</t>
  </si>
  <si>
    <t>ATENCION MESAS</t>
  </si>
  <si>
    <t>PLANILLA COBRO ALIMENTACION EXTRAS</t>
  </si>
  <si>
    <t>MODIFICA PEDIDO BODEGA FISCAL</t>
  </si>
  <si>
    <t>ANULA PEDIDO BODEGA FISCAL</t>
  </si>
  <si>
    <t>MODIFICA DATOS SALIDA DE BODEGA</t>
  </si>
  <si>
    <t>ANULA PEDIDO A BODEGA NO FISCAL</t>
  </si>
  <si>
    <t>PERSONAL APORCIONADO</t>
  </si>
  <si>
    <t>PARTE ALIMENTACION COMPLEMENTARIO</t>
  </si>
  <si>
    <t>PLANILLA COBRO ALIMENTACION DESPLAZAMIENTO</t>
  </si>
  <si>
    <t>PLANILLA COBRO APOYO EXTRAINSTITUCIONAL</t>
  </si>
  <si>
    <t>PARTE ALIMENTACION</t>
  </si>
  <si>
    <t>PEDIDO A BODEGA NO FISCAL</t>
  </si>
  <si>
    <t>VENTAS DIARIAS</t>
  </si>
  <si>
    <t>ARQUEO DIARIO EXTRAS</t>
  </si>
  <si>
    <t>DESCUENTOS MASIVOS</t>
  </si>
  <si>
    <t>ENVIO DESCUENTOS A SIDESU</t>
  </si>
  <si>
    <t>DATOS</t>
  </si>
  <si>
    <t>RESUMEN DE COMPRAS</t>
  </si>
  <si>
    <t>POR NUMERO DE ENLACE</t>
  </si>
  <si>
    <t>POR TIPO</t>
  </si>
  <si>
    <t>POR MENU</t>
  </si>
  <si>
    <t>POR CENTRO DE CONSUMO</t>
  </si>
  <si>
    <t>POR ARTICULO</t>
  </si>
  <si>
    <t>STOCK</t>
  </si>
  <si>
    <t>DIFERENCIAS TOMA EXISTENCIA</t>
  </si>
  <si>
    <t>RESUMEN</t>
  </si>
  <si>
    <t>DETALLE</t>
  </si>
  <si>
    <t>DESCRIPCION</t>
  </si>
  <si>
    <t>EXTRAS</t>
  </si>
  <si>
    <t>POR FECHA</t>
  </si>
  <si>
    <t>SEMANAL</t>
  </si>
  <si>
    <t>SOLICITUD DE COMPRAS</t>
  </si>
  <si>
    <t>PEDIDO A BODEGA</t>
  </si>
  <si>
    <t>SERVICIO DE ALIMENTACION X UNI. DE APORCIONAMIENTO</t>
  </si>
  <si>
    <t>UNIDADES APORCIONADAS X SERVICIOS DE ALIMENTACION</t>
  </si>
  <si>
    <t>PARTE ALIMENTACION DETALLADO</t>
  </si>
  <si>
    <t>PARTE ALIMENTACION POR UNIDAD CENTRAL</t>
  </si>
  <si>
    <t>DOTACION</t>
  </si>
  <si>
    <t>PARTE ALIMENTACION POR CENTRO DE CONSUMO</t>
  </si>
  <si>
    <t>PARTE ALIMENTACION POR SERVICIO DE ALIMENTACION</t>
  </si>
  <si>
    <t>RESUMEN COBRO ALIMENTACION MENSUAL</t>
  </si>
  <si>
    <t>ANALISIS DE COSTO POR TIPO DE ALIMENTACION</t>
  </si>
  <si>
    <t>ANALISIS DE COSTO POR CENTRO DE CONSUMO</t>
  </si>
  <si>
    <t>DIFERENCIA RANCHO</t>
  </si>
  <si>
    <t>POR NUMERO</t>
  </si>
  <si>
    <t>POR COMISION</t>
  </si>
  <si>
    <t>VALES POR ESTADO</t>
  </si>
  <si>
    <t>CARTOLA POR EMPLEADOS</t>
  </si>
  <si>
    <t>POR CLASE</t>
  </si>
  <si>
    <t>PRECIOS</t>
  </si>
  <si>
    <t>STOCK EN BODEGA</t>
  </si>
  <si>
    <t>POR NUMERO DE MOVIMIENTO</t>
  </si>
  <si>
    <t>SALDOS NEGATIVOS</t>
  </si>
  <si>
    <t>CENTRO DE CONSUMO POR UNIDAD</t>
  </si>
  <si>
    <t>ASIENTOS SALIDA DE BODEGA</t>
  </si>
  <si>
    <t>ASIENTOS FONDO FIJO</t>
  </si>
  <si>
    <t>EXISTENCIA INGRESADA</t>
  </si>
  <si>
    <t>FORMULARIO PARA TOMA EXISTENCIA</t>
  </si>
  <si>
    <t>DEMOSTRACION MOVIMIENTOS EN BODEGA</t>
  </si>
  <si>
    <t>INFORME DE GESTION (BODEGA)</t>
  </si>
  <si>
    <t>COMPRAS DEL MES</t>
  </si>
  <si>
    <t>CUADRATURA DIVIDENDO CONSUMOS FISCALES</t>
  </si>
  <si>
    <t>CUADRATURA DIVIDENDO CONSUMOS EXTRAS</t>
  </si>
  <si>
    <t>DETALLE DE PLATOS</t>
  </si>
  <si>
    <t>DETALLE DE EXTRAS</t>
  </si>
  <si>
    <t>ASIENTOS POR SALIDA BODEGA</t>
  </si>
  <si>
    <t>DOTACION APORCIONAMIENTO</t>
  </si>
  <si>
    <t>PARTE DETALLADO NORMAL</t>
  </si>
  <si>
    <t>PARTE DETALLADO COMPLEMENTARIO</t>
  </si>
  <si>
    <t>PARTE DETALLADO UNÍ. CENTRAL</t>
  </si>
  <si>
    <t>PARTE ALIMENTACIÓN DIARIA POR UNIDAD INTERNA</t>
  </si>
  <si>
    <t>CARTOLA POR EMPLEADO</t>
  </si>
  <si>
    <t>DETALLE COBRO ALIMENTACION</t>
  </si>
  <si>
    <t>PARTE DETALALDO POR CASINO</t>
  </si>
  <si>
    <t>PARTE RESUMEN DIARIO POR UNIDAD CENTRAL</t>
  </si>
  <si>
    <t>PARTE RESUMEN DIARIO POR CADETES / ALUMNOS</t>
  </si>
  <si>
    <t>PARTE RESUMEN GENERAL POR UNIDAD</t>
  </si>
  <si>
    <t>PARTE RESUMEN DIARIO POR SERVICIO ALIMENTACION</t>
  </si>
  <si>
    <t>PARTE RESUMEN DIARIO POR CASINO</t>
  </si>
  <si>
    <t>PLANILLA COBRO ALIMENTACION</t>
  </si>
  <si>
    <t>COBRO ALIMENTACION POR FECHA</t>
  </si>
  <si>
    <t>ANALISIS DE COSTOS</t>
  </si>
  <si>
    <t>PLANILLA COBRO EXTRAS</t>
  </si>
  <si>
    <t>PARTE RESUMEN GENERAL INSTITUCIONAL</t>
  </si>
  <si>
    <t>COBRO ALIMENTACION CONSOLIDADO</t>
  </si>
  <si>
    <t>RESUMEN FONDO FIJO MENSUAL</t>
  </si>
  <si>
    <t>POR TIPO DE MOVIMIENTO</t>
  </si>
  <si>
    <t>RESUMEN VENTAS POR DIA RESUMEN VENTAS AL CONTADO</t>
  </si>
  <si>
    <t>DETALLE VENTAS DIARIAS POR DESCUENTO</t>
  </si>
  <si>
    <t>ENVIADOS A DESCUENTO</t>
  </si>
  <si>
    <t>POR ENVIAR DESCUENTO</t>
  </si>
  <si>
    <t>SITUACION MENSUAL UNIDAD</t>
  </si>
  <si>
    <t>ROL_ADM_VIAEXT</t>
  </si>
  <si>
    <t>ROL_JEFE_CONT_VIAEXT</t>
  </si>
  <si>
    <t>ROL_ANALI_VIAEXT</t>
  </si>
  <si>
    <t>ROL_AUDIT_VIAEXT</t>
  </si>
  <si>
    <t>ROL_UI_VIAEXT</t>
  </si>
  <si>
    <t>ROL_SUPER_VIAEXT</t>
  </si>
  <si>
    <t>ROL_PRESU_VIAEXT</t>
  </si>
  <si>
    <t>ROL_SUPER_UI_VIAEXT</t>
  </si>
  <si>
    <t>ROL_AGREGADURIA_VIAEXT</t>
  </si>
  <si>
    <t>ROL_RRHH_VIAEXT</t>
  </si>
  <si>
    <t>ROL_MAW_VIAEXT</t>
  </si>
  <si>
    <t>MANTENCION DE EMPLEADOS</t>
  </si>
  <si>
    <t>BENEFICIOS OTORGADOS</t>
  </si>
  <si>
    <t>ESCALA DE SUELDOS Y BASE EN DOLARES</t>
  </si>
  <si>
    <t>MEDIOS DE TRANSPORTES</t>
  </si>
  <si>
    <t>CONSTANTE DE COSTO DE VIDA</t>
  </si>
  <si>
    <t>FACTOR COSTO DE VIDA POR PAIS</t>
  </si>
  <si>
    <t>CODIGO COMISION</t>
  </si>
  <si>
    <t>AGREGADURIAS</t>
  </si>
  <si>
    <t>PIES DE FIRMA</t>
  </si>
  <si>
    <t>ENTRADA DE SOLICITUD DE COMISION</t>
  </si>
  <si>
    <t>CERTIFICADO DE FONDOS</t>
  </si>
  <si>
    <t>SEGUIMIENTO A SOLICITUD DE COMISION</t>
  </si>
  <si>
    <t>CERTIFICADO DE FONDOS INF. CUMPLIMIENTO COMISION</t>
  </si>
  <si>
    <t>SEGUIMIENTO INFORME DE CUMPLIMIENTO DE COMISION</t>
  </si>
  <si>
    <t>BENEFICIO COMISION MAS DE 30 DIAS</t>
  </si>
  <si>
    <t>ACTUALIZACION DE SOLICITUD DE COMISION</t>
  </si>
  <si>
    <t>GENERA ASIENTO CONTABLE  POR SOLIC. DE COMISION</t>
  </si>
  <si>
    <t>ANULA SOLICITUD DE COMISION SIN ACTUALIZAR</t>
  </si>
  <si>
    <t>ACTUALIZACION INFORME CUMPLIMIENTO DE COMISION</t>
  </si>
  <si>
    <t>ANULACION INFORME DE CUMPLIMIENTO DE COMISION</t>
  </si>
  <si>
    <t>INFORMACION ADMINISTRATIVA</t>
  </si>
  <si>
    <t>CERTIFICADO DE FONDOS BENEFICIO MAS DE 30 DIAS</t>
  </si>
  <si>
    <t>SIMULACIÓN DE SOLICITUD DE COMISIÓN</t>
  </si>
  <si>
    <t>SOLICITUD DE COMISION</t>
  </si>
  <si>
    <t>INFORME DE CUMPLIMIENTO DE COMISION</t>
  </si>
  <si>
    <t>SITUACION DE SOLICITUD DE COMISION</t>
  </si>
  <si>
    <t>SOLICITUDES DE COM.CON INFORME CUMP. POR UNI.</t>
  </si>
  <si>
    <t>SOLICITUDES DE COM.CON INFORME CUMP. POR UNI.INT.</t>
  </si>
  <si>
    <t>SITUACION DE INFORMES DE CUMPLIMIENTO DE COMISION</t>
  </si>
  <si>
    <t>TRAZABILIDAD DE SOLICITUDES POR UNIDAD</t>
  </si>
  <si>
    <t>TRAZABILIDAD DE SOLICITUDES POR UNIDAD INTERNA</t>
  </si>
  <si>
    <t>SITUACION PRESUPUESTARIA POR UNIDAD INTERNA</t>
  </si>
  <si>
    <t>COMISIONES POR FUNCIONARIO</t>
  </si>
  <si>
    <t>CATEGORIZACION - SOLIC. DE COMISION  CATEGORIZADOS POR ENTIDAD</t>
  </si>
  <si>
    <t>CATEGORIZACION - SOLIC. DE COMSION  CATEGORIZADOS POR UNIDAD</t>
  </si>
  <si>
    <t>COSTOS DE VIDA POR PAIS</t>
  </si>
  <si>
    <t>GASTOS TOTALES DE COMISION POR SOLICITUDES</t>
  </si>
  <si>
    <t>GASTOS TOTALES DE COMISION POR FUNCIONARIO</t>
  </si>
  <si>
    <t>TIEMPO ADMINISTRATIVO DE TRAMITACION</t>
  </si>
  <si>
    <t>PLANILLA DE ANTICIPO DE VIATICOS</t>
  </si>
  <si>
    <t>SOLICITUDES DE COMISION EMITIDAS POR UNIDAD</t>
  </si>
  <si>
    <t>SOLICITUDES DE COMISION POR UNIDAD INTERNA</t>
  </si>
  <si>
    <t>INFORME DE  CUMPLIMIENTO DE COMISION</t>
  </si>
  <si>
    <t>PLANILLA DE PAGO DE ANTICIPO DE VIATICOS</t>
  </si>
  <si>
    <t>SITUACION DE INFORME DE CUMPLIMIENTO DE COMISION</t>
  </si>
  <si>
    <t>CARTOLA DE COMISIONES POR FUNCIONARIO</t>
  </si>
  <si>
    <t>COMISIONES AL EXTRANJERO</t>
  </si>
  <si>
    <t>SOLIC.COMISIONES  CATEGORIZACION POR UNIDAD</t>
  </si>
  <si>
    <t>UNIDAD / UU.II</t>
  </si>
  <si>
    <t>CATEGORIZACION SOLIC.COMISIONES - CONSOLIDADOS</t>
  </si>
  <si>
    <t>CATEGORIZACION SOLIC.COMISIONES</t>
  </si>
  <si>
    <t>ACTIVO FIJO (INFRAESCTRUCTURA)</t>
  </si>
  <si>
    <t>ROL_ADM_INFRA</t>
  </si>
  <si>
    <t>ROL_ANALI_INFRA</t>
  </si>
  <si>
    <t>ROL_AUDITOR_INFRA</t>
  </si>
  <si>
    <t>ROL_JEFE_INFRA</t>
  </si>
  <si>
    <t>ROL_SUPER_INFRA</t>
  </si>
  <si>
    <t>ROL_CONSOLIDA_INFRA</t>
  </si>
  <si>
    <t>UNIDAD CONSOLIDADORA</t>
  </si>
  <si>
    <t>COMUNAS</t>
  </si>
  <si>
    <t>CONSERVADORES</t>
  </si>
  <si>
    <t>EMISORES LEGALIDAD</t>
  </si>
  <si>
    <t>ESTADOS</t>
  </si>
  <si>
    <t>FACTORES C.G.R</t>
  </si>
  <si>
    <t>JURISDICCION</t>
  </si>
  <si>
    <t>LEY DE ADQUISICION</t>
  </si>
  <si>
    <t>PROVINCIAS</t>
  </si>
  <si>
    <t>REGIONES</t>
  </si>
  <si>
    <t>UNIDADES FACH</t>
  </si>
  <si>
    <t>TIPOS DE ADQUISICION EDIFICACIONES</t>
  </si>
  <si>
    <t>TIPOS DE ADQUISICION TERRENOS</t>
  </si>
  <si>
    <t>TIPOS DE BAJAS</t>
  </si>
  <si>
    <t>TIPOS DE CLASIFICACION DE DOCUMENTOS</t>
  </si>
  <si>
    <t>TIPOS DE CONJUNTOS</t>
  </si>
  <si>
    <t>TIPOS DE EDIFICACION</t>
  </si>
  <si>
    <t>TIPOS DE EDIFICACION FINANZAS</t>
  </si>
  <si>
    <t>TIPOS DE INMUEBLES</t>
  </si>
  <si>
    <t>TIPOS DE INSTALACIONES</t>
  </si>
  <si>
    <t>TIPOS DE LEGALIDAD</t>
  </si>
  <si>
    <t>TIPOS DE MATERIALES</t>
  </si>
  <si>
    <t>TIPOS DE USO ESPECIFICO</t>
  </si>
  <si>
    <t>TIPOS DE USO GENERAL</t>
  </si>
  <si>
    <t>ANTECEDENTES</t>
  </si>
  <si>
    <t>LEGALIZACION</t>
  </si>
  <si>
    <t>ACTUALIZACION</t>
  </si>
  <si>
    <t>CAMBIO DE ROL</t>
  </si>
  <si>
    <t>ALTA</t>
  </si>
  <si>
    <t>INCORPORACION</t>
  </si>
  <si>
    <t>INDICADORES</t>
  </si>
  <si>
    <t>ANULA ACTUALIZACION</t>
  </si>
  <si>
    <t>BAJA</t>
  </si>
  <si>
    <t>GENERA CALCULO ANUAL</t>
  </si>
  <si>
    <t>ACTUALIZACION CALCULO ANUAL</t>
  </si>
  <si>
    <t>FICHA TERRENO ESPECIFICO</t>
  </si>
  <si>
    <t>RELACION DE TERRENOS POR JURISDICCION</t>
  </si>
  <si>
    <t>RELACION DE TERRENOS POR UNIDAD CONSOLIDADORA</t>
  </si>
  <si>
    <t>RELACION DE TERRENOS POR UNIDAD ORIGEN</t>
  </si>
  <si>
    <t>RELACION DE TERRENOS POR REGION</t>
  </si>
  <si>
    <t>RELACION DE TERRENOS VALORIZADOS</t>
  </si>
  <si>
    <t>RELACION DE INCORPORACIONES DE TERRENOS</t>
  </si>
  <si>
    <t>RELACION BAJA DE TERRENOS</t>
  </si>
  <si>
    <t>RELACION DE EDIFICACIONES POR JURISDICCION</t>
  </si>
  <si>
    <t>RELACION DE EDIFICACIONES POR UNIDAD CONSOLIDAD</t>
  </si>
  <si>
    <t>RELACION DE EDIFICACIONES POR UNIDAD ORIGEN</t>
  </si>
  <si>
    <t>RELACION DE EDIFICACIONES POR REGION</t>
  </si>
  <si>
    <t>RELACION DE EDIFICACIONES POR TERRENOS</t>
  </si>
  <si>
    <t>RELACION DE EDIFICACIONES VALORIZADAS</t>
  </si>
  <si>
    <t>RELACION ALTA DE EDIFICACIONES</t>
  </si>
  <si>
    <t>RELACION DE AJUSTES DE EDIFICACIONES</t>
  </si>
  <si>
    <t>RELACION DE INCORPORACIONES DE EDIFICACIONES</t>
  </si>
  <si>
    <t>ACTUALIZACION Y DEPRECIACION INSTITUCIONAL</t>
  </si>
  <si>
    <t>ACTUALIZACION Y DEPRECIACION POR UNIDAD</t>
  </si>
  <si>
    <t>ACTUALIZACION Y DEPRECIACION POR UNIDAD INTERNA</t>
  </si>
  <si>
    <t>FICHA DE TERRENOS</t>
  </si>
  <si>
    <t>RELACION DE TERRENOS POR UNIDAD</t>
  </si>
  <si>
    <t>RELACION DE TERRENOS POR UNIDAD INTERNA</t>
  </si>
  <si>
    <t>RELACION DE TERRENOS CON INDICADOR NO ESTANDARES</t>
  </si>
  <si>
    <t>ALTA DE TERRENOS ANUALES</t>
  </si>
  <si>
    <t>INCORPORACIONES DE TERRENOS ANUALES</t>
  </si>
  <si>
    <t>BAJA DE TERRENOS ANUALES</t>
  </si>
  <si>
    <t>FICHA DE EDIFICACIONES</t>
  </si>
  <si>
    <t>RELACION DE EDIFICACIONES POR UNIDAD</t>
  </si>
  <si>
    <t>RELACION DE EDIFICACIONES POR UNIDAD INTERNA</t>
  </si>
  <si>
    <t>RELACION DE EDIFICACIONES VALORIZADAS POR UNIDAD</t>
  </si>
  <si>
    <t>RELACION DE EDIFICACIONES VALORIZADAS POR TERRENO</t>
  </si>
  <si>
    <t>RELACION DE EDIFICACIONES CON INDICADOR NO ESTAND.</t>
  </si>
  <si>
    <t>ALTA DE EDIFICACIONES ANUALES</t>
  </si>
  <si>
    <t>INCORPORACIONES DE EDIFICACIONES ANUALES</t>
  </si>
  <si>
    <t>BAJA DE EDIFICACIONES ANUALES</t>
  </si>
  <si>
    <t>ACTUALIZACION Y DEPRECIACION POR TIPO MATERIAL</t>
  </si>
  <si>
    <t>COMPRAS EXTRANJERA (COMEX)</t>
  </si>
  <si>
    <t>ROL_ADM_COMEX</t>
  </si>
  <si>
    <t>ROL_JEFE_COMEX</t>
  </si>
  <si>
    <t>ROL_SUPER_COMEX</t>
  </si>
  <si>
    <t>ROL_ANALI_COMEX</t>
  </si>
  <si>
    <t>ROL_AUDIT_COMEX</t>
  </si>
  <si>
    <t>AUTORIZADORES DE ADJUDICACIÓN</t>
  </si>
  <si>
    <t>RAZON ADJ – COND MATERIAL – INTERCON</t>
  </si>
  <si>
    <t>UNIDADES DE ENTREGA</t>
  </si>
  <si>
    <t>ASOCIA AOLICABILIDADES A PROVEEDORES</t>
  </si>
  <si>
    <t>MANTENCIÓN DE PROVEEDORES</t>
  </si>
  <si>
    <t>EMBARCADORES</t>
  </si>
  <si>
    <t>ESTADOS INTERNOS SOLICITUDES</t>
  </si>
  <si>
    <t>RECEPCIÓN DE SOLICITUDES</t>
  </si>
  <si>
    <t>ASIGNACIÓN DE SOLICITUDES</t>
  </si>
  <si>
    <t>INGRESO DE SOLICITUDES SIN O/C (PREOBLIGA / OBLIGA)</t>
  </si>
  <si>
    <t>INGRESO DE SOLICITUDES REGULARIZA SDOS. CASOS FMS</t>
  </si>
  <si>
    <t>OBLIGA SOLICITUD DE COMPRAS</t>
  </si>
  <si>
    <t>INGRESO DE REQUERIMIENTOS</t>
  </si>
  <si>
    <t>MANTENCIÓN REUERIMIENTOS</t>
  </si>
  <si>
    <t>INGRESA GARANTIA O LIBRE DE CARGO</t>
  </si>
  <si>
    <t>EMISIÓN DE COTIZACIÓN</t>
  </si>
  <si>
    <t>GENERACIÓN</t>
  </si>
  <si>
    <t>EMISIÓN</t>
  </si>
  <si>
    <t>REIMPRESIÓN DE ORDENES</t>
  </si>
  <si>
    <t>GENERA ARCHIVO O/C PARA EMBARCADORES</t>
  </si>
  <si>
    <t>ENVIA INFORMACIÓN PROYECTO VOLUMEN</t>
  </si>
  <si>
    <t>APROBACIONES DE SOLICITUDES – (PREOBLIGA)</t>
  </si>
  <si>
    <t>VARIACIONES A SOLICITUDES</t>
  </si>
  <si>
    <t>ANULACIÓN A SOLICITUDES</t>
  </si>
  <si>
    <t>REASIGNA SOLICITUDES PARA RECOTIZACION</t>
  </si>
  <si>
    <t>ADJUDICACIÓN DE REQUERIMIENTOS</t>
  </si>
  <si>
    <t>ACTA DE ADJUDICACIÓN</t>
  </si>
  <si>
    <t>RESOLUCIÓN DE ADJUDICACIÓN</t>
  </si>
  <si>
    <t>CANCELACIÓN DE REQUERIMIENTO ESPECIFICO</t>
  </si>
  <si>
    <t>CANCELACIÓN DE REQUERIMIENTO MASIVO</t>
  </si>
  <si>
    <t>PORTAL DE PROVEEDORES – ECOMEX</t>
  </si>
  <si>
    <t>RESPUESTAS DE SOLICITUDES DE COTIZACION</t>
  </si>
  <si>
    <t>FIRMA (OBLIGACIÓN)</t>
  </si>
  <si>
    <t>INCREASE / DECREASE</t>
  </si>
  <si>
    <t>MODIFICACIÓN FECHA VCTO O/C</t>
  </si>
  <si>
    <t>ACTUALIZA ACTA DE RECEPCIÓN</t>
  </si>
  <si>
    <t>ANULA ACTA DE RECEPCIÓN</t>
  </si>
  <si>
    <t>DISPONIBILIZA RQTOS. PARA ACTA DE RECEPCIÓN</t>
  </si>
  <si>
    <t>ELIMINA GARANTIA O LIBRE DE CARGO</t>
  </si>
  <si>
    <t>ANULACIÓN TOTAL DE LA O/C</t>
  </si>
  <si>
    <t>ANULACIÓN DE REQUERIMIENTOS EN O/C</t>
  </si>
  <si>
    <t>RECEPCIONES CDO.LOG/MAW – INGRESO RECEPCIÓN POR RQTO</t>
  </si>
  <si>
    <t>RECEPCIONES CDO.LOG/MAW – INGRESO RECEPCIÓN POR O/C</t>
  </si>
  <si>
    <t>RECEPCIONES CDO.LOG/MAW – MANTENCIÓN RECEPCIÓN</t>
  </si>
  <si>
    <t>INGRESO ALTAS FISCAS X ORDEN DE COMPRA</t>
  </si>
  <si>
    <t>INGRESO ALTAS FISCAS X NRO PARTE</t>
  </si>
  <si>
    <t>IMANTTO. ALTAS FISICAS X ORDEN DE COMPRA</t>
  </si>
  <si>
    <t>SALDO PRESUPUESTARIO UNIDAD INTERNA</t>
  </si>
  <si>
    <t>DE NRO DE PARTE POR MEMO</t>
  </si>
  <si>
    <t>EJECUTAR</t>
  </si>
  <si>
    <t>EXPORTAR</t>
  </si>
  <si>
    <t>APROBAR</t>
  </si>
  <si>
    <t>ID_OP</t>
  </si>
  <si>
    <t>NOMBRE_OP</t>
  </si>
  <si>
    <t>ADQUISICIONES PARCIALES</t>
  </si>
  <si>
    <t>SITUACIÓN DE REQUERIMIENTO</t>
  </si>
  <si>
    <t>RELACIÓN POR NUMERO</t>
  </si>
  <si>
    <t>RELACIÓN POR FECHA</t>
  </si>
  <si>
    <t>COTIZACIONES POR PROVEEDOR</t>
  </si>
  <si>
    <t>REQUERIMIENTOS DE ADJUDICACIÓN</t>
  </si>
  <si>
    <t>COMPOSICIÓN DE COTIZACIONES</t>
  </si>
  <si>
    <t>BLOQUEO CUADRATURA CENTRAL</t>
  </si>
  <si>
    <t>id_padre</t>
  </si>
  <si>
    <t>MARCO UNIDAD</t>
  </si>
  <si>
    <t>DETALLE DE ANALITICOS</t>
  </si>
  <si>
    <t>REIMPRESION COMPROBANTES DE CUSTODIA</t>
  </si>
  <si>
    <t>Icono</t>
  </si>
  <si>
    <t>account_box</t>
  </si>
  <si>
    <t>edit_attributes</t>
  </si>
  <si>
    <t>work</t>
  </si>
  <si>
    <t>query_stats</t>
  </si>
  <si>
    <t>info</t>
  </si>
  <si>
    <t>Slug</t>
  </si>
  <si>
    <t>print</t>
  </si>
  <si>
    <t>point_of_sale</t>
  </si>
  <si>
    <t>settings</t>
  </si>
  <si>
    <t>account_tree</t>
  </si>
  <si>
    <t>manage_search</t>
  </si>
  <si>
    <t>assessment</t>
  </si>
  <si>
    <t>domain</t>
  </si>
  <si>
    <t>lock</t>
  </si>
  <si>
    <t>description</t>
  </si>
  <si>
    <t>monetization_on</t>
  </si>
  <si>
    <t>money_off</t>
  </si>
  <si>
    <t>cancel_presentation</t>
  </si>
  <si>
    <t>credit_score</t>
  </si>
  <si>
    <t>local_shipping</t>
  </si>
  <si>
    <t>receipt_long</t>
  </si>
  <si>
    <t>calculate</t>
  </si>
  <si>
    <t>credit_card_off</t>
  </si>
  <si>
    <t>edit_document</t>
  </si>
  <si>
    <t>payments</t>
  </si>
  <si>
    <t>swap_horiz</t>
  </si>
  <si>
    <t>assignment_ind</t>
  </si>
  <si>
    <t>security</t>
  </si>
  <si>
    <t>event_available</t>
  </si>
  <si>
    <t>policy</t>
  </si>
  <si>
    <t>note_add</t>
  </si>
  <si>
    <t>output</t>
  </si>
  <si>
    <t>folder_off</t>
  </si>
  <si>
    <t>currency_exchange</t>
  </si>
  <si>
    <t>home_repair_service</t>
  </si>
  <si>
    <t>receipt</t>
  </si>
  <si>
    <t>login</t>
  </si>
  <si>
    <t>today</t>
  </si>
  <si>
    <t>account_balance</t>
  </si>
  <si>
    <t>block</t>
  </si>
  <si>
    <t>list_alt</t>
  </si>
  <si>
    <t>route</t>
  </si>
  <si>
    <t>savings</t>
  </si>
  <si>
    <t>calendar_month</t>
  </si>
  <si>
    <t>pending</t>
  </si>
  <si>
    <t>price_check</t>
  </si>
  <si>
    <t>inbox</t>
  </si>
  <si>
    <t>outbox</t>
  </si>
  <si>
    <t>sort_by_alpha</t>
  </si>
  <si>
    <t>badge</t>
  </si>
  <si>
    <t>sync_alt</t>
  </si>
  <si>
    <t>timer</t>
  </si>
  <si>
    <t>timer_off</t>
  </si>
  <si>
    <t>folder_special</t>
  </si>
  <si>
    <t>event_busy</t>
  </si>
  <si>
    <t>alarm</t>
  </si>
  <si>
    <t>assignment_return</t>
  </si>
  <si>
    <t>fact_check</t>
  </si>
  <si>
    <t>summarize</t>
  </si>
  <si>
    <t>move_to_inbox</t>
  </si>
  <si>
    <t>business</t>
  </si>
  <si>
    <t>cancel</t>
  </si>
  <si>
    <t>calendar_view_day</t>
  </si>
  <si>
    <t>format_list_numbered</t>
  </si>
  <si>
    <t>event_note</t>
  </si>
  <si>
    <t>schedule_send</t>
  </si>
  <si>
    <t>account_balance_wallet</t>
  </si>
  <si>
    <t>send</t>
  </si>
  <si>
    <t>folder_shared</t>
  </si>
  <si>
    <t>check_circle</t>
  </si>
  <si>
    <t>storefront</t>
  </si>
  <si>
    <t>lock_clock</t>
  </si>
  <si>
    <t>corporate_fare</t>
  </si>
  <si>
    <t>map</t>
  </si>
  <si>
    <t>lan</t>
  </si>
  <si>
    <t>schema</t>
  </si>
  <si>
    <t>history_edu</t>
  </si>
  <si>
    <t>tag</t>
  </si>
  <si>
    <t>category</t>
  </si>
  <si>
    <t>compare_arrows</t>
  </si>
  <si>
    <t>handshake</t>
  </si>
  <si>
    <t>verified</t>
  </si>
  <si>
    <t>pie_chart</t>
  </si>
  <si>
    <t>inventory_2</t>
  </si>
  <si>
    <t>trending_up</t>
  </si>
  <si>
    <t>price_change</t>
  </si>
  <si>
    <t>request_quote</t>
  </si>
  <si>
    <t>event</t>
  </si>
  <si>
    <t>paid</t>
  </si>
  <si>
    <t>view_module</t>
  </si>
  <si>
    <t>input</t>
  </si>
  <si>
    <t>update</t>
  </si>
  <si>
    <t>analytics</t>
  </si>
  <si>
    <t>local_hospital</t>
  </si>
  <si>
    <t>Hospital</t>
  </si>
  <si>
    <t>rule</t>
  </si>
  <si>
    <t>memory</t>
  </si>
  <si>
    <t>file_download</t>
  </si>
  <si>
    <t>show_chart</t>
  </si>
  <si>
    <t>add_circle_outline</t>
  </si>
  <si>
    <t>autorenew</t>
  </si>
  <si>
    <t>loop</t>
  </si>
  <si>
    <t>balance</t>
  </si>
  <si>
    <t>menu_book</t>
  </si>
  <si>
    <t>library_books</t>
  </si>
  <si>
    <t>attach_money</t>
  </si>
  <si>
    <t>logout</t>
  </si>
  <si>
    <t>date_range</t>
  </si>
  <si>
    <t>swap_vert</t>
  </si>
  <si>
    <t>insights</t>
  </si>
  <si>
    <t>history</t>
  </si>
  <si>
    <t>call_split</t>
  </si>
  <si>
    <t>assured_workload</t>
  </si>
  <si>
    <t>trending_down</t>
  </si>
  <si>
    <t>monitor_heart</t>
  </si>
  <si>
    <t>candlestick_chart</t>
  </si>
  <si>
    <t>track_changes</t>
  </si>
  <si>
    <t>shopping_cart</t>
  </si>
  <si>
    <t>remove_shopping_cart</t>
  </si>
  <si>
    <t>calendar_view_month</t>
  </si>
  <si>
    <t>build</t>
  </si>
  <si>
    <t>admin_panel_settings</t>
  </si>
  <si>
    <t>mail</t>
  </si>
  <si>
    <t>contact_mail</t>
  </si>
  <si>
    <t>event_repeat</t>
  </si>
  <si>
    <t>lock_open</t>
  </si>
  <si>
    <t xml:space="preserve">CONSOLIDADOS (ENTIDAD ORG EXTERNOS) </t>
  </si>
  <si>
    <t>domain_verification</t>
  </si>
  <si>
    <t>gavel</t>
  </si>
  <si>
    <t>article</t>
  </si>
  <si>
    <t>publish</t>
  </si>
  <si>
    <t>toc</t>
  </si>
  <si>
    <t>group</t>
  </si>
  <si>
    <t>inventory</t>
  </si>
  <si>
    <t>view_list</t>
  </si>
  <si>
    <t>dashboard</t>
  </si>
  <si>
    <t>subdirectory_arrow_right</t>
  </si>
  <si>
    <t>local_activity</t>
  </si>
  <si>
    <t>lock_person</t>
  </si>
  <si>
    <t>enhanced_encryption</t>
  </si>
  <si>
    <t>crop_free</t>
  </si>
  <si>
    <t>filter_center_focus</t>
  </si>
  <si>
    <t>draw</t>
  </si>
  <si>
    <t>edit_note</t>
  </si>
  <si>
    <t>add_task</t>
  </si>
  <si>
    <t>call_received</t>
  </si>
  <si>
    <t>warning_amber</t>
  </si>
  <si>
    <t>comment</t>
  </si>
  <si>
    <t>content_copy</t>
  </si>
  <si>
    <t>file_copy</t>
  </si>
  <si>
    <t>thumb_up</t>
  </si>
  <si>
    <t>domain_add</t>
  </si>
  <si>
    <t>percent</t>
  </si>
  <si>
    <t>post_add</t>
  </si>
  <si>
    <t>transform</t>
  </si>
  <si>
    <t>download</t>
  </si>
  <si>
    <t>manage_history</t>
  </si>
  <si>
    <t>rule_folder</t>
  </si>
  <si>
    <t>format_list_bulleted</t>
  </si>
  <si>
    <t>list</t>
  </si>
  <si>
    <t>edit_calendar</t>
  </si>
  <si>
    <t>stacked_bar_chart</t>
  </si>
  <si>
    <t>money_off_csred</t>
  </si>
  <si>
    <t>request_page</t>
  </si>
  <si>
    <t>warning</t>
  </si>
  <si>
    <t>note_alt</t>
  </si>
  <si>
    <t>text_snippet</t>
  </si>
  <si>
    <t>vertical_align_bottom</t>
  </si>
  <si>
    <t>grid_on</t>
  </si>
  <si>
    <t>local_atm</t>
  </si>
  <si>
    <t>arrow_forward</t>
  </si>
  <si>
    <t>arrow_outward</t>
  </si>
  <si>
    <t>pending_actions</t>
  </si>
  <si>
    <t>waterfall_chart</t>
  </si>
  <si>
    <t>language</t>
  </si>
  <si>
    <t>stacked_line_chart</t>
  </si>
  <si>
    <t>flight_takeoff</t>
  </si>
  <si>
    <t>groups</t>
  </si>
  <si>
    <t>linear_scale</t>
  </si>
  <si>
    <t>task_alt</t>
  </si>
  <si>
    <t>check_box</t>
  </si>
  <si>
    <t>donut_large</t>
  </si>
  <si>
    <t>card_travel</t>
  </si>
  <si>
    <t>people</t>
  </si>
  <si>
    <t>upload_file</t>
  </si>
  <si>
    <t>class</t>
  </si>
  <si>
    <t>how_to_reg</t>
  </si>
  <si>
    <t>commute</t>
  </si>
  <si>
    <t>meeting_room</t>
  </si>
  <si>
    <t>location_city</t>
  </si>
  <si>
    <t>assignment_turned_in</t>
  </si>
  <si>
    <t>data_object</t>
  </si>
  <si>
    <t>integration_instructions</t>
  </si>
  <si>
    <t>flight</t>
  </si>
  <si>
    <t>person_search</t>
  </si>
  <si>
    <t>share_location</t>
  </si>
  <si>
    <t>location_on</t>
  </si>
  <si>
    <t>assignment</t>
  </si>
  <si>
    <t>store</t>
  </si>
  <si>
    <t>folder_open</t>
  </si>
  <si>
    <t>local_printshop</t>
  </si>
  <si>
    <t>flag</t>
  </si>
  <si>
    <t>source</t>
  </si>
  <si>
    <t>snippet_folder</t>
  </si>
  <si>
    <t>shopping_basket</t>
  </si>
  <si>
    <t>checklist_rtl</t>
  </si>
  <si>
    <t>Youtube</t>
  </si>
  <si>
    <t>add_shopping_cart</t>
  </si>
  <si>
    <t>cleaning_services</t>
  </si>
  <si>
    <t>restaurant</t>
  </si>
  <si>
    <t>local_dining</t>
  </si>
  <si>
    <t>content_paste_search</t>
  </si>
  <si>
    <t>hourglass_bottom</t>
  </si>
  <si>
    <t>search</t>
  </si>
  <si>
    <t>set_meal</t>
  </si>
  <si>
    <t>TERMINO DE CURSOS</t>
  </si>
  <si>
    <t>MOVIMIENTOS PRO DECRETO MATRIZ</t>
  </si>
  <si>
    <t>PISO FACH</t>
  </si>
  <si>
    <t>TIPOS DE SIGLAS F.M.S.</t>
  </si>
  <si>
    <t>architecture</t>
  </si>
  <si>
    <t>military_tech</t>
  </si>
  <si>
    <t>public</t>
  </si>
  <si>
    <t>adjust</t>
  </si>
  <si>
    <t>pie_chart_outline</t>
  </si>
  <si>
    <t>donut_small</t>
  </si>
  <si>
    <t>construction</t>
  </si>
  <si>
    <t>link</t>
  </si>
  <si>
    <t>all_inclusive</t>
  </si>
  <si>
    <t>extension</t>
  </si>
  <si>
    <t>science</t>
  </si>
  <si>
    <t>settings_applications</t>
  </si>
  <si>
    <t>delete_sweep</t>
  </si>
  <si>
    <t>manage_accounts</t>
  </si>
  <si>
    <t>supervisor_account</t>
  </si>
  <si>
    <t>border_color</t>
  </si>
  <si>
    <t>verified_user</t>
  </si>
  <si>
    <t>tune</t>
  </si>
  <si>
    <t>library_add</t>
  </si>
  <si>
    <t>credit_card</t>
  </si>
  <si>
    <t>engineering</t>
  </si>
  <si>
    <t>mark_email_unread</t>
  </si>
  <si>
    <t>drafts</t>
  </si>
  <si>
    <t>unsubscribe</t>
  </si>
  <si>
    <t>school</t>
  </si>
  <si>
    <t>edit</t>
  </si>
  <si>
    <t>calendar_today</t>
  </si>
  <si>
    <t>multiple_stop</t>
  </si>
  <si>
    <t>architecture / list_alt / assignment</t>
  </si>
  <si>
    <t>military_tech / request_quote</t>
  </si>
  <si>
    <t>subtitles</t>
  </si>
  <si>
    <t>subject</t>
  </si>
  <si>
    <t>timeline</t>
  </si>
  <si>
    <t>medical_services</t>
  </si>
  <si>
    <t>thumb_down</t>
  </si>
  <si>
    <t>bed</t>
  </si>
  <si>
    <t>home</t>
  </si>
  <si>
    <t>health_and_safety</t>
  </si>
  <si>
    <t>airline_seat_flat</t>
  </si>
  <si>
    <t>medical_information</t>
  </si>
  <si>
    <t>child_care</t>
  </si>
  <si>
    <t>shield_person</t>
  </si>
  <si>
    <t>restore</t>
  </si>
  <si>
    <t>app_registration</t>
  </si>
  <si>
    <t>restore_page</t>
  </si>
  <si>
    <t>search_off</t>
  </si>
  <si>
    <t>person</t>
  </si>
  <si>
    <t>book</t>
  </si>
  <si>
    <t>GENERA DESCUENTOS MENSUALES</t>
  </si>
  <si>
    <t>FORMULACION DESCUENTOS PERSONAL FACH</t>
  </si>
  <si>
    <t>INGRESOS DE DESCUENTOS BATCH (NUMERO DE RUT)</t>
  </si>
  <si>
    <t>ANULA DESCUENTOS MASIVOS</t>
  </si>
  <si>
    <t>label</t>
  </si>
  <si>
    <t>shield</t>
  </si>
  <si>
    <t>file_upload</t>
  </si>
  <si>
    <t>download_for_offline</t>
  </si>
  <si>
    <t>playlist_add</t>
  </si>
  <si>
    <t>recent_actors</t>
  </si>
  <si>
    <t>filter_1</t>
  </si>
  <si>
    <t>filter_9_plus</t>
  </si>
  <si>
    <t>qr_code</t>
  </si>
  <si>
    <t>functions</t>
  </si>
  <si>
    <t>qr_code_2</t>
  </si>
  <si>
    <t>error_outline</t>
  </si>
  <si>
    <t>CUENTA CORRIENTE</t>
  </si>
  <si>
    <t>PROVEEDOR</t>
  </si>
  <si>
    <t>MOVIMIENTO</t>
  </si>
  <si>
    <t>FAMILIA</t>
  </si>
  <si>
    <t>PRODUCCION</t>
  </si>
  <si>
    <t>MINUTAS</t>
  </si>
  <si>
    <t>VALES</t>
  </si>
  <si>
    <t>TOMA DE EXISTENCIA</t>
  </si>
  <si>
    <t>CENTRO DE CONSUMO</t>
  </si>
  <si>
    <t>VENTAS</t>
  </si>
  <si>
    <t>warehouse</t>
  </si>
  <si>
    <t>add_box</t>
  </si>
  <si>
    <t>soup_kitchen</t>
  </si>
  <si>
    <t>flatware</t>
  </si>
  <si>
    <t>fastfood</t>
  </si>
  <si>
    <t>restaurant_menu</t>
  </si>
  <si>
    <t>sports_soccer</t>
  </si>
  <si>
    <t>title</t>
  </si>
  <si>
    <t>looks_one</t>
  </si>
  <si>
    <t>keyboard_return</t>
  </si>
  <si>
    <t>u_turn_left</t>
  </si>
  <si>
    <t>delete</t>
  </si>
  <si>
    <t>assignment_late</t>
  </si>
  <si>
    <t>sports</t>
  </si>
  <si>
    <t>room_service</t>
  </si>
  <si>
    <t>view_in_ar</t>
  </si>
  <si>
    <t>difference</t>
  </si>
  <si>
    <t>add_circle</t>
  </si>
  <si>
    <t>view_week</t>
  </si>
  <si>
    <t>sell</t>
  </si>
  <si>
    <t>PLANILLAS FISCAL</t>
  </si>
  <si>
    <t>PLANILLAS EXTRA</t>
  </si>
  <si>
    <t>loyalty</t>
  </si>
  <si>
    <t>add_road</t>
  </si>
  <si>
    <t>INGRESO HISTORICO TERRENOS</t>
  </si>
  <si>
    <t>INGRESO HISTORICO EDIFICACIONES</t>
  </si>
  <si>
    <t>ACTIVO FIJO TERRENOS</t>
  </si>
  <si>
    <t>ACTIVO FIJO EDIFICACIONES</t>
  </si>
  <si>
    <t>ACTUALIZACON ANUAL TERRENOS</t>
  </si>
  <si>
    <t>ACTUALIZACON Y DEPRECIACION ANUAL EDIFICACIONES</t>
  </si>
  <si>
    <t>PARAMETROS</t>
  </si>
  <si>
    <t>landscape</t>
  </si>
  <si>
    <t>folder</t>
  </si>
  <si>
    <t>house</t>
  </si>
  <si>
    <t>hardware</t>
  </si>
  <si>
    <t>gps_fixed</t>
  </si>
  <si>
    <t>explore</t>
  </si>
  <si>
    <t>add_location</t>
  </si>
  <si>
    <t>wrong_location</t>
  </si>
  <si>
    <t>domain_disabled</t>
  </si>
  <si>
    <t>RELACION ALTA DE TERRENOS</t>
  </si>
  <si>
    <t>FICHA EDIFICACION ESPECIFICA</t>
  </si>
  <si>
    <t>RELACION BAJA DE EDIFICACIONES</t>
  </si>
  <si>
    <t>RECEPCIONES</t>
  </si>
  <si>
    <t>REQUERIMIENTOS POR ORDEN DE COMPRA</t>
  </si>
  <si>
    <t>POR FECHAS DE ANULACIÓN</t>
  </si>
  <si>
    <t>POR FECHA DE INGRESO</t>
  </si>
  <si>
    <t>POR PROYECTO</t>
  </si>
  <si>
    <t>POR EMBARCADORA</t>
  </si>
  <si>
    <t>ORDEN DE COMPRA ESPECIFICA</t>
  </si>
  <si>
    <t>DE ORDENES DE COMPRA</t>
  </si>
  <si>
    <t>RELACIÓN DE ADJUDICACIÓN</t>
  </si>
  <si>
    <t>ADJUDICACIONES</t>
  </si>
  <si>
    <t>REQUERIMIENTOS</t>
  </si>
  <si>
    <t>REQUERIMIENTO ESPECÍFICO</t>
  </si>
  <si>
    <t>RELACIÓN DE REQTOS SIN ADQUIRIR</t>
  </si>
  <si>
    <t>COTIZACIONES POR SOLICITUD</t>
  </si>
  <si>
    <t>SITUACIÓN DE COTIZACIONES</t>
  </si>
  <si>
    <t>COTIZACIONES POR FECHA DE VENCIMIENTO</t>
  </si>
  <si>
    <t>MEMOS</t>
  </si>
  <si>
    <t>DE PROVEEDORES</t>
  </si>
  <si>
    <t>ACTAS DE RECEPCIÓN</t>
  </si>
  <si>
    <t>ACTA DE RECEPCIÓN ESPECÍFICA</t>
  </si>
  <si>
    <t>RELACIÓN DE ACTAS POR FECHA</t>
  </si>
  <si>
    <t>ANTECEDENTES PERSONALES</t>
  </si>
  <si>
    <t>INDICE DE PROVEEDORES X CENTRO COMPRAS</t>
  </si>
  <si>
    <t>INDICE DE PROVEEDORES X NOMBRE</t>
  </si>
  <si>
    <t>DE MEMO ESPECÍFICO</t>
  </si>
  <si>
    <t>DE MEMOS POR TAREAS</t>
  </si>
  <si>
    <t>DE MEMOS POR CUENTA</t>
  </si>
  <si>
    <t>DE MEMOS POR PROYECTO</t>
  </si>
  <si>
    <t>DE MEMOS POR CASOS F.M.S.</t>
  </si>
  <si>
    <t>DE REQUERIMIENTOS POR MEMOS</t>
  </si>
  <si>
    <t>DE ORDENES DE COMPRA POR MEMO</t>
  </si>
  <si>
    <t>POR CUENTA</t>
  </si>
  <si>
    <t>POR TAREA</t>
  </si>
  <si>
    <t>POR CASOS F.M.S.</t>
  </si>
  <si>
    <t>POR REQUERIMIENTO</t>
  </si>
  <si>
    <t>POR ORDEN DE COMPRA</t>
  </si>
  <si>
    <t>POR FACTURA</t>
  </si>
  <si>
    <t>POR GUIA</t>
  </si>
  <si>
    <t>DE ALTAS FISICAS POR FECHA</t>
  </si>
  <si>
    <t>DE GUIAS DE UN REQUERIMIENTO</t>
  </si>
  <si>
    <t>PROVEEDORES POR PRODUCTOS</t>
  </si>
  <si>
    <t>PROVEEDORES POR NOMBRE</t>
  </si>
  <si>
    <t>LISTADO SOL. INCOMPLETAS POR ADJUDICAR</t>
  </si>
  <si>
    <t>ANALISIS DE RETRASOS</t>
  </si>
  <si>
    <t>SOLICITUDES DE BIENES</t>
  </si>
  <si>
    <t>COMPOSICIÓN DE SOLICITUDES</t>
  </si>
  <si>
    <t>ESTADO DE SOLICITUDES</t>
  </si>
  <si>
    <t>SOLICITUDES POR ENCARGO</t>
  </si>
  <si>
    <t>SOLICITUDES POR PRIORIDAD</t>
  </si>
  <si>
    <t>LISTADO DE COTIZACIONES PENDIENTES</t>
  </si>
  <si>
    <t>FECHA DE RECEPCIÓN MATERIALES</t>
  </si>
  <si>
    <t>ORDENES VENCIDAS</t>
  </si>
  <si>
    <t>COTIZACIONES VENCIDAS</t>
  </si>
  <si>
    <t>RELACIÓN ITEM POR TAREA</t>
  </si>
  <si>
    <t>INGRESO SOLICITUDES</t>
  </si>
  <si>
    <t>EMISIÓN DE SOLICITUDES</t>
  </si>
  <si>
    <t>ADJUDICACIÓN</t>
  </si>
  <si>
    <t>RECEPCIONES CDO. LOG./MAW</t>
  </si>
  <si>
    <t>ALTAS FISICAS</t>
  </si>
  <si>
    <t>GRUPO DE ABASTECIMIENTO</t>
  </si>
  <si>
    <t>directions_boat</t>
  </si>
  <si>
    <t>playlist_add_check</t>
  </si>
  <si>
    <t>import_export</t>
  </si>
  <si>
    <t>task</t>
  </si>
  <si>
    <t>assignment_returned</t>
  </si>
  <si>
    <t>Codigo_Tecnico</t>
  </si>
  <si>
    <t>Etiqueta</t>
  </si>
  <si>
    <t>Tipo_Nodo</t>
  </si>
  <si>
    <t>Codigo_Padre</t>
  </si>
  <si>
    <t>Ruta_Web</t>
  </si>
  <si>
    <t>OBJ_ATTR</t>
  </si>
  <si>
    <t>ROL_DIGITADOR</t>
  </si>
  <si>
    <t>ROL_PERSONAL</t>
  </si>
  <si>
    <t>ROL_BODEGUERO</t>
  </si>
  <si>
    <t>ROL_CONSULTOR</t>
  </si>
  <si>
    <t>ROL_CONTRATO</t>
  </si>
  <si>
    <t>ROL_DAF</t>
  </si>
  <si>
    <t>ROL_DIRFIN</t>
  </si>
  <si>
    <t>ROL_DIVEDU</t>
  </si>
  <si>
    <t>ROL_FLUJOCAJA</t>
  </si>
  <si>
    <t>ROL_AGREGADURIA</t>
  </si>
  <si>
    <t>Administrador</t>
  </si>
  <si>
    <t>ROL_SUPER</t>
  </si>
  <si>
    <t>ROL_MAW</t>
  </si>
  <si>
    <t>ROL_SIAPER</t>
  </si>
  <si>
    <t>ROL_MAYORDOMO</t>
  </si>
  <si>
    <t>ROL_NUTRI</t>
  </si>
  <si>
    <t>Código</t>
  </si>
  <si>
    <t>Importaciones, aduanas y logística internacional.</t>
  </si>
  <si>
    <t>Módulo principal de libros mayores, balances y registro contable gubernamental.</t>
  </si>
  <si>
    <t>Módulo de formulación, ejecución y control del presupuesto institucional.</t>
  </si>
  <si>
    <t>Sistema de conciliación bancaria y control de cheques.</t>
  </si>
  <si>
    <t>Control de ingresos, egresos, fondos en administración y recaudación.</t>
  </si>
  <si>
    <t>Control y tramitación de resoluciones, decretos de pago o administrativos.</t>
  </si>
  <si>
    <t>Plataforma de gestión del ciclo de adquisiciones (solicitudes, órdenes de compra).</t>
  </si>
  <si>
    <t>Gestión logística específica de insumos médicos y alimentación/raciones.</t>
  </si>
  <si>
    <t>Tramitación, cálculo y control de licencias médicas.</t>
  </si>
  <si>
    <t>Cálculo, aprobación y pago de comisiones de servicio dentro del país.</t>
  </si>
  <si>
    <t>Comisiones de servicio internacionales (cálculo en divisas, pasajes, asignaciones).</t>
  </si>
  <si>
    <t>Módulo de descuentos</t>
  </si>
  <si>
    <t>Gestión de obras, mantenimiento de instalaciones y bienes raíces.</t>
  </si>
  <si>
    <t>Nombre División</t>
  </si>
  <si>
    <t>Código Division</t>
  </si>
  <si>
    <t>Restringe la visión a la gestión contable o administrativa exclusiva del Hospital Institucional (Ej. aislar la contabilidad del hospital del resto del servicio de salud).</t>
  </si>
  <si>
    <t>Atributo para restringir el alcance de un usuario (ej. operador de licencias) solo a su base o escuadrilla específica.</t>
  </si>
  <si>
    <t>Unidades Base</t>
  </si>
  <si>
    <t>Escuela de Formación</t>
  </si>
  <si>
    <t>Nivel Central / General</t>
  </si>
  <si>
    <t>Centro de Procesamiento</t>
  </si>
  <si>
    <t>Recepción/Actas</t>
  </si>
  <si>
    <t>Filtro poblacional para gestionar bienestar, alimentación o salud exclusivamente del cuerpo de cadetes/alumnos, separado del personal de planta.</t>
  </si>
  <si>
    <t>Atributo que otorga jurisdicción sobre datos consolidados de toda la institución, por sobre las unidades periféricas.</t>
  </si>
  <si>
    <t>Unidad centralizada de digitación o control de expedientes.</t>
  </si>
  <si>
    <t>Sub-división operativa para usuarios de Compras o Logística cuya única labor autorizada es la recepción conforme de bienes.</t>
  </si>
  <si>
    <t>ROL_ANALI</t>
  </si>
  <si>
    <t>ROL_AUDIT</t>
  </si>
  <si>
    <t>ROL_CDTE</t>
  </si>
  <si>
    <t>ROL_COMP</t>
  </si>
  <si>
    <t>ROL_CONSOLI</t>
  </si>
  <si>
    <t>ROL_JEFE_ABAT</t>
  </si>
  <si>
    <t>ROL_JEFE_ADQ</t>
  </si>
  <si>
    <t>ROL_JEFE_CONT</t>
  </si>
  <si>
    <t>ROL_JEFE_FIN</t>
  </si>
  <si>
    <t>ROL_LOGIS</t>
  </si>
  <si>
    <t>ROL_JEFE</t>
  </si>
  <si>
    <t>ROL_OPER</t>
  </si>
  <si>
    <t>ROL_UI</t>
  </si>
  <si>
    <t>PRESP</t>
  </si>
  <si>
    <t>INFRA</t>
  </si>
  <si>
    <t>ALIME</t>
  </si>
  <si>
    <t>COMPR</t>
  </si>
  <si>
    <t>COMEX</t>
  </si>
  <si>
    <t>CONCI</t>
  </si>
  <si>
    <t>CONTA</t>
  </si>
  <si>
    <t>DECRE</t>
  </si>
  <si>
    <t>DESCU</t>
  </si>
  <si>
    <t>LIMED</t>
  </si>
  <si>
    <t>VMEXT</t>
  </si>
  <si>
    <t>VMNAC</t>
  </si>
  <si>
    <t>ROL_AYU</t>
  </si>
  <si>
    <t>ROL_MEMO</t>
  </si>
  <si>
    <t>ROL_CONTA</t>
  </si>
  <si>
    <t>id_anterior</t>
  </si>
  <si>
    <t>Id_anterior</t>
  </si>
  <si>
    <t>ROL_RRHH</t>
  </si>
  <si>
    <t>Estado</t>
  </si>
  <si>
    <t>ok</t>
  </si>
  <si>
    <t>ROL_PRESUPUESTO</t>
  </si>
  <si>
    <t>ROL_GESTION</t>
  </si>
  <si>
    <t>Categoría</t>
  </si>
  <si>
    <t>Nuevo Rol Base Único</t>
  </si>
  <si>
    <t>Análisis</t>
  </si>
  <si>
    <t>Auditoría</t>
  </si>
  <si>
    <t>Supervisión</t>
  </si>
  <si>
    <t>Consolidación</t>
  </si>
  <si>
    <t>Compradores</t>
  </si>
  <si>
    <t>Roles Antiguos</t>
  </si>
  <si>
    <t>Ok</t>
  </si>
  <si>
    <t>Módulo</t>
  </si>
  <si>
    <t>División</t>
  </si>
  <si>
    <t>GRAL</t>
  </si>
  <si>
    <t>CADETE</t>
  </si>
  <si>
    <t>ACTA</t>
  </si>
  <si>
    <t>VTAS</t>
  </si>
  <si>
    <t>Jefatura (Abastecimiento)</t>
  </si>
  <si>
    <t>Jefatura (Adquisiciones)</t>
  </si>
  <si>
    <t>Jefatura (Contabilidad)</t>
  </si>
  <si>
    <t>HOSP</t>
  </si>
  <si>
    <t>Jefatura (Finanzas)</t>
  </si>
  <si>
    <t>Jefatura (General)</t>
  </si>
  <si>
    <t>LEY</t>
  </si>
  <si>
    <t>UI</t>
  </si>
  <si>
    <t>CP</t>
  </si>
  <si>
    <t>UNI</t>
  </si>
  <si>
    <t>Logística / Actas</t>
  </si>
  <si>
    <t>ROL_ACTA</t>
  </si>
  <si>
    <t>Operativos/Digitación</t>
  </si>
  <si>
    <t>COMI</t>
  </si>
  <si>
    <t>Gestión Personal / RRHH</t>
  </si>
  <si>
    <t>SEC</t>
  </si>
  <si>
    <t>Comandantes/Directores</t>
  </si>
  <si>
    <t>Especialistas / Varios</t>
  </si>
  <si>
    <t>PROY</t>
  </si>
  <si>
    <t>SISA</t>
  </si>
  <si>
    <t>SANI</t>
  </si>
  <si>
    <t>Foreign Military Sales</t>
  </si>
  <si>
    <t>Atributo que restringe la operación exclusivamente a la administración, contratos y adquisiciones bajo el programa de ventas militares extranjeras.</t>
  </si>
  <si>
    <t>Proyectos</t>
  </si>
  <si>
    <t>División para la jurisdicción, control financiero y seguimiento de avance de proyectos institucionales de inversión.</t>
  </si>
  <si>
    <t>Ventas</t>
  </si>
  <si>
    <t>Sub-división operativa enfocada en el análisis, control de recaudación y operaciones de caja generadas por ventas.</t>
  </si>
  <si>
    <t>Legal / Cumplimiento</t>
  </si>
  <si>
    <t>Atributo que otorga jurisdicción específica para la supervisión contable y el aseguramiento del cumplimiento normativo y legal.</t>
  </si>
  <si>
    <t>Unidades Internas</t>
  </si>
  <si>
    <t>Filtro que restringe el alcance a la coordinación, tramitación y supervisión de procesos administrativos (ej. viáticos) dentro de unidades internas específicas.</t>
  </si>
  <si>
    <t>Comisiones</t>
  </si>
  <si>
    <t>Filtro para la gestión, control y digitación enfocada estrictamente en comisiones de servicio institucionales o de bienestar.</t>
  </si>
  <si>
    <t>Sanidad</t>
  </si>
  <si>
    <t>División operativa enfocada en la gestión logística, control de insumos y administración de centros de sanidad básica o periférica.</t>
  </si>
  <si>
    <t>Sistema de Salud</t>
  </si>
  <si>
    <t>Atributo integral para la gestión centralizada de prestaciones, personal y recursos de la red de salud institucional.</t>
  </si>
  <si>
    <t>Secretaría</t>
  </si>
  <si>
    <t>Sub-división administrativa configurada para centralizar la recepción, tramitación y derivación documental (ej. licencias médicas) a nivel de secretaría.</t>
  </si>
  <si>
    <t>Finanzas Centrales</t>
  </si>
  <si>
    <t>Restringe la visión al control macroeconómico, programación de pagos y consolidación de flujos de caja a nivel de la dirección central.</t>
  </si>
  <si>
    <t>FNZS</t>
  </si>
  <si>
    <t>AUDITAR</t>
  </si>
  <si>
    <t>Administrativo</t>
  </si>
  <si>
    <t>ROL_ADMVO</t>
  </si>
  <si>
    <t>CONSO</t>
  </si>
  <si>
    <t>MANTENIMIENTO APROBACIÓN</t>
  </si>
  <si>
    <t>MANTENIMIENTO CLASIFICACIÓN</t>
  </si>
  <si>
    <t>MANTENIMIENTO CUENTAS DE ACTIVO</t>
  </si>
  <si>
    <t>MANTENIMIENTO CUENTAS DE PASIVO</t>
  </si>
  <si>
    <t>MANTENIMIENTO CUENTAS DE ESTADO DE FLUJO</t>
  </si>
  <si>
    <t>MANTENIMIENTO CUENTAS DE RESULTADO</t>
  </si>
  <si>
    <t>MANTENIMIENTO FACTOR DE ACTUALIZACIÓN</t>
  </si>
  <si>
    <t>HOMOLOGACIÓN</t>
  </si>
  <si>
    <t>MANTENIMIENTO CUENTAS DE CORREO SIGFE</t>
  </si>
  <si>
    <t>MANTENIMIENTO REGLAS EXTERNAS</t>
  </si>
  <si>
    <t>DE COMPROMISO</t>
  </si>
  <si>
    <t>DE DEVENGO</t>
  </si>
  <si>
    <t>DE EFECTIVO</t>
  </si>
  <si>
    <t>DE CONTABILIDAD</t>
  </si>
  <si>
    <t>DE CARTERA CONTABLE</t>
  </si>
  <si>
    <t>MANTENIMIENTO REGLAS INTERNAS</t>
  </si>
  <si>
    <t>PREPARA INFORMACIÓN BALANCE CONSOLIDADO</t>
  </si>
  <si>
    <t>HOJA DE TRABAJO BALANCE CONSOLIDADO</t>
  </si>
  <si>
    <t>ANEXO NRO 1 FACH</t>
  </si>
  <si>
    <t>ANEXO NRO 2 PAF</t>
  </si>
  <si>
    <t>ANEXO NRO 3 SALUD</t>
  </si>
  <si>
    <t>ENTIDAD 003</t>
  </si>
  <si>
    <t>ENTIDAD 020</t>
  </si>
  <si>
    <t>ANEXO NRO 4 SAF</t>
  </si>
  <si>
    <t>REGLAS FUNCIONALES INTERNAS</t>
  </si>
  <si>
    <t>VALIDACIONES TABLAS SIGFE</t>
  </si>
  <si>
    <t>CONSISTENCIA DE ARCHIVO CT-DV-EF</t>
  </si>
  <si>
    <t>CONSISTENCIA DE ARCHIVO CT-CCT</t>
  </si>
  <si>
    <t>DEBITOS 115 CREDITOS 215 / SALDOS CONCEPTO PPTO</t>
  </si>
  <si>
    <t>GENERA ARCHIVO SIGFE 2</t>
  </si>
  <si>
    <t>REGLAS EXTERNAS SIGFE 2</t>
  </si>
  <si>
    <t>ENVIA ARCHIVO SIGFE 2</t>
  </si>
  <si>
    <t>ELIMINA ARCHIVO SIGFE 2</t>
  </si>
  <si>
    <t>HOJA DE TRABAJO</t>
  </si>
  <si>
    <t>PROYECTO</t>
  </si>
  <si>
    <t>EJECUCIÓN UNIDAD</t>
  </si>
  <si>
    <t>EJECUCIÓN UNIDADES INTERNAS</t>
  </si>
  <si>
    <t>EJECUCIÓN COMPLETA</t>
  </si>
  <si>
    <t>ESTADOS FINANCIEROS CONSOLIDADOS</t>
  </si>
  <si>
    <t>BALANCE GENERAL Y ESTADO RESULTADO</t>
  </si>
  <si>
    <t>ESTADO DE FLUJO EFECTIVO</t>
  </si>
  <si>
    <t>ESTADO SITUACIÓN PRESUPUESTARIA</t>
  </si>
  <si>
    <t>ESTADO DE VARIACIÓN DE FONDOS NO PRESUPUESTARIOS</t>
  </si>
  <si>
    <t>ESTADO DE CAMBIO EN EL PATRIMONIO</t>
  </si>
  <si>
    <t>COMPROMISOS Y PAGOS COVID (19) - CGR</t>
  </si>
  <si>
    <t>Ejecución de Archivos SIGFE</t>
  </si>
  <si>
    <t>ROL_ADM_CONSO</t>
  </si>
  <si>
    <t>pivot_table_chart</t>
  </si>
  <si>
    <t>flaky</t>
  </si>
  <si>
    <t>plumbing</t>
  </si>
  <si>
    <t>delete_forever</t>
  </si>
  <si>
    <t>file_present</t>
  </si>
  <si>
    <t>done_all</t>
  </si>
  <si>
    <t>real_estate_agent</t>
  </si>
  <si>
    <t>coronavirus</t>
  </si>
  <si>
    <t>assignment_add</t>
  </si>
  <si>
    <t>ROL_SYSADMIN</t>
  </si>
  <si>
    <t>ROL_DEV</t>
  </si>
  <si>
    <t>Desarrollador</t>
  </si>
  <si>
    <t>Datos Financieros Restringidos</t>
  </si>
  <si>
    <t>POLICY_CONFIDENCIALIDAD</t>
  </si>
  <si>
    <t>NIVEL_RESTRINGIDO</t>
  </si>
  <si>
    <t>Datos Uso Interno</t>
  </si>
  <si>
    <t>NIVEL_INTERNO</t>
  </si>
  <si>
    <t>Datos Públicos</t>
  </si>
  <si>
    <t>NIVEL_PUBLICO</t>
  </si>
  <si>
    <t>Horario Extendido (24/7)</t>
  </si>
  <si>
    <t>POLICY_HORARIO</t>
  </si>
  <si>
    <t>HORARIO_EXTENDIDO</t>
  </si>
  <si>
    <t>Horario Hábil (Lu-Vi 09-18)</t>
  </si>
  <si>
    <t>HORARIO_OFICINA</t>
  </si>
  <si>
    <t>Política de Clasificación de Datos</t>
  </si>
  <si>
    <t>POLICY</t>
  </si>
  <si>
    <t>Política de Franjas Horarias</t>
  </si>
  <si>
    <t>Política de Interfaz y Roles</t>
  </si>
  <si>
    <t>POLICY_MENU</t>
  </si>
  <si>
    <t>Tipo</t>
  </si>
  <si>
    <t>Padre</t>
  </si>
  <si>
    <t>Permiso para ver</t>
  </si>
  <si>
    <t>Permiso para crear</t>
  </si>
  <si>
    <t>Permiso para editar</t>
  </si>
  <si>
    <t>Permiso para eliminar</t>
  </si>
  <si>
    <t>Permiso para ejecutar</t>
  </si>
  <si>
    <t>Permiso para exportar</t>
  </si>
  <si>
    <t>Permiso para aprobar</t>
  </si>
  <si>
    <t>Permiso para auditar</t>
  </si>
  <si>
    <t>Permiso para imprimir</t>
  </si>
  <si>
    <t>Permiso para descargar</t>
  </si>
  <si>
    <t>Rol Administrativo</t>
  </si>
  <si>
    <t>Rol Analista</t>
  </si>
  <si>
    <t>Rol Auditor</t>
  </si>
  <si>
    <t>Rol Jefe Abastecimiento</t>
  </si>
  <si>
    <t>Rol Jefe Adquisiciones</t>
  </si>
  <si>
    <t>Rol Jefe Contabilidad</t>
  </si>
  <si>
    <t>Rol Jefe Finanzas</t>
  </si>
  <si>
    <t>Rol Jefe</t>
  </si>
  <si>
    <t>Rol Supervisor</t>
  </si>
  <si>
    <t>Rol Consolidador</t>
  </si>
  <si>
    <t>Rol Comprador</t>
  </si>
  <si>
    <t>Rol Logístico</t>
  </si>
  <si>
    <t>Rol Encargado Actas</t>
  </si>
  <si>
    <t>Rol Digitador</t>
  </si>
  <si>
    <t>Rol Operador</t>
  </si>
  <si>
    <t>Rol Ayudante</t>
  </si>
  <si>
    <t>Rol Personal</t>
  </si>
  <si>
    <t>Rol Recursos Humanos</t>
  </si>
  <si>
    <t>Rol Gestión Contable</t>
  </si>
  <si>
    <t>Rol Comandante</t>
  </si>
  <si>
    <t>Rol Dirección de Finanzas</t>
  </si>
  <si>
    <t>Rol Dir. Admin. y Finanzas</t>
  </si>
  <si>
    <t>Rol Gestión Agregadurías Extranjeras</t>
  </si>
  <si>
    <t>Rol Bodeguero</t>
  </si>
  <si>
    <t>Rol Consultor Externo</t>
  </si>
  <si>
    <t>Rol Gestor Contratos</t>
  </si>
  <si>
    <t>Rol División de Educación</t>
  </si>
  <si>
    <t>Rol Gestión Flujo Caja</t>
  </si>
  <si>
    <t>Rol Gestión de Presupuesto</t>
  </si>
  <si>
    <t>Rol Sistema MAW</t>
  </si>
  <si>
    <t>Rol Mayordomía</t>
  </si>
  <si>
    <t>Rol Gestor de Memorándums</t>
  </si>
  <si>
    <t>Rol Nutricionista</t>
  </si>
  <si>
    <t>Rol Presupuesto</t>
  </si>
  <si>
    <t>Rol Integración SIAPER</t>
  </si>
  <si>
    <t>Rol Encargado Unidad Interna</t>
  </si>
  <si>
    <t>Rol Consulta / CF</t>
  </si>
  <si>
    <t>Rol Entidad Externa</t>
  </si>
  <si>
    <t>ADMIN</t>
  </si>
  <si>
    <t>Rol Administrador del Sistema</t>
  </si>
  <si>
    <t>Rol Desarrollador</t>
  </si>
  <si>
    <t>FLUJO CAJA</t>
  </si>
  <si>
    <t>Columna1</t>
  </si>
  <si>
    <t>Codigo</t>
  </si>
  <si>
    <t>Nombre</t>
  </si>
  <si>
    <t>Rol</t>
  </si>
  <si>
    <t>AS</t>
  </si>
  <si>
    <t>Alessandro Schiaffino</t>
  </si>
  <si>
    <t>Developers</t>
  </si>
  <si>
    <t>JE</t>
  </si>
  <si>
    <t>José Espinoza</t>
  </si>
  <si>
    <t>IL</t>
  </si>
  <si>
    <t>Italia Lopez</t>
  </si>
  <si>
    <t>CG</t>
  </si>
  <si>
    <t>Cristian García</t>
  </si>
  <si>
    <t>GP</t>
  </si>
  <si>
    <t>Gerardo Paiva</t>
  </si>
  <si>
    <t>ON</t>
  </si>
  <si>
    <t>Oscar Neira</t>
  </si>
  <si>
    <t>Technical Lead</t>
  </si>
  <si>
    <t>Encargado</t>
  </si>
  <si>
    <t>ADMINISTRACION</t>
  </si>
  <si>
    <t>Módulo de Administración</t>
  </si>
  <si>
    <t>Validacion</t>
  </si>
  <si>
    <t>USU_ATTR</t>
  </si>
  <si>
    <t>OBJETO</t>
  </si>
  <si>
    <t>Validación</t>
  </si>
  <si>
    <t>Responsable</t>
  </si>
  <si>
    <t>Políticas de Acceso</t>
  </si>
  <si>
    <t>USUARIO</t>
  </si>
  <si>
    <t>Atributos de Usuario (Roles)</t>
  </si>
  <si>
    <t>Usuarios del Sistema</t>
  </si>
  <si>
    <t>Atributos de Objeto</t>
  </si>
  <si>
    <t>Objetos/Recursos (Menú)</t>
  </si>
  <si>
    <t>hub</t>
  </si>
  <si>
    <t>Nodos</t>
  </si>
  <si>
    <t>Tipos de Nodos</t>
  </si>
  <si>
    <t>Jerarquía</t>
  </si>
  <si>
    <t>Roles Permisos</t>
  </si>
  <si>
    <t>Operaciones</t>
  </si>
  <si>
    <t>settings_suggest</t>
  </si>
  <si>
    <t>Roles</t>
  </si>
  <si>
    <t>Matriz de Permisos</t>
  </si>
  <si>
    <t>LEY DE PPTO</t>
  </si>
  <si>
    <t>🛡️ Auditoría y Seguridad (Nuevos)</t>
  </si>
  <si>
    <t>📊 Dashboard y Estadísticas</t>
  </si>
  <si>
    <t>🌳 Jerarquía y Árbol</t>
  </si>
  <si>
    <t>📍 Gestión de Nodos (Recursos)</t>
  </si>
  <si>
    <t>👥 Gestión de Roles</t>
  </si>
  <si>
    <t>🔗 Enlaces y Relaciones</t>
  </si>
  <si>
    <t>🔑 Permisos y Operaciones</t>
  </si>
  <si>
    <t>📜 Sistema y Logs</t>
  </si>
  <si>
    <t>/api/v1/admin/</t>
  </si>
  <si>
    <t>Obtiene los roles con acceso a un nodo (vía ID).</t>
  </si>
  <si>
    <t>URL</t>
  </si>
  <si>
    <t>Método</t>
  </si>
  <si>
    <t>/api/v1/admin/sec/roles-by-node?id=XXX</t>
  </si>
  <si>
    <t>/api/v1/admin/ping</t>
  </si>
  <si>
    <t>Comprobación de estado del backend.</t>
  </si>
  <si>
    <t>/api/v1/admin/modulos-raiz</t>
  </si>
  <si>
    <t>/api/v1/admin/politicas-raiz</t>
  </si>
  <si>
    <t>/api/v1/admin/dashboard/stats</t>
  </si>
  <si>
    <t>Obtiene los módulos raíz del sistema.</t>
  </si>
  <si>
    <t>Obtiene las políticas raíz.</t>
  </si>
  <si>
    <t>Estadísticas generales (conteos de nodos, roles, etc.).</t>
  </si>
  <si>
    <t>GET</t>
  </si>
  <si>
    <t>POST</t>
  </si>
  <si>
    <t>/api/v1/admin/tree/simulate</t>
  </si>
  <si>
    <t>Obtiene el árbol completo para el explorador.</t>
  </si>
  <si>
    <t>Simulación de acceso NGAC sobre el árbol.</t>
  </si>
  <si>
    <t>DELETE</t>
  </si>
  <si>
    <t>/api/v1/admin/nodos</t>
  </si>
  <si>
    <t>/api/v1/admin/nodos/:codigo</t>
  </si>
  <si>
    <t>/api/v1/admin/nodos/tipos</t>
  </si>
  <si>
    <t>Lista todos los nodos.</t>
  </si>
  <si>
    <t>Crear o actualizar un nodo.</t>
  </si>
  <si>
    <t>Eliminar (desactivar) un nodo.</t>
  </si>
  <si>
    <t>Tipos de nodos disponibles.</t>
  </si>
  <si>
    <t>PUT</t>
  </si>
  <si>
    <t>/api/v1/admin/roles</t>
  </si>
  <si>
    <t>/api/v1/admin/roles:id</t>
  </si>
  <si>
    <t>Lista todos los roles.</t>
  </si>
  <si>
    <t>Crear rol.</t>
  </si>
  <si>
    <t>Actualizar rol.</t>
  </si>
  <si>
    <t>Eliminar rol.</t>
  </si>
  <si>
    <t>/api/v1/admin/enlaces</t>
  </si>
  <si>
    <t>/api/v1/admin/enlaces/:padre/:hijo</t>
  </si>
  <si>
    <t>Lista todas las asociaciones padre-hijo.</t>
  </si>
  <si>
    <t>Crea un nuevo vínculo jerárquico.</t>
  </si>
  <si>
    <t>Elimina un vínculo.</t>
  </si>
  <si>
    <t>/api/v1/admin/permisos</t>
  </si>
  <si>
    <t>/api/v1/admin/operaciones</t>
  </si>
  <si>
    <t>/api/v1/admin/logs</t>
  </si>
  <si>
    <t>Consulta de permisos asignados.</t>
  </si>
  <si>
    <t>Otorgar un permiso (Asociación).</t>
  </si>
  <si>
    <t>Crear una prohibición explícita.</t>
  </si>
  <si>
    <t>Revocar un permiso.</t>
  </si>
  <si>
    <t>Lista operaciones disponibles (VER, EDITAR, etc.).</t>
  </si>
  <si>
    <t>Consulta logs de errores del motor NGAC.</t>
  </si>
  <si>
    <t>Limpiar historial de logs.</t>
  </si>
  <si>
    <t>Carga las clases de política (PC) de alto nivel.</t>
  </si>
  <si>
    <t>Id_Rol</t>
  </si>
  <si>
    <t>POLICY_ATTR</t>
  </si>
  <si>
    <t>Atributos de Políticas de Accesos (Policy)</t>
  </si>
  <si>
    <t>POLICY_HOSP</t>
  </si>
  <si>
    <t>Política del Hospital</t>
  </si>
  <si>
    <t>Tablero</t>
  </si>
  <si>
    <t>Administración</t>
  </si>
  <si>
    <t>ADMININTRACION</t>
  </si>
  <si>
    <t>/adminintracion</t>
  </si>
  <si>
    <t>adminintracion</t>
  </si>
  <si>
    <t>ADMININTRACION_TABLERO</t>
  </si>
  <si>
    <t>tablero</t>
  </si>
  <si>
    <t>ADMININTRACION_NODOS</t>
  </si>
  <si>
    <t>nodos</t>
  </si>
  <si>
    <t>ADMININTRACION_TIPOS_NODOS</t>
  </si>
  <si>
    <t>Tipos De Nodos</t>
  </si>
  <si>
    <t>tipos-nodos</t>
  </si>
  <si>
    <t>ADMININTRACION_JERARQUIA</t>
  </si>
  <si>
    <t>jerarquia</t>
  </si>
  <si>
    <t>Roles Permisos</t>
  </si>
  <si>
    <t>ADMININTRACION_ROLES_PERMISOS</t>
  </si>
  <si>
    <t>roles-permisos</t>
  </si>
  <si>
    <t>ADMININTRACION_OPERACIONES</t>
  </si>
  <si>
    <t>operaciones</t>
  </si>
  <si>
    <t>ADMININTRACION_ROLES</t>
  </si>
  <si>
    <t>roles</t>
  </si>
  <si>
    <t>ADMININTRACION_MATRIZ_PERMISOS</t>
  </si>
  <si>
    <t>Matriz De Permisos</t>
  </si>
  <si>
    <t>matriz-permisos</t>
  </si>
  <si>
    <t>Políticas</t>
  </si>
  <si>
    <t>ADMININTRACION_POLITICAS</t>
  </si>
  <si>
    <t>politicas</t>
  </si>
  <si>
    <t>Clonación</t>
  </si>
  <si>
    <t>ADMININTRACION_CLONACION</t>
  </si>
  <si>
    <t>clonacion</t>
  </si>
  <si>
    <t>Permisos</t>
  </si>
  <si>
    <t>ADMININTRACION_PERMISOS</t>
  </si>
  <si>
    <t>permisos</t>
  </si>
  <si>
    <t>vpn_key</t>
  </si>
  <si>
    <t>Comparador de Permisos</t>
  </si>
  <si>
    <t>ADMININTRACION_COMPARADOR</t>
  </si>
  <si>
    <t>Comparador</t>
  </si>
  <si>
    <t>comparador</t>
  </si>
  <si>
    <t>compare</t>
  </si>
  <si>
    <t>Generador de Contexto</t>
  </si>
  <si>
    <t>ADMININTRACION_GENERADOR_CONTEXTO</t>
  </si>
  <si>
    <t>generador-contexto</t>
  </si>
  <si>
    <t>code</t>
  </si>
  <si>
    <t>Entidades</t>
  </si>
  <si>
    <t>ADMININTRACION_ENTIDADES</t>
  </si>
  <si>
    <t>/adminintracion/entidades</t>
  </si>
  <si>
    <t>entidades</t>
  </si>
  <si>
    <t>Unidades</t>
  </si>
  <si>
    <t>ADMININTRACION_UNIDADES</t>
  </si>
  <si>
    <t>/adminintracion/unidades</t>
  </si>
  <si>
    <t>unidades</t>
  </si>
  <si>
    <t>apartment</t>
  </si>
  <si>
    <t>Homologación Roles</t>
  </si>
  <si>
    <t>ADMININTRACION_HOMOLOGACION_ROLES</t>
  </si>
  <si>
    <t>homologacion-roles</t>
  </si>
  <si>
    <t>sync</t>
  </si>
  <si>
    <t>Asignar Roles</t>
  </si>
  <si>
    <t>ADMININTRACION_ASIGNAR_ROLES</t>
  </si>
  <si>
    <t>asignar-roles</t>
  </si>
  <si>
    <t>Árbol</t>
  </si>
  <si>
    <t>ADMININTRACION_ARBOLO</t>
  </si>
  <si>
    <t>/adminintracion/arbol</t>
  </si>
  <si>
    <t>arbol</t>
  </si>
  <si>
    <t>/adminintracion/arbol/tablero</t>
  </si>
  <si>
    <t>/adminintracion/arbol/nodos</t>
  </si>
  <si>
    <t>/adminintracion/arbol/tipos-nodos</t>
  </si>
  <si>
    <t>/adminintracion/arbol/jerarquia</t>
  </si>
  <si>
    <t>/adminintracion/arbol/clonacion</t>
  </si>
  <si>
    <t>Seguridad</t>
  </si>
  <si>
    <t>ADMININTRACION_SEGURIDAD</t>
  </si>
  <si>
    <t>/adminintracion/seguridad</t>
  </si>
  <si>
    <t>seguridad</t>
  </si>
  <si>
    <t>/adminintracion/seguridad/politicas</t>
  </si>
  <si>
    <t>/adminintracion/seguridad/permisos</t>
  </si>
  <si>
    <t>/adminintracion/seguridad/comparador</t>
  </si>
  <si>
    <t>/adminintracion/seguridad/roles-permisos</t>
  </si>
  <si>
    <t>/adminintracion/seguridad/operaciones</t>
  </si>
  <si>
    <t>/adminintracion/seguridad/roles</t>
  </si>
  <si>
    <t>/adminintracion/seguridad/matriz-permisos</t>
  </si>
  <si>
    <t>Contexto</t>
  </si>
  <si>
    <t>ADMININTRACION_CONTEXTO</t>
  </si>
  <si>
    <t>/adminintracion/contexto</t>
  </si>
  <si>
    <t>contexto</t>
  </si>
  <si>
    <t>/adminintracion/contexto/generador-contexto</t>
  </si>
  <si>
    <t>Usuarios</t>
  </si>
  <si>
    <t>ADMININTRACION_USUARIOS</t>
  </si>
  <si>
    <t>/adminintracion/usuarios</t>
  </si>
  <si>
    <t>usuarios</t>
  </si>
  <si>
    <t>Gestión de Usuarios (Safi)</t>
  </si>
  <si>
    <t>ADMININTRACION_USUARIOS_SAFI</t>
  </si>
  <si>
    <t>Gestión de Usuarios</t>
  </si>
  <si>
    <t>/adminintracion/usuarios/safi</t>
  </si>
  <si>
    <t>usuarios-safi</t>
  </si>
  <si>
    <t>/adminintracion/usuarios/asignar-roles</t>
  </si>
  <si>
    <t>/adminintracion/usuarios/homologacion-roles</t>
  </si>
  <si>
    <t>SAFI</t>
  </si>
  <si>
    <t>Nombre 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</si>
</sst>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textRotation="180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textRotation="18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textRotation="180"/>
    </xf>
    <xf numFmtId="0" fontId="0" fillId="0" borderId="0" xfId="0" applyAlignment="1">
      <alignment horizontal="left" vertical="top" textRotation="180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textRotation="180"/>
    </xf>
    <xf numFmtId="0" fontId="2" fillId="0" borderId="0" xfId="0" applyFont="1" applyAlignment="1">
      <alignment vertical="top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430">
    <dxf>
      <alignment horizontal="general" vertical="top" indent="0" justifyLastLine="0" shrinkToFit="0" readingOrder="0"/>
    </dxf>
    <dxf>
      <numFmt numFmtId="0" formatCode="General"/>
      <alignment horizontal="general" vertical="top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center" vertical="top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general" vertical="top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textRotation="18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indent="0" justifyLastLine="0" shrinkToFit="0" readingOrder="0"/>
    </dxf>
    <dxf>
      <alignment horizontal="center" vertical="top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18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C12F850-6F51-4236-ABD8-8BD7F12743F7}" name="Tabla21" displayName="Tabla21" ref="A1:C7" totalsRowShown="0">
  <autoFilter ref="A1:C7" xr:uid="{6C12F850-6F51-4236-ABD8-8BD7F12743F7}"/>
  <tableColumns count="3">
    <tableColumn id="1" xr3:uid="{40C10900-DBFC-4323-A8C5-E0577CC608B9}" name="Id" dataDxfId="424">
      <calculatedColumnFormula>ROW()-1</calculatedColumnFormula>
    </tableColumn>
    <tableColumn id="2" xr3:uid="{0E4EC4D6-5AFD-4463-B85C-4D3CF5673808}" name="Nombre"/>
    <tableColumn id="3" xr3:uid="{1DC89DD4-657D-4E3B-91E3-DF3BB160DA4A}" name="Descripción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4009B7-9413-44B4-A7E4-AE080EAD2BDD}" name="Tabla_Roles_Ant" displayName="Tabla_Roles_Ant" ref="E1:K159" totalsRowShown="0">
  <autoFilter ref="E1:K159" xr:uid="{9E4009B7-9413-44B4-A7E4-AE080EAD2BDD}"/>
  <tableColumns count="7">
    <tableColumn id="1" xr3:uid="{24ED68EA-1C8D-4317-85CE-4E57824F3DE3}" name="Categoría"/>
    <tableColumn id="2" xr3:uid="{32D1742E-1723-4A7B-8A99-FEC3979A3147}" name="Nuevo Rol Base Único"/>
    <tableColumn id="3" xr3:uid="{33B9EC95-CFB3-4FDD-9482-3D6BD54FE39F}" name="Roles Antiguos"/>
    <tableColumn id="4" xr3:uid="{8B8E2426-70A5-43EE-A1DC-F4A3658AE860}" name="Módulo"/>
    <tableColumn id="5" xr3:uid="{E69F196F-6727-49E6-9C48-90D5FE68F9D2}" name="División"/>
    <tableColumn id="6" xr3:uid="{CF08791B-2EEC-425F-8F90-6594465C84D3}" name="Descripción"/>
    <tableColumn id="7" xr3:uid="{1FB82875-FB9D-4C1C-BAD1-DB09A0F0C221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5E965C4-73C2-4737-9693-23A9D31B5AB5}" name="Tabla_Roles" displayName="Tabla_Roles" ref="A1:C41" totalsRowShown="0">
  <autoFilter ref="A1:C41" xr:uid="{E5E965C4-73C2-4737-9693-23A9D31B5AB5}"/>
  <tableColumns count="3">
    <tableColumn id="3" xr3:uid="{8B915A3C-9BFE-4B21-8219-640C1722424B}" name="Id_Rol" dataDxfId="423">
      <calculatedColumnFormula>ROW()-1</calculatedColumnFormula>
    </tableColumn>
    <tableColumn id="1" xr3:uid="{8F249B20-1A28-4822-8966-5B0F8E53D24C}" name="Nombre Rol"/>
    <tableColumn id="2" xr3:uid="{F2E76825-CD9F-4F3F-A0EC-72AFF204FF7E}" name="Descrip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81E1E6E-CEB2-4A81-9E70-F9EC697CF46A}" name="Tabla23" displayName="Tabla23" ref="A1:E10" totalsRowShown="0">
  <autoFilter ref="A1:E10" xr:uid="{581E1E6E-CEB2-4A81-9E70-F9EC697CF46A}"/>
  <tableColumns count="5">
    <tableColumn id="1" xr3:uid="{FF712385-0833-45C3-94A8-B681CF2B0D38}" name="Id" dataDxfId="422">
      <calculatedColumnFormula>ROW()-1</calculatedColumnFormula>
    </tableColumn>
    <tableColumn id="2" xr3:uid="{C7ABFDEA-168A-434D-85CB-3857EF83FE38}" name="Código"/>
    <tableColumn id="3" xr3:uid="{F97A5B8E-D0E7-4A7D-8DD2-A14E9C63A36B}" name="Padre"/>
    <tableColumn id="4" xr3:uid="{C65C530A-390E-4BAC-A285-9BA3EAAE60D7}" name="Tipo" dataDxfId="421"/>
    <tableColumn id="5" xr3:uid="{203BC853-E0D0-49D1-A197-D02CFB317719}" name="Descrip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8B9EF-8A93-4FE3-AE91-A2BDD85E764F}" name="Tabla_Modulos" displayName="Tabla_Modulos" ref="A1:I16" totalsRowShown="0">
  <autoFilter ref="A1:I16" xr:uid="{1DB8B9EF-8A93-4FE3-AE91-A2BDD85E764F}"/>
  <sortState xmlns:xlrd2="http://schemas.microsoft.com/office/spreadsheetml/2017/richdata2" ref="A2:F14">
    <sortCondition ref="A1:A14"/>
  </sortState>
  <tableColumns count="9">
    <tableColumn id="1" xr3:uid="{EE67F08F-81DE-461B-9146-EEE69EC2C048}" name="Id"/>
    <tableColumn id="2" xr3:uid="{014D7AD2-9F7F-4E33-9B3B-9C6593C8E598}" name="Modulos"/>
    <tableColumn id="5" xr3:uid="{EF4DDD97-4D3E-4F5F-BAD7-E2434D3C7D71}" name="Código"/>
    <tableColumn id="4" xr3:uid="{AD102709-CCFC-4C32-81DE-06318B79FEA2}" name="Descripción"/>
    <tableColumn id="3" xr3:uid="{FA879038-1F8C-45BD-AB44-E3CB43C8EC32}" name="Total" dataDxfId="420">
      <calculatedColumnFormula>IF(ISERROR(_xlfn.LET(
_xlpm.nombreHoja1,C2,
_xlpm.conteo1, COUNTIF(INDIRECT("'"&amp;_xlpm.nombreHoja1&amp;"'!m:m"),C2),
IF(_xlpm.conteo1&gt;0,_xlpm.conteo1))),"",_xlfn.LET(
_xlpm.nombreHoja1,C2,
_xlpm.conteo1, COUNTIF(INDIRECT("'"&amp;_xlpm.nombreHoja1&amp;"'!m:m"),C2),
IF(_xlpm.conteo1&gt;0,_xlpm.conteo1)))</calculatedColumnFormula>
    </tableColumn>
    <tableColumn id="6" xr3:uid="{2057845F-E43C-4DC1-B83C-7B74BE9343C3}" name="Estado"/>
    <tableColumn id="7" xr3:uid="{715D5337-24EF-499B-B542-AA2C322A632F}" name="Codigo_Tecnico" dataDxfId="419">
      <calculatedColumnFormula>SUBSTITUTE(UPPER(Tabla_Modulos[[#This Row],[Slug]]),"-","_")</calculatedColumnFormula>
    </tableColumn>
    <tableColumn id="8" xr3:uid="{B67064F6-64E4-422B-BCFD-E2841BD53F13}" name="Etiqueta" dataDxfId="418">
      <calculatedColumnFormula>CLEAN(PROPER(Tabla_Modulos[[#This Row],[Modulos]]))</calculatedColumnFormula>
    </tableColumn>
    <tableColumn id="12" xr3:uid="{DB3FCED7-A6DE-4419-BF21-0D1CF9A355A7}" name="Slug" dataDxfId="417">
      <calculatedColumnFormula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69B456E-DEA6-4B9E-9A51-726163EFF112}" name="Tabla_Operaciones" displayName="Tabla_Operaciones" ref="A1:C11" totalsRowShown="0">
  <autoFilter ref="A1:C11" xr:uid="{D69B456E-DEA6-4B9E-9A51-726163EFF112}"/>
  <sortState xmlns:xlrd2="http://schemas.microsoft.com/office/spreadsheetml/2017/richdata2" ref="A2:B11">
    <sortCondition ref="A1:A11"/>
  </sortState>
  <tableColumns count="3">
    <tableColumn id="1" xr3:uid="{AEDF63D9-4F08-4E45-A431-97B8DCDE04DA}" name="ID_OP"/>
    <tableColumn id="2" xr3:uid="{7485FA72-7AFE-4B38-AF76-C881C47E9C7F}" name="NOMBRE_OP"/>
    <tableColumn id="3" xr3:uid="{9F16582A-31F8-4601-B472-41B19E9253DB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5BA7B9-0802-4C4B-85A5-42FA1EC9A651}" name="Tabla_Divisiones" displayName="Tabla_Divisiones" ref="A1:C17" totalsRowShown="0">
  <autoFilter ref="A1:C17" xr:uid="{005BA7B9-0802-4C4B-85A5-42FA1EC9A651}"/>
  <tableColumns count="3">
    <tableColumn id="1" xr3:uid="{BE6F16E8-5F9B-4E06-BAB9-618AFC73AFF0}" name="Código Division"/>
    <tableColumn id="2" xr3:uid="{6D8866B7-25AB-4E98-883E-1E10B9153034}" name="Nombre División"/>
    <tableColumn id="3" xr3:uid="{067876EA-B2FF-4A85-97C2-4875F3BC9EC0}" name="Descrip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BB19C9-D973-4F32-804D-CB2C7A99C29E}" name="Tabla19" displayName="Tabla19" ref="A1:D7" totalsRowShown="0">
  <autoFilter ref="A1:D7" xr:uid="{94BB19C9-D973-4F32-804D-CB2C7A99C29E}"/>
  <tableColumns count="4">
    <tableColumn id="1" xr3:uid="{C59AAAC9-54F8-4D97-A0A7-46A28B22B94B}" name="Id" dataDxfId="416">
      <calculatedColumnFormula>SUM(ROW()-1)</calculatedColumnFormula>
    </tableColumn>
    <tableColumn id="2" xr3:uid="{047AC81B-E0A9-4152-B86C-6BE68E054963}" name="Codigo"/>
    <tableColumn id="3" xr3:uid="{9653C930-5CA8-4923-8F4B-DC2526F08FE0}" name="Nombre"/>
    <tableColumn id="4" xr3:uid="{99B38C4E-0F88-4A18-8657-F4FBA4D1084F}" name="Rol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C89A4D-D3A9-4AB1-B1FF-9E2F58E36482}" name="Tabla_Contabilidad" displayName="Tabla_Contabilidad" ref="A1:AD211" totalsRowShown="0" headerRowDxfId="415" dataDxfId="414">
  <autoFilter ref="A1:AD211" xr:uid="{2FC89A4D-D3A9-4AB1-B1FF-9E2F58E36482}">
    <filterColumn colId="28">
      <customFilters>
        <customFilter operator="notEqual" val=" "/>
      </customFilters>
    </filterColumn>
  </autoFilter>
  <tableColumns count="30">
    <tableColumn id="28" xr3:uid="{B726EDCD-F8F7-457C-BAE5-F463D43EF6A3}" name="Id_anterior" dataDxfId="413" totalsRowDxfId="412"/>
    <tableColumn id="20" xr3:uid="{E2EAC21F-A3CF-4F39-908F-F6DBA2C53917}" name="id_padre" dataDxfId="411" totalsRowDxfId="410"/>
    <tableColumn id="4" xr3:uid="{44D0D3AA-2D32-4FA8-9F5F-4E83375F0D90}" name="Nivel" dataDxfId="409" totalsRowDxfId="408">
      <calculatedColumnFormula>IF(Tabla_Contabilidad[[#This Row],[id_padre]]="",0,_xlfn.XLOOKUP(Tabla_Contabilidad[[#This Row],[id_padre]],Tabla_Contabilidad[Id],Tabla_Contabilidad[Nivel],0,0,1)+1)</calculatedColumnFormula>
    </tableColumn>
    <tableColumn id="3" xr3:uid="{03A4AB1D-D800-4D01-B208-FA5AF09E8357}" name="Nombre Opción" dataDxfId="407" totalsRowDxfId="406"/>
    <tableColumn id="19" xr3:uid="{7E41608C-0B86-43F5-A305-74BA56029F4C}" name="Id" dataDxfId="405">
      <calculatedColumnFormula>IF(Tabla_Contabilidad[[#This Row],[Id_anterior]]=1,ROW()-1,SUM(ROW()-1,Tabla_Contabilidad[[#This Row],[Id_anterior]]))</calculatedColumnFormula>
    </tableColumn>
    <tableColumn id="24" xr3:uid="{EAD95BA0-809E-4B4B-9D5A-3A41EADE5A11}" name="Codigo_Tecnico" dataDxfId="404" totalsRowDxfId="403">
      <calculatedColumnFormula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calculatedColumnFormula>
    </tableColumn>
    <tableColumn id="25" xr3:uid="{1FB1E87C-5BE5-435D-ABF2-5AB08FCC4C4B}" name="Etiqueta" dataDxfId="402" totalsRowDxfId="401">
      <calculatedColumnFormula>CLEAN(PROPER(Tabla_Contabilidad[[#This Row],[Nombre Opción]]))</calculatedColumnFormula>
    </tableColumn>
    <tableColumn id="26" xr3:uid="{78925498-EB01-4C24-8A9C-F794CF4C46B5}" name="Tipo_Nodo" dataDxfId="400" totalsRowDxfId="399"/>
    <tableColumn id="27" xr3:uid="{0970CC4C-2008-41B5-9C60-04CEAD717552}" name="Codigo_Padre" dataDxfId="398" totalsRowDxfId="397">
      <calculatedColumnFormula>_xlfn.XLOOKUP(Tabla_Contabilidad[[#This Row],[id_padre]],Tabla_Contabilidad[Id],Tabla_Contabilidad[Codigo_Tecnico],"",0,1)</calculatedColumnFormula>
    </tableColumn>
    <tableColumn id="21" xr3:uid="{088C7802-3946-40D7-9D85-AC9702AC864F}" name="Ruta_Web" dataDxfId="396" totalsRowDxfId="395">
      <calculatedColumnFormula>IF(Tabla_Contabilidad[[#This Row],[Nivel]]=0,CONCATENATE("/",Tabla_Contabilidad[[#This Row],[Slug]]),CONCATENATE(_xlfn.XLOOKUP(Tabla_Contabilidad[[#This Row],[id_padre]],Tabla_Contabilidad[Id],Tabla_Contabilidad[Ruta_Web],"",0,1),"/",Tabla_Contabilidad[[#This Row],[Slug]]))</calculatedColumnFormula>
    </tableColumn>
    <tableColumn id="22" xr3:uid="{46137214-E6C0-43BB-B593-908350D2BE7D}" name="Slug" dataDxfId="394" totalsRowDxfId="393">
      <calculatedColumnFormula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23" xr3:uid="{820863DF-D140-4702-AE74-007747B5DE14}" name="Icono" dataDxfId="392" totalsRowDxfId="391"/>
    <tableColumn id="30" xr3:uid="{21674E27-9FAB-4F88-A164-D2136248BBD9}" name="Modulos" dataDxfId="390" totalsRowDxfId="389"/>
    <tableColumn id="5" xr3:uid="{0F627CE4-D9A1-4735-B908-FE3461F66F51}" name="ROL_JEFE_CONT_CONTA" dataDxfId="388" totalsRowDxfId="387"/>
    <tableColumn id="6" xr3:uid="{49B19B4B-48FF-40A1-BFD2-2882A80F49AF}" name="ROL_ANALI_CONTA" dataDxfId="386" totalsRowDxfId="385"/>
    <tableColumn id="7" xr3:uid="{8063E9A0-213E-40DC-A3B0-3E715E939349}" name="ROL_AUDIT_CONTA" dataDxfId="384" totalsRowDxfId="383"/>
    <tableColumn id="8" xr3:uid="{CC23DD0F-CD76-4F26-8A54-0CA5F81D593A}" name="ROL_ADM_CONTA" dataDxfId="382" totalsRowDxfId="381"/>
    <tableColumn id="9" xr3:uid="{06D4BD20-E163-4B14-B84D-A9E3721FD98A}" name="ROL_CDTE_CONTA" dataDxfId="380" totalsRowDxfId="379"/>
    <tableColumn id="10" xr3:uid="{C6F8D9BA-73D1-4C34-A334-B0C124F07ADA}" name="ROL_LOGIS_CONTA" dataDxfId="378" totalsRowDxfId="377"/>
    <tableColumn id="11" xr3:uid="{6F58E7D8-9688-45EB-9251-AA5C39CB554E}" name="ROL_JEFE_FIN_CONTA" dataDxfId="376" totalsRowDxfId="375"/>
    <tableColumn id="12" xr3:uid="{9A71B675-631D-4DDD-998E-CCE1E0D43460}" name="ROL_JEFE_ADQ_CONTA" dataDxfId="374" totalsRowDxfId="373"/>
    <tableColumn id="13" xr3:uid="{38F870B5-28A0-479E-B037-6D2614F1B2EB}" name="ROL_JEFE_ABAT_CONTA" dataDxfId="372" totalsRowDxfId="371"/>
    <tableColumn id="14" xr3:uid="{5E790424-AA07-42B0-9FDA-3448F7A09283}" name="ROL_CONSOLI_CONTA" dataDxfId="370" totalsRowDxfId="369"/>
    <tableColumn id="15" xr3:uid="{C565D16C-70EF-4417-BCD7-E2E29087CEAA}" name="ROL_COMP_CONTA" dataDxfId="368" totalsRowDxfId="367"/>
    <tableColumn id="16" xr3:uid="{95E3195F-D306-4E69-868B-EED2CB582207}" name="ROL_JEFE_CONT_CONTA_HOSP" dataDxfId="366" totalsRowDxfId="365"/>
    <tableColumn id="17" xr3:uid="{4F9719B7-A399-4A8C-A42C-B80641929BCD}" name="ROL_SUPER_CONTA_LEY" dataDxfId="364" totalsRowDxfId="363"/>
    <tableColumn id="18" xr3:uid="{F938EA4B-8D9A-4F46-BE23-A3DD8218F4A2}" name="ROL_CONTA_LICENCIA" dataDxfId="362" totalsRowDxfId="361"/>
    <tableColumn id="2" xr3:uid="{9D74B478-DF3F-4F52-951C-BD20C33F5D01}" name="ROL_DEV" dataDxfId="360" totalsRowDxfId="359"/>
    <tableColumn id="1" xr3:uid="{AFDF1029-6AA9-4E9D-856D-2BE57919B12C}" name="Validación" dataDxfId="358" totalsRowDxfId="357">
      <calculatedColumnFormula>IF(OR(Tabla_Contabilidad[[#This Row],[ROL_JEFE_CONT_CONTA]]="*",Tabla_Contabilidad[[#This Row],[ROL_JEFE_CONT_CONTA_HOSP]]="*"),"*","")</calculatedColumnFormula>
    </tableColumn>
    <tableColumn id="29" xr3:uid="{A99D2B5E-0159-4DE2-92C7-DAB9B7C1325C}" name="Responsable" dataDxfId="356" totalsRowDxfId="35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E19D14-7043-4DBF-B104-1C0860721DB3}" name="Tabla_Presupuesto" displayName="Tabla_Presupuesto" ref="A1:AH194" totalsRowShown="0" headerRowDxfId="354" dataDxfId="353">
  <autoFilter ref="A1:AH194" xr:uid="{2FC89A4D-D3A9-4AB1-B1FF-9E2F58E36482}">
    <filterColumn colId="27">
      <customFilters>
        <customFilter operator="notEqual" val=" "/>
      </customFilters>
    </filterColumn>
  </autoFilter>
  <tableColumns count="34">
    <tableColumn id="25" xr3:uid="{3A7A2A27-3848-45DE-889B-791B8470E6FA}" name="Id_anterior" dataDxfId="352">
      <calculatedColumnFormula>MAX(Tabla_Contabilidad[Id])</calculatedColumnFormula>
    </tableColumn>
    <tableColumn id="23" xr3:uid="{72E4E794-AD37-43B5-8B1A-2C3EBBD79712}" name="id_padre" dataDxfId="351"/>
    <tableColumn id="4" xr3:uid="{AE6C48C1-3ECC-4B8A-AAD9-2FFCC41F3744}" name="Nivel" dataDxfId="350">
      <calculatedColumnFormula>IF(Tabla_Presupuesto[[#This Row],[id_padre]]="",0,_xlfn.XLOOKUP(Tabla_Presupuesto[[#This Row],[id_padre]],Tabla_Presupuesto[Id],Tabla_Presupuesto[Nivel],0,0,1)+1)</calculatedColumnFormula>
    </tableColumn>
    <tableColumn id="3" xr3:uid="{A7356907-89BA-46A7-8689-65178A50C01D}" name="Nombre Opción" dataDxfId="349"/>
    <tableColumn id="24" xr3:uid="{A101EEA4-9165-4271-97DA-CF93F938B54B}" name="Id" dataDxfId="348">
      <calculatedColumnFormula>IF(Tabla_Presupuesto[[#This Row],[Id_anterior]]=1,ROW()-1,SUM(ROW()-1,Tabla_Presupuesto[[#This Row],[Id_anterior]]))</calculatedColumnFormula>
    </tableColumn>
    <tableColumn id="28" xr3:uid="{07A35526-E6E7-4FE5-89F3-8ED280B3A51E}" name="Codigo_Tecnico" dataDxfId="347">
      <calculatedColumnFormula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calculatedColumnFormula>
    </tableColumn>
    <tableColumn id="29" xr3:uid="{599E6CEC-D277-4261-938B-62407C519DE0}" name="Etiqueta" dataDxfId="346">
      <calculatedColumnFormula>CLEAN(PROPER(Tabla_Presupuesto[[#This Row],[Nombre Opción]]))</calculatedColumnFormula>
    </tableColumn>
    <tableColumn id="30" xr3:uid="{3140DC7A-B472-4DA0-8562-2DB679CF2602}" name="Tipo_Nodo" dataDxfId="345"/>
    <tableColumn id="31" xr3:uid="{F3B6ADCD-5144-41F0-92D3-52F6381C6323}" name="Codigo_Padre" dataDxfId="344">
      <calculatedColumnFormula>_xlfn.XLOOKUP(Tabla_Presupuesto[[#This Row],[id_padre]],Tabla_Presupuesto[Id],Tabla_Presupuesto[Codigo_Tecnico],"",0,1)</calculatedColumnFormula>
    </tableColumn>
    <tableColumn id="32" xr3:uid="{E981D85E-6D32-45C3-9E71-CCA3612361E3}" name="Ruta_Web" dataDxfId="343">
      <calculatedColumnFormula>IF(Tabla_Presupuesto[[#This Row],[Nivel]]=0,CONCATENATE("/",Tabla_Presupuesto[[#This Row],[Slug]]),CONCATENATE(_xlfn.XLOOKUP(Tabla_Presupuesto[[#This Row],[id_padre]],Tabla_Presupuesto[Id],Tabla_Presupuesto[Ruta_Web],"",0,1),"/",Tabla_Presupuesto[[#This Row],[Slug]]))</calculatedColumnFormula>
    </tableColumn>
    <tableColumn id="26" xr3:uid="{F9D32DB8-BE5A-41EE-AF8C-E03F3D0BD221}" name="Slug" dataDxfId="342">
      <calculatedColumnFormula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27" xr3:uid="{795BB1BC-2E36-41F8-AF82-615E15488D3E}" name="Icono" dataDxfId="341"/>
    <tableColumn id="33" xr3:uid="{5E3EEA8B-E2A3-4E44-945B-22B17EA2902B}" name="Modulos" dataDxfId="340"/>
    <tableColumn id="5" xr3:uid="{55CAED4D-48F4-4C44-9144-EE245AE6AE15}" name="USU_CF" dataDxfId="339"/>
    <tableColumn id="6" xr3:uid="{E503A935-3003-4893-83E2-8237AEE6FAAC}" name="USU_ENTE" dataDxfId="338"/>
    <tableColumn id="7" xr3:uid="{7624151A-5708-4877-B835-CE271D896718}" name="ROL_ADM_PRESU" dataDxfId="337"/>
    <tableColumn id="8" xr3:uid="{26717A86-5C32-4EA1-9B93-5C38F1156BEA}" name="ROL_ANALI_PRESU" dataDxfId="336"/>
    <tableColumn id="9" xr3:uid="{D56BB6AD-3A41-476A-8E9C-31B4D2467BB1}" name="ROL_AUDIT_PRESU" dataDxfId="335"/>
    <tableColumn id="10" xr3:uid="{9A7CF17B-8E4E-4B8C-8DAB-E6B459A062EB}" name="ROL_CDTE_PRESU" dataDxfId="334"/>
    <tableColumn id="11" xr3:uid="{0AF1AA70-1A46-432E-B785-DEA739CD3B99}" name="ROL_COMP_PRESU" dataDxfId="333"/>
    <tableColumn id="12" xr3:uid="{9B3DFE81-567A-4189-9F1B-6702DB7A9249}" name="ROL_CONSOLI_PRESU" dataDxfId="332"/>
    <tableColumn id="13" xr3:uid="{C248D063-1A7B-448E-AA7E-F44EA5A71182}" name="ROL_JEFE_ABAT_PRESU" dataDxfId="331"/>
    <tableColumn id="14" xr3:uid="{02687401-F713-4B65-A08C-92E66AAC2115}" name="ROL_JEFE_ADQ_PRESU" dataDxfId="330"/>
    <tableColumn id="15" xr3:uid="{359BD1F5-4C84-4C3E-9BE4-22DCE101EDEC}" name="ROL_JEFE_CONT_PRESU" dataDxfId="329"/>
    <tableColumn id="16" xr3:uid="{81EC778C-480D-433C-AE08-658ECF32BF85}" name="ROL_JEFE_FIN_PRESU" dataDxfId="328"/>
    <tableColumn id="17" xr3:uid="{7006C67B-ECB0-4472-A26C-A500DA32D076}" name="ROL_LOGIS_PRESU" dataDxfId="327"/>
    <tableColumn id="18" xr3:uid="{63AF62E1-1F09-4EB8-8077-69E630AE29AC}" name="ROL_PRESUPUESTO_PRESU" dataDxfId="326"/>
    <tableColumn id="19" xr3:uid="{90F8C2FE-9E0A-46D1-97BB-A9A8CD980527}" name="ROL_JEFE_CONT_PRSU_HOSPI" dataDxfId="325"/>
    <tableColumn id="20" xr3:uid="{7E3802CC-D881-4C9E-9DB4-7BEDFF393548}" name="ROL_GESTION_PRESU" dataDxfId="324"/>
    <tableColumn id="21" xr3:uid="{7873C677-B46B-40BC-BFC8-BB03160FD6BF}" name="ROL_FLUJOCAJA_UNIINT" dataDxfId="323"/>
    <tableColumn id="22" xr3:uid="{E6505F7F-7F75-4657-B3DF-A193B1598497}" name="ROL_FLUJOCAJA_FINANZAS" dataDxfId="322"/>
    <tableColumn id="2" xr3:uid="{88199473-DA08-416A-835F-C83AB3DDE70F}" name="ROL_DEV" dataDxfId="321"/>
    <tableColumn id="1" xr3:uid="{03877C87-D8E3-4589-867B-50B89A3C68EE}" name="Validación" dataDxfId="320">
      <calculatedColumnFormula>IF(OR(Tabla_Presupuesto[[#This Row],[ROL_JEFE_CONT_PRESU]]="*",Tabla_Presupuesto[[#This Row],[ROL_JEFE_CONT_PRSU_HOSPI]]="*"),"*","")</calculatedColumnFormula>
    </tableColumn>
    <tableColumn id="34" xr3:uid="{E5441EA6-9B7D-44EC-896E-06E5FE13890E}" name="Responsable" dataDxfId="31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289574-872E-418C-9FED-6D667E3602E4}" name="Tabla_VMN" displayName="Tabla_VMN" ref="A1:W105" totalsRowShown="0" headerRowDxfId="318" dataDxfId="317">
  <autoFilter ref="A1:W105" xr:uid="{2FC89A4D-D3A9-4AB1-B1FF-9E2F58E36482}">
    <filterColumn colId="1">
      <filters blank="1">
        <filter val="404"/>
        <filter val="405"/>
        <filter val="418"/>
      </filters>
    </filterColumn>
    <filterColumn colId="4">
      <filters>
        <filter val="404"/>
        <filter val="405"/>
        <filter val="409"/>
        <filter val="410"/>
        <filter val="411"/>
        <filter val="412"/>
        <filter val="413"/>
        <filter val="414"/>
        <filter val="415"/>
        <filter val="416"/>
        <filter val="417"/>
        <filter val="418"/>
        <filter val="419"/>
        <filter val="420"/>
        <filter val="421"/>
        <filter val="422"/>
        <filter val="423"/>
      </filters>
    </filterColumn>
  </autoFilter>
  <tableColumns count="23">
    <tableColumn id="23" xr3:uid="{7D3F3B93-968C-41B8-BCFD-8044C8E7A7E3}" name="id_anterior" dataDxfId="316">
      <calculatedColumnFormula>MAX(Tabla_Presupuesto[Id])</calculatedColumnFormula>
    </tableColumn>
    <tableColumn id="13" xr3:uid="{BB4A8F92-1DF7-46FC-9199-8AB2CBAA6F59}" name="id_padre" dataDxfId="315"/>
    <tableColumn id="4" xr3:uid="{2B9CB798-B851-4066-9C6A-199BE425105D}" name="Nivel" dataDxfId="314">
      <calculatedColumnFormula>IF(Tabla_VMN[[#This Row],[id_padre]]="",0,_xlfn.XLOOKUP(Tabla_VMN[[#This Row],[id_padre]],Tabla_VMN[Id],Tabla_VMN[Nivel],0,0,1)+1)</calculatedColumnFormula>
    </tableColumn>
    <tableColumn id="3" xr3:uid="{6253F206-E7D2-4718-A738-CD6451178401}" name="Nombre Opción" dataDxfId="313"/>
    <tableColumn id="12" xr3:uid="{56C2ABAD-A351-435F-999B-0D7E732A1358}" name="Id" dataDxfId="312">
      <calculatedColumnFormula>IF(Tabla_VMN[[#This Row],[id_anterior]]=1,ROW()-1,SUM(ROW()-1,Tabla_VMN[[#This Row],[id_anterior]]))</calculatedColumnFormula>
    </tableColumn>
    <tableColumn id="17" xr3:uid="{9110C6AA-915C-456F-B604-B22F601DB493}" name="Codigo_Tecnico" dataDxfId="311">
      <calculatedColumnFormula>IF(Tabla_VMN[[#This Row],[id_padre]]="",SUBSTITUTE(UPPER(Tabla_VMN[[#This Row],[Slug]]),"-","_"),CONCATENATE(_xlfn.XLOOKUP(Tabla_VMN[[#This Row],[id_padre]],Tabla_VMN[Id],Tabla_VMN[Codigo_Tecnico],"",0,1),"_",SUBSTITUTE(UPPER(Tabla_VMN[[#This Row],[Slug]]),"-","_")))</calculatedColumnFormula>
    </tableColumn>
    <tableColumn id="18" xr3:uid="{BA1CA045-BDDF-4710-AA3E-17774F235F65}" name="Etiqueta" dataDxfId="310">
      <calculatedColumnFormula>CLEAN(PROPER(Tabla_VMN[[#This Row],[Nombre Opción]]))</calculatedColumnFormula>
    </tableColumn>
    <tableColumn id="19" xr3:uid="{6D3E1AA4-9FE4-4A2E-923B-6115E3F43AAB}" name="Tipo_Nodo" dataDxfId="309"/>
    <tableColumn id="20" xr3:uid="{16986DAF-8E25-4316-BE3E-F46439C2F157}" name="Codigo_Padre" dataDxfId="308">
      <calculatedColumnFormula>_xlfn.XLOOKUP(Tabla_VMN[[#This Row],[id_padre]],Tabla_VMN[Id],Tabla_VMN[Codigo_Tecnico],"",0,1)</calculatedColumnFormula>
    </tableColumn>
    <tableColumn id="14" xr3:uid="{9FF24420-0B8F-4EAB-A47D-68DE3EA5B8E4}" name="Ruta_Web" dataDxfId="307">
      <calculatedColumnFormula>IF(Tabla_VMN[[#This Row],[Nivel]]=0,CONCATENATE("/",Tabla_VMN[[#This Row],[Slug]]),CONCATENATE(_xlfn.XLOOKUP(Tabla_VMN[[#This Row],[id_padre]],Tabla_VMN[Id],Tabla_VMN[Ruta_Web],"",0,1),"/",Tabla_VMN[[#This Row],[Slug]]))</calculatedColumnFormula>
    </tableColumn>
    <tableColumn id="15" xr3:uid="{9859C3D8-FC3C-4B6B-BE41-5A035F927FF2}" name="Slug" dataDxfId="306">
      <calculatedColumnFormula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6" xr3:uid="{394598A7-6B0E-4121-A987-CA0AD216CD88}" name="Icono" dataDxfId="305"/>
    <tableColumn id="1" xr3:uid="{74421835-8CCA-4063-86CE-1754E0E3EBB9}" name="Modulo" dataDxfId="304"/>
    <tableColumn id="5" xr3:uid="{2EA19068-F968-4615-B1C2-D3DF6AFA1C0C}" name="ROL_ADM_VIA" dataDxfId="303"/>
    <tableColumn id="6" xr3:uid="{86F2111F-95D0-47E0-814A-E30F67C2A2A4}" name="ROL_JEFE_CONT_VIA" dataDxfId="302"/>
    <tableColumn id="7" xr3:uid="{0DF5F9F9-D5D8-449F-A693-EA52D3780614}" name="ROL_ANALI_VIA" dataDxfId="301"/>
    <tableColumn id="8" xr3:uid="{77ED32D2-B22F-4ABB-9A6C-126299AF6BA9}" name="ROL_AUDIT_VIA" dataDxfId="300"/>
    <tableColumn id="9" xr3:uid="{0B2D8603-87BD-468C-8F64-C1AB9FDA9FD1}" name="ROL_AYU_VIA" dataDxfId="299"/>
    <tableColumn id="10" xr3:uid="{266FA0B6-A425-465D-9B08-7D17D78D699D}" name="ROL_UI_VIA" dataDxfId="298"/>
    <tableColumn id="11" xr3:uid="{DCA200A1-9F59-494A-885B-7E9A5D10E809}" name="ROL_SIAPER_VIA" dataDxfId="297"/>
    <tableColumn id="21" xr3:uid="{75D8D1F0-320C-4ADF-8B31-90A179DE3C09}" name="ROL_DEV" dataDxfId="296"/>
    <tableColumn id="2" xr3:uid="{E7D36ED6-060C-476E-A652-91C3C442377C}" name="Validación" dataDxfId="295">
      <calculatedColumnFormula>IF(Tabla_VMN[[#This Row],[id_padre]]=Tabla_VMN[[#This Row],[Id]],"NOK","OK")</calculatedColumnFormula>
    </tableColumn>
    <tableColumn id="22" xr3:uid="{683F6630-4C80-4189-ADE7-3A8F32652731}" name="Responsable" dataDxfId="29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8F3ED9-5BB9-4331-B729-B92BB8E08494}" name="Tabla_CKS" displayName="Tabla_CKS" ref="A1:AA47" totalsRowShown="0" headerRowDxfId="293" dataDxfId="292">
  <autoFilter ref="A1:AA47" xr:uid="{2FC89A4D-D3A9-4AB1-B1FF-9E2F58E36482}"/>
  <tableColumns count="27">
    <tableColumn id="29" xr3:uid="{3808167A-3B8B-4481-9A19-7A13221017FE}" name="Id_anterior" dataDxfId="291">
      <calculatedColumnFormula>MAX(Tabla_VMN[Id])</calculatedColumnFormula>
    </tableColumn>
    <tableColumn id="13" xr3:uid="{AB5AB95B-C442-4608-B01B-C17887A2F8E7}" name="id_padre" dataDxfId="290"/>
    <tableColumn id="4" xr3:uid="{A7EF2FE7-0BD5-42CC-B0F5-CC0F98740C32}" name="Nivel" dataDxfId="289">
      <calculatedColumnFormula>IF(Tabla_CKS[[#This Row],[id_padre]]="",0,_xlfn.XLOOKUP(Tabla_CKS[[#This Row],[id_padre]],Tabla_CKS[Id],Tabla_CKS[Nivel],0,0,1)+1)</calculatedColumnFormula>
    </tableColumn>
    <tableColumn id="3" xr3:uid="{2900F02D-1D44-46EE-9AB6-09F8AF81C639}" name="Nombre Opción" dataDxfId="288"/>
    <tableColumn id="12" xr3:uid="{C0611C44-9321-4F86-A39C-5EB9E7951C45}" name="Id" dataDxfId="287">
      <calculatedColumnFormula>IF(Tabla_CKS[[#This Row],[Id_anterior]]=1,ROW()-1,SUM(ROW()-1,Tabla_CKS[[#This Row],[Id_anterior]]))</calculatedColumnFormula>
    </tableColumn>
    <tableColumn id="17" xr3:uid="{11BF7CAD-3914-4206-91F8-F642014E054A}" name="Codigo_Tecnico" dataDxfId="286">
      <calculatedColumnFormula>IF(Tabla_CKS[[#This Row],[id_padre]]="",SUBSTITUTE(UPPER(Tabla_CKS[[#This Row],[Slug]]),"-","_"),CONCATENATE(_xlfn.XLOOKUP(Tabla_CKS[[#This Row],[id_padre]],Tabla_CKS[Id],Tabla_CKS[Codigo_Tecnico],"",0,1),"_",SUBSTITUTE(UPPER(Tabla_CKS[[#This Row],[Slug]]),"-","_")))</calculatedColumnFormula>
    </tableColumn>
    <tableColumn id="18" xr3:uid="{568F99AF-1599-4623-8CC7-BE5CC3E787FC}" name="Etiqueta" dataDxfId="285">
      <calculatedColumnFormula>CLEAN(PROPER(Tabla_CKS[[#This Row],[Nombre Opción]]))</calculatedColumnFormula>
    </tableColumn>
    <tableColumn id="19" xr3:uid="{2079461F-AD08-4C6A-AC55-C66E8F11AE80}" name="Tipo_Nodo" dataDxfId="284"/>
    <tableColumn id="20" xr3:uid="{4B712D20-DF29-4630-9752-2819A17DC369}" name="Codigo_Padre" dataDxfId="283">
      <calculatedColumnFormula>_xlfn.XLOOKUP(Tabla_CKS[[#This Row],[id_padre]],Tabla_CKS[Id],Tabla_CKS[Codigo_Tecnico],"",0,1)</calculatedColumnFormula>
    </tableColumn>
    <tableColumn id="21" xr3:uid="{D88B7519-569D-4D6C-ABD8-28C90257C8ED}" name="Ruta_Web" dataDxfId="282">
      <calculatedColumnFormula>IF(Tabla_CKS[[#This Row],[Nivel]]=0,CONCATENATE("/",Tabla_CKS[[#This Row],[Slug]]),CONCATENATE(_xlfn.XLOOKUP(Tabla_CKS[[#This Row],[id_padre]],Tabla_CKS[Id],Tabla_CKS[Ruta_Web],"",0,1),"/",Tabla_CKS[[#This Row],[Slug]]))</calculatedColumnFormula>
    </tableColumn>
    <tableColumn id="15" xr3:uid="{A0928708-2BF8-4865-A7EE-1A314975D5DE}" name="Slug" dataDxfId="281">
      <calculatedColumnFormula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22" xr3:uid="{71F5673E-1A69-4E44-AF1B-E7099E8A3F3C}" name="Icono" dataDxfId="280"/>
    <tableColumn id="27" xr3:uid="{035AA81E-5CF4-4425-9D44-133791989327}" name="Modulos" dataDxfId="279"/>
    <tableColumn id="5" xr3:uid="{14A6131E-85F8-463D-8CBE-ED1E2E2FB142}" name="ROL_ADM_CKS" dataDxfId="278"/>
    <tableColumn id="6" xr3:uid="{1780834B-7963-465B-B3F9-88683BCA2C94}" name="ROL_ANALI_CKS" dataDxfId="277"/>
    <tableColumn id="7" xr3:uid="{1DCC76F0-2374-4269-96F7-3B3D87AD19F7}" name="ROL_AUDIT_CKS" dataDxfId="276"/>
    <tableColumn id="8" xr3:uid="{2CFE9F90-C74E-4E58-AAC4-9E1B7775935F}" name="ROL_CDTE_CKS" dataDxfId="275"/>
    <tableColumn id="9" xr3:uid="{ABFCC66D-DC14-4DB3-BCFD-071B4C9E6563}" name="ROL_COMP_CKS" dataDxfId="274"/>
    <tableColumn id="10" xr3:uid="{1CFB8CD9-D32F-4FB3-8DC8-D238493EC408}" name="ROL_CONSOLI_CKS" dataDxfId="273"/>
    <tableColumn id="11" xr3:uid="{52B4F44F-55E1-4C1B-B996-F26537E21F7F}" name="ROL_JEFE_ABAT_CKS" dataDxfId="272"/>
    <tableColumn id="23" xr3:uid="{703AA99D-11E2-471B-828E-5E745596A95E}" name="ROL_JEFE_ADQ_CKS" dataDxfId="271"/>
    <tableColumn id="24" xr3:uid="{9C9ED791-4CC4-491F-9FFA-A7DF23147245}" name="ROL_JEFE_CONT_CKS" dataDxfId="270"/>
    <tableColumn id="25" xr3:uid="{38751F5F-13EC-486D-BBA8-EC903972288B}" name="ROL_JEFE_FIN_CKS" dataDxfId="269"/>
    <tableColumn id="26" xr3:uid="{64ECAD50-ABCD-4EFC-9C28-FB79B66AFE34}" name="ROL_LOGIS_CKS" dataDxfId="268"/>
    <tableColumn id="2" xr3:uid="{F93765F7-4F3D-43C4-B275-1C52F54B5158}" name="ROL_DEV" dataDxfId="267"/>
    <tableColumn id="14" xr3:uid="{A62FB6A5-A16D-4C56-AF13-7A7D3AC5BDB5}" name="Validación" dataDxfId="266">
      <calculatedColumnFormula>IF(Tabla_CKS[[#This Row],[id_padre]]=Tabla_CKS[[#This Row],[Id]],"NOK","OK")</calculatedColumnFormula>
    </tableColumn>
    <tableColumn id="1" xr3:uid="{FCE0B31A-4CE0-497E-BC9F-EE63D259ACE8}" name="Encargado" dataDxfId="26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11A77C-D864-4607-A1B3-1D3710FA60C5}" name="Tabla_Caja" displayName="Tabla_Caja" ref="A1:V82" totalsRowShown="0" headerRowDxfId="264" dataDxfId="263">
  <autoFilter ref="A1:V82" xr:uid="{2FC89A4D-D3A9-4AB1-B1FF-9E2F58E36482}">
    <filterColumn colId="1">
      <filters blank="1">
        <filter val="554"/>
        <filter val="555"/>
      </filters>
    </filterColumn>
  </autoFilter>
  <tableColumns count="22">
    <tableColumn id="21" xr3:uid="{BA6D2345-C1A4-48AA-9EBE-20F12646AA51}" name="id_anterior" dataDxfId="262">
      <calculatedColumnFormula>MAX(Tabla_CKS[Id])</calculatedColumnFormula>
    </tableColumn>
    <tableColumn id="11" xr3:uid="{C6F0F730-C242-4848-97FF-2867AB0EAE5E}" name="id_padre" dataDxfId="261"/>
    <tableColumn id="4" xr3:uid="{94254E1D-E9D0-43D7-87F2-6D0B5F0F5EF6}" name="Nivel" dataDxfId="260">
      <calculatedColumnFormula>IF(Tabla_Caja[[#This Row],[id_padre]]="",0,_xlfn.XLOOKUP(Tabla_Caja[[#This Row],[id_padre]],Tabla_Caja[Id],Tabla_Caja[Nivel],0,0,1)+1)</calculatedColumnFormula>
    </tableColumn>
    <tableColumn id="3" xr3:uid="{6475E465-DA49-46A9-A33B-C9089AC712E6}" name="Nombre Opción" dataDxfId="259"/>
    <tableColumn id="12" xr3:uid="{79AC6410-F18C-4387-B53E-30073FA8F0F7}" name="Id" dataDxfId="258">
      <calculatedColumnFormula>IF(Tabla_Caja[[#This Row],[id_anterior]]=1,ROW()-1,SUM(ROW()-1,Tabla_Caja[[#This Row],[id_anterior]]))</calculatedColumnFormula>
    </tableColumn>
    <tableColumn id="16" xr3:uid="{B526AA2B-B595-4BC2-9660-E6EF9B54F395}" name="Codigo_Tecnico" dataDxfId="257">
      <calculatedColumnFormula>IF(Tabla_Caja[[#This Row],[id_padre]]="",SUBSTITUTE(UPPER(Tabla_Caja[[#This Row],[Slug]]),"-","_"),CONCATENATE(_xlfn.XLOOKUP(Tabla_Caja[[#This Row],[id_padre]],Tabla_Caja[Id],Tabla_Caja[Codigo_Tecnico],"",0,1),"_",SUBSTITUTE(UPPER(Tabla_Caja[[#This Row],[Slug]]),"-","_")))</calculatedColumnFormula>
    </tableColumn>
    <tableColumn id="17" xr3:uid="{9E55BC07-52D9-4897-AF29-509BB23BAC2C}" name="Etiqueta" dataDxfId="256">
      <calculatedColumnFormula>CLEAN(PROPER(Tabla_Caja[[#This Row],[Nombre Opción]]))</calculatedColumnFormula>
    </tableColumn>
    <tableColumn id="18" xr3:uid="{A0144E0D-343D-43AA-84D3-600CB0975005}" name="Tipo_Nodo" dataDxfId="255"/>
    <tableColumn id="19" xr3:uid="{7E0B0263-93C6-4044-A05D-792B944F85FB}" name="Codigo_Padre" dataDxfId="254">
      <calculatedColumnFormula>_xlfn.XLOOKUP(Tabla_Caja[[#This Row],[id_padre]],Tabla_Caja[Id],Tabla_Caja[Codigo_Tecnico],"",0,1)</calculatedColumnFormula>
    </tableColumn>
    <tableColumn id="14" xr3:uid="{28FEBA2C-72BB-455F-8DF1-707451F29C85}" name="Ruta_Web" dataDxfId="253">
      <calculatedColumnFormula>IF(Tabla_Caja[[#This Row],[Nivel]]=0,CONCATENATE("/",Tabla_Caja[[#This Row],[Slug]]),CONCATENATE(_xlfn.XLOOKUP(Tabla_Caja[[#This Row],[id_padre]],Tabla_Caja[Id],Tabla_Caja[Ruta_Web],"",0,1),"/",Tabla_Caja[[#This Row],[Slug]]))</calculatedColumnFormula>
    </tableColumn>
    <tableColumn id="13" xr3:uid="{D8DE645B-DD3D-4738-B165-05B63F3DD10D}" name="Slug" dataDxfId="252">
      <calculatedColumnFormula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5" xr3:uid="{18360596-5B14-4400-A1AB-45D488D86CE4}" name="Icono" dataDxfId="251"/>
    <tableColumn id="22" xr3:uid="{A210EE51-AD7B-4CB4-BDC5-785CC05C9EE0}" name="Modulos" dataDxfId="250"/>
    <tableColumn id="5" xr3:uid="{6666E0A0-9972-42D4-8BF5-325F464915FA}" name="ROL_ADM_CAJA" dataDxfId="249"/>
    <tableColumn id="6" xr3:uid="{ECFC553F-2D6C-4A1E-BA5C-EBEDD2E1D828}" name="ROL_JEFE_CAJA" dataDxfId="248"/>
    <tableColumn id="7" xr3:uid="{8E82C7F6-FCC2-48D5-9640-2EC7B12656B3}" name="ROL_SUPER_CAJA" dataDxfId="247"/>
    <tableColumn id="8" xr3:uid="{EDA76E11-05CA-4D05-94B3-16350AF77DCA}" name="ROL_ANALI_CAJA" dataDxfId="246"/>
    <tableColumn id="9" xr3:uid="{56F5B581-4385-4751-8230-49654928F1F6}" name="ROL_AUDIT_CAJA" dataDxfId="245"/>
    <tableColumn id="10" xr3:uid="{96291947-D551-4225-B4B8-63AC9718F066}" name="ROL_ANALI_VTAS_CAJA" dataDxfId="244"/>
    <tableColumn id="2" xr3:uid="{E6A3C638-4034-4676-BD38-B87209EFEA57}" name="ROL_DEV" dataDxfId="243"/>
    <tableColumn id="20" xr3:uid="{4DB89329-F169-4D08-B44B-D5607864A091}" name="Columna1" dataDxfId="242">
      <calculatedColumnFormula>IF(Tabla_Caja[[#This Row],[id_padre]]=Tabla_Caja[[#This Row],[Id]],"NOK","OK")</calculatedColumnFormula>
    </tableColumn>
    <tableColumn id="1" xr3:uid="{6A28A453-6212-4BF1-B843-5586BF899735}" name="Responsable" dataDxfId="24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199976-2831-4436-B0B7-01211B9C22E8}" name="Tabla_Compras" displayName="Tabla_Compras" ref="A1:AD103" totalsRowShown="0" headerRowDxfId="240" dataDxfId="239">
  <autoFilter ref="A1:AD103" xr:uid="{2FC89A4D-D3A9-4AB1-B1FF-9E2F58E36482}">
    <filterColumn colId="1">
      <filters blank="1">
        <filter val="635"/>
        <filter val="636"/>
        <filter val="651"/>
        <filter val="652"/>
      </filters>
    </filterColumn>
  </autoFilter>
  <tableColumns count="30">
    <tableColumn id="21" xr3:uid="{216CDFB6-173D-4463-8C6E-2C0AE794B6FD}" name="Id_anterior" dataDxfId="238">
      <calculatedColumnFormula>MAX(Tabla_Caja[Id])</calculatedColumnFormula>
    </tableColumn>
    <tableColumn id="12" xr3:uid="{07FD9D16-C5CE-4B30-838E-AF3EE1CA3BEC}" name="id_padre" dataDxfId="237"/>
    <tableColumn id="4" xr3:uid="{C53D561C-F175-4CD0-83DF-B4DAA3118811}" name="Nivel" dataDxfId="236">
      <calculatedColumnFormula>IF(Tabla_Compras[[#This Row],[id_padre]]="",0,_xlfn.XLOOKUP(Tabla_Compras[[#This Row],[id_padre]],Tabla_Compras[Id],Tabla_Compras[Nivel],0,0,1)+1)</calculatedColumnFormula>
    </tableColumn>
    <tableColumn id="3" xr3:uid="{5A06509A-5E99-4402-90D0-857585E0F8CF}" name="Nombre Opción" dataDxfId="235"/>
    <tableColumn id="11" xr3:uid="{9B2D9F98-EFAE-4F58-ADEB-322CA1F15A05}" name="Id" dataDxfId="234">
      <calculatedColumnFormula>IF(Tabla_Compras[[#This Row],[Id_anterior]]=1,ROW()-1,SUM(ROW()-1,Tabla_Compras[[#This Row],[Id_anterior]]))</calculatedColumnFormula>
    </tableColumn>
    <tableColumn id="16" xr3:uid="{F002A701-FA52-4AC2-A600-5742713BEACC}" name="Codigo_Tecnico" dataDxfId="233">
      <calculatedColumnFormula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calculatedColumnFormula>
    </tableColumn>
    <tableColumn id="17" xr3:uid="{BF06F090-B702-4E87-836B-6CBAAAAFB62E}" name="Etiqueta" dataDxfId="232">
      <calculatedColumnFormula>CLEAN(PROPER(Tabla_Compras[[#This Row],[Nombre Opción]]))</calculatedColumnFormula>
    </tableColumn>
    <tableColumn id="18" xr3:uid="{59C01B32-4B05-47AB-A40B-0D98175BD6A1}" name="Tipo_Nodo" dataDxfId="231"/>
    <tableColumn id="19" xr3:uid="{208CAE97-D0F7-4CA3-813B-0D320DCE88D1}" name="Codigo_Padre" dataDxfId="230">
      <calculatedColumnFormula>_xlfn.XLOOKUP(Tabla_Compras[[#This Row],[id_padre]],Tabla_Compras[Id],Tabla_Compras[Codigo_Tecnico],"",0,1)</calculatedColumnFormula>
    </tableColumn>
    <tableColumn id="13" xr3:uid="{DE26C44D-EB57-4D25-B275-DD2EBD028FB8}" name="Ruta_Web" dataDxfId="229">
      <calculatedColumnFormula>IF(Tabla_Compras[[#This Row],[Nivel]]=0,CONCATENATE("/",Tabla_Compras[[#This Row],[Slug]]),CONCATENATE(_xlfn.XLOOKUP(Tabla_Compras[[#This Row],[id_padre]],Tabla_Compras[Id],Tabla_Compras[Ruta_Web],"",0,1),"/",Tabla_Compras[[#This Row],[Slug]]))</calculatedColumnFormula>
    </tableColumn>
    <tableColumn id="14" xr3:uid="{2F50DC26-444B-438B-8C4A-1DEFF817FD2D}" name="Slug" dataDxfId="228">
      <calculatedColumnFormula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5" xr3:uid="{D10C9130-DC6B-453A-9A7C-B0D548EF3ED6}" name="Icono" dataDxfId="227"/>
    <tableColumn id="22" xr3:uid="{2A66F6AA-7655-448C-83CF-1A1D760B89A7}" name="Modulos" dataDxfId="226"/>
    <tableColumn id="5" xr3:uid="{311AF53F-9D75-434F-9CA4-B3F7FFAC4D94}" name="ROL_JEFE_FIN_COMPRAS" dataDxfId="225"/>
    <tableColumn id="6" xr3:uid="{B22FBB66-777C-4C90-8276-6F35C2C33E2D}" name="ROL_JEFE_CONT_COMPRAS" dataDxfId="224"/>
    <tableColumn id="7" xr3:uid="{D742DCC4-63E2-463D-A165-F1E39473E989}" name="ROL_ANALI_COMPRAS" dataDxfId="223"/>
    <tableColumn id="8" xr3:uid="{FA67E1F0-0801-4ECA-B034-3CCD8DF8BF2A}" name="ROL_JEFE_ABAT_COMPRAS" dataDxfId="222"/>
    <tableColumn id="9" xr3:uid="{941551A4-30B0-4A27-A664-7671F16BB37D}" name="ROL_JEFE_ADQ_COMPRAS" dataDxfId="221"/>
    <tableColumn id="10" xr3:uid="{06DA84FA-74AC-4C91-896E-ADEC5FB902C0}" name="ROL_COMP_COMPRAS" dataDxfId="220"/>
    <tableColumn id="27" xr3:uid="{54A4F480-B3BA-42BD-B752-10AC881479EA}" name="ROL_LOGIS_COMPRAS" dataDxfId="219"/>
    <tableColumn id="28" xr3:uid="{DD167BAD-B4C7-4143-80F7-CBBBE626A9D4}" name="ROL_CONSOLI_COMPRAS" dataDxfId="218"/>
    <tableColumn id="29" xr3:uid="{33EEB3F3-F3D9-4BC9-8D7E-B6143050F7D3}" name="ROL_ADM_COMPRAS" dataDxfId="217"/>
    <tableColumn id="30" xr3:uid="{F8D9D524-AE97-4875-8119-1627F9CB1A7E}" name="ROL_MEMO_COMPRAS" dataDxfId="216"/>
    <tableColumn id="31" xr3:uid="{FA65C6E9-84C4-4668-98FE-9E46FD024BB2}" name="ROL_JEFE_SUPER_COMPRAS" dataDxfId="215"/>
    <tableColumn id="32" xr3:uid="{525FC087-4D58-42FD-BE67-8E0D884B0354}" name="ROL_ANALI_COMPRAS_ACTA" dataDxfId="214"/>
    <tableColumn id="33" xr3:uid="{F0D7DF06-9B03-4CF3-ACBC-17EC3DF1D5CD}" name="ROL_SUPERVISOR_COMPRAS_ACTA" dataDxfId="213"/>
    <tableColumn id="34" xr3:uid="{62995EE0-B19C-42B2-A6D4-639490BAAFDB}" name="ROL_ACTA_ALIM" dataDxfId="212"/>
    <tableColumn id="2" xr3:uid="{5047F87D-0C51-454A-85BE-824E72D7EA79}" name="ROL_DEV" dataDxfId="211"/>
    <tableColumn id="20" xr3:uid="{814E4220-B93C-45D1-BEB9-EB05BE335893}" name="Columna1" dataDxfId="210">
      <calculatedColumnFormula>IF(Tabla_Compras[[#This Row],[id_padre]]=Tabla_Compras[[#This Row],[Id]],"NOK","OK")</calculatedColumnFormula>
    </tableColumn>
    <tableColumn id="1" xr3:uid="{8D2D2CB6-F692-42BC-B53F-2DAC40C67D9B}" name="Responsable" dataDxfId="20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CFBEBD-AAE2-466C-B5B2-57A9C6A863BE}" name="Tabla_Decretos" displayName="Tabla_Decretos" ref="A1:AJ180" totalsRowShown="0" headerRowDxfId="208" dataDxfId="207">
  <autoFilter ref="A1:AJ180" xr:uid="{2FC89A4D-D3A9-4AB1-B1FF-9E2F58E36482}">
    <filterColumn colId="1">
      <filters blank="1">
        <filter val="737"/>
        <filter val="738"/>
        <filter val="757"/>
        <filter val="765"/>
      </filters>
    </filterColumn>
  </autoFilter>
  <tableColumns count="36">
    <tableColumn id="35" xr3:uid="{B8077AEE-F7FB-4B64-8C13-52FB40712C6E}" name="Id_anterior" dataDxfId="206">
      <calculatedColumnFormula>MAX(Tabla_Compras[Id])</calculatedColumnFormula>
    </tableColumn>
    <tableColumn id="18" xr3:uid="{0198930F-58E8-4B99-AE59-AED1D87AB390}" name="id_padre" dataDxfId="205"/>
    <tableColumn id="4" xr3:uid="{17365D47-A878-4907-99EE-A7AA0C95F8E0}" name="Nivel" dataDxfId="204">
      <calculatedColumnFormula>IF(Tabla_Decretos[[#This Row],[id_padre]]="",0,_xlfn.XLOOKUP(Tabla_Decretos[[#This Row],[id_padre]],Tabla_Decretos[Id],Tabla_Decretos[Nivel],0,0,1)+1)</calculatedColumnFormula>
    </tableColumn>
    <tableColumn id="3" xr3:uid="{DD9CB264-C518-447C-92C7-7FE703DB4B86}" name="Nombre Opción" dataDxfId="203"/>
    <tableColumn id="17" xr3:uid="{8BB45764-48E0-42B2-945A-640AE705D1B7}" name="Id" dataDxfId="202">
      <calculatedColumnFormula>IF(Tabla_Decretos[[#This Row],[Id_anterior]]=1,ROW()-1,SUM(ROW()-1,Tabla_Decretos[[#This Row],[Id_anterior]]))</calculatedColumnFormula>
    </tableColumn>
    <tableColumn id="22" xr3:uid="{92199E4B-4C59-4167-BAC0-14DB1B74BD3E}" name="Codigo_Tecnico" dataDxfId="201">
      <calculatedColumnFormula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calculatedColumnFormula>
    </tableColumn>
    <tableColumn id="23" xr3:uid="{FE34281E-B1E7-4366-9CAA-D0E633F0DF98}" name="Etiqueta" dataDxfId="200">
      <calculatedColumnFormula>CLEAN(PROPER(Tabla_Decretos[[#This Row],[Nombre Opción]]))</calculatedColumnFormula>
    </tableColumn>
    <tableColumn id="24" xr3:uid="{273DB5F4-F1FB-474B-A5CC-11B34A3585B1}" name="Tipo_Nodo" dataDxfId="199"/>
    <tableColumn id="25" xr3:uid="{F74D1971-8969-4E2B-ABF5-E5743E0B3160}" name="Codigo_Padre" dataDxfId="198">
      <calculatedColumnFormula>_xlfn.XLOOKUP(Tabla_Decretos[[#This Row],[id_padre]],Tabla_Decretos[Id],Tabla_Decretos[Codigo_Tecnico],"",0,1)</calculatedColumnFormula>
    </tableColumn>
    <tableColumn id="19" xr3:uid="{B59BFD3F-8C0B-490C-8CCC-0FD05FC38BDD}" name="Ruta_Web" dataDxfId="197">
      <calculatedColumnFormula>IF(Tabla_Decretos[[#This Row],[Nivel]]=0,CONCATENATE("/",Tabla_Decretos[[#This Row],[Slug]]),CONCATENATE(_xlfn.XLOOKUP(Tabla_Decretos[[#This Row],[id_padre]],Tabla_Decretos[Id],Tabla_Decretos[Ruta_Web],"",0,1),"/",Tabla_Decretos[[#This Row],[Slug]]))</calculatedColumnFormula>
    </tableColumn>
    <tableColumn id="20" xr3:uid="{4D63ECF5-B1CA-4695-AEFB-195CB158CE4D}" name="Slug" dataDxfId="196">
      <calculatedColumnFormula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21" xr3:uid="{9452B610-5970-4EC0-A2EC-1AAFB8320B9A}" name="Icono" dataDxfId="195"/>
    <tableColumn id="1" xr3:uid="{AA4E0733-6E22-424E-9967-56D5360EB686}" name="Modulos" dataDxfId="194"/>
    <tableColumn id="5" xr3:uid="{B9817F5E-99F4-4D4E-B98E-02C8B061A0D5}" name="ROL_ADM_DECRETOS" dataDxfId="193"/>
    <tableColumn id="6" xr3:uid="{A1F1CC80-091B-4463-A244-5DBAD6E5C61D}" name="ROL_ANALI_DECRETOS" dataDxfId="192"/>
    <tableColumn id="7" xr3:uid="{FCA5C276-48D3-40C7-ABB6-0BA9E0DAFF7A}" name="ROL_AUDITOR_DECRETOS" dataDxfId="191"/>
    <tableColumn id="8" xr3:uid="{F1E2758B-3F7F-4CEF-B81E-A69C18BFF6F8}" name="ROL_JEFE_DECRETOS" dataDxfId="190"/>
    <tableColumn id="9" xr3:uid="{2845F946-733F-47C0-83D3-C9C2023C4900}" name="ROL_SUPER_DECRETOS" dataDxfId="189"/>
    <tableColumn id="10" xr3:uid="{5781D626-AE16-48AB-812C-C16172540E17}" name="ROL_ADM_FMS" dataDxfId="188"/>
    <tableColumn id="27" xr3:uid="{9147C7CF-AD8C-49A9-BA96-A59BEE5C5D26}" name="ROL_ANALI_FMS" dataDxfId="187"/>
    <tableColumn id="28" xr3:uid="{CDE487A4-E015-408A-BA84-6A7156C42EEF}" name="ROL_AUDITOR_FMS" dataDxfId="186"/>
    <tableColumn id="29" xr3:uid="{489DB8E4-AD7E-40E8-8988-DE03DCE7E567}" name="ROL_JEFE_FMS" dataDxfId="185"/>
    <tableColumn id="30" xr3:uid="{1F3381CC-9FF9-49AA-866D-5675361C631F}" name="ROL_SUPER_FMS" dataDxfId="184"/>
    <tableColumn id="31" xr3:uid="{6018A0A3-1E0A-44CF-A6B7-C16ADF21DFC4}" name="ROL_DIRFIN_FMS" dataDxfId="183"/>
    <tableColumn id="32" xr3:uid="{8D376083-D92E-472A-906F-E0C338B68057}" name="ROL_DIVEDU_FMS" dataDxfId="182"/>
    <tableColumn id="33" xr3:uid="{CE0AF314-011E-4943-8674-35E1A7065804}" name="ROL_CONTRATO_FMS" dataDxfId="181"/>
    <tableColumn id="34" xr3:uid="{31AA32EE-07E0-4A4C-B14A-0F10D41CE730}" name="ROL_DAF_FMS" dataDxfId="180"/>
    <tableColumn id="11" xr3:uid="{CF0A0589-256F-416A-B5D5-42D55F34B40C}" name="ROL_ADM_PROYECTOS" dataDxfId="179"/>
    <tableColumn id="12" xr3:uid="{5E576101-BC31-467E-92AE-8E88C74D51E8}" name="ROL_ANALI_PROYECTOS" dataDxfId="178"/>
    <tableColumn id="13" xr3:uid="{7D453640-87F9-4DD2-AAFF-89B30B9FB94D}" name="ROL_AUDITOR_PROYECTOS" dataDxfId="177"/>
    <tableColumn id="14" xr3:uid="{71DF3FD2-4FA0-468C-8877-8352736B133B}" name="ROL_JEFE_PROYECTOS" dataDxfId="176"/>
    <tableColumn id="15" xr3:uid="{59E80A32-AF3C-4FCA-9286-FEC825D3E784}" name="ROL_SUPER_PROYECTOS" dataDxfId="175"/>
    <tableColumn id="16" xr3:uid="{3170D653-7F74-4046-B290-78DD930667F6}" name="ROL_CONTRATO_PROYECTOS" dataDxfId="174"/>
    <tableColumn id="26" xr3:uid="{00F00DAF-8E5E-4F07-B5C0-D0786F4CCB17}" name="ROL_DEV" dataDxfId="173"/>
    <tableColumn id="36" xr3:uid="{821F0279-79CC-4272-AEDF-546383D137BA}" name="Columna1" dataDxfId="172">
      <calculatedColumnFormula>IF(Tabla_Decretos[[#This Row],[id_padre]]=Tabla_Decretos[[#This Row],[Id]],"NOK","OK")</calculatedColumnFormula>
    </tableColumn>
    <tableColumn id="2" xr3:uid="{965A748A-24D0-4069-A206-75862FB0B7E3}" name="Responsable" dataDxfId="17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7F475E-6DB0-4D44-B21A-D85D5C9B9895}" name="Tabla_Licencias_Medicas" displayName="Tabla_Licencias_Medicas" ref="A1:Y97" totalsRowShown="0" headerRowDxfId="170" dataDxfId="169">
  <autoFilter ref="A1:Y97" xr:uid="{2FC89A4D-D3A9-4AB1-B1FF-9E2F58E36482}">
    <filterColumn colId="1">
      <filters blank="1">
        <filter val="916"/>
        <filter val="917"/>
      </filters>
    </filterColumn>
  </autoFilter>
  <tableColumns count="25">
    <tableColumn id="21" xr3:uid="{C5B31272-043C-45C8-8905-FD3B99FB36C2}" name="Id_anterior" dataDxfId="168">
      <calculatedColumnFormula>MAX(Tabla_Decretos[Id])</calculatedColumnFormula>
    </tableColumn>
    <tableColumn id="12" xr3:uid="{7ACAA86D-2C5C-43EA-84D6-E1489BF5361D}" name="id_padre" dataDxfId="167"/>
    <tableColumn id="4" xr3:uid="{5706CCEA-0288-4421-9FD1-0361E87B26FD}" name="Nivel" dataDxfId="166">
      <calculatedColumnFormula>IF(Tabla_Licencias_Medicas[[#This Row],[id_padre]]="",0,_xlfn.XLOOKUP(Tabla_Licencias_Medicas[[#This Row],[id_padre]],Tabla_Licencias_Medicas[Id],Tabla_Licencias_Medicas[Nivel],0,0,1)+1)</calculatedColumnFormula>
    </tableColumn>
    <tableColumn id="3" xr3:uid="{BF559063-C735-4069-806F-944643E3DEE9}" name="Nombre Opción" dataDxfId="165"/>
    <tableColumn id="11" xr3:uid="{CC420BF5-5F8B-4172-AA07-4060A3827C1D}" name="Id" dataDxfId="164">
      <calculatedColumnFormula>IF(Tabla_Licencias_Medicas[[#This Row],[Id_anterior]]=1,ROW()-1,SUM(ROW()-1,Tabla_Licencias_Medicas[[#This Row],[Id_anterior]]))</calculatedColumnFormula>
    </tableColumn>
    <tableColumn id="16" xr3:uid="{E099F8DC-D512-4F55-AB60-5A7D45D4A163}" name="Codigo_Tecnico" dataDxfId="163">
      <calculatedColumnFormula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calculatedColumnFormula>
    </tableColumn>
    <tableColumn id="17" xr3:uid="{813A229C-2EF3-4596-97FB-AF701C7063E9}" name="Etiqueta" dataDxfId="162">
      <calculatedColumnFormula>CLEAN(PROPER(Tabla_Licencias_Medicas[[#This Row],[Nombre Opción]]))</calculatedColumnFormula>
    </tableColumn>
    <tableColumn id="18" xr3:uid="{9E93F8AA-98B2-444D-B1CC-78A3822C4A64}" name="Tipo_Nodo" dataDxfId="161"/>
    <tableColumn id="19" xr3:uid="{751B3D61-7FE5-4AE5-858A-01EAF05BB502}" name="Codigo_Padre" dataDxfId="160">
      <calculatedColumnFormula>_xlfn.XLOOKUP(Tabla_Licencias_Medicas[[#This Row],[id_padre]],Tabla_Licencias_Medicas[Id],Tabla_Licencias_Medicas[Codigo_Tecnico],"",0,1)</calculatedColumnFormula>
    </tableColumn>
    <tableColumn id="13" xr3:uid="{58950504-E1BE-404C-BCAA-CA686357D39F}" name="Ruta_Web" dataDxfId="159">
      <calculatedColumnFormula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calculatedColumnFormula>
    </tableColumn>
    <tableColumn id="14" xr3:uid="{4E1C5836-B3EB-4194-B5E1-B725A801768F}" name="Slug" dataDxfId="158">
      <calculatedColumnFormula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5" xr3:uid="{B42D6410-B1B8-4B43-9578-93E739032A51}" name="Icono" dataDxfId="157"/>
    <tableColumn id="22" xr3:uid="{4CCF1EC0-5A4F-49A4-B987-4D4F31325C69}" name="Modulos" dataDxfId="156"/>
    <tableColumn id="5" xr3:uid="{C3424EF4-A141-4B64-BDC2-D46FB4F755AB}" name="ROL_ADM_LICENCIA" dataDxfId="155"/>
    <tableColumn id="6" xr3:uid="{7808BF5B-9DA5-44C2-9B2E-96611EFFF0D7}" name="ROL_SUPERVISOR_CP_LICENCIA" dataDxfId="154"/>
    <tableColumn id="7" xr3:uid="{5DBE86FC-3879-42B2-8745-B3F54F81D107}" name="ROL_SUPERVISOR_UNI_LICENCIA" dataDxfId="153"/>
    <tableColumn id="8" xr3:uid="{2E80BCBA-C0D1-4C1D-8080-02C781FCFCB7}" name="ROL_PERSONAL_CP_LICENCIA" dataDxfId="152"/>
    <tableColumn id="9" xr3:uid="{C2CB51A6-0AA7-4213-93C3-850593A64613}" name="ROL_PERSONAL_UNI_LICENCIA" dataDxfId="151"/>
    <tableColumn id="10" xr3:uid="{FD6CACD1-3E11-45D5-A968-654A6A2FE81B}" name="ROL_JEFE_LICENCIA" dataDxfId="150"/>
    <tableColumn id="27" xr3:uid="{86C1126B-3FB4-43B3-B81E-E0CDC3A02F3D}" name="ROL_AUDIT_LICENCIA" dataDxfId="149"/>
    <tableColumn id="28" xr3:uid="{670EFC69-5DC4-4623-863D-BC745BDE00FF}" name="ROL_CONTA_LICENCIA" dataDxfId="148"/>
    <tableColumn id="29" xr3:uid="{A567F326-56E5-41D3-B0A1-30D2E1FE1381}" name="ROL_PERSONAL_SEC_LICENCIA" dataDxfId="147"/>
    <tableColumn id="2" xr3:uid="{B3D27B93-E7A2-4F93-BA19-9B6F764BBF00}" name="ROL_DEV" dataDxfId="146"/>
    <tableColumn id="20" xr3:uid="{5B416459-A6C6-4682-873D-745AD043F887}" name="Columna1" dataDxfId="145">
      <calculatedColumnFormula>IF(Tabla_Licencias_Medicas[[#This Row],[id_padre]]=Tabla_Licencias_Medicas[[#This Row],[Id]],"NOK","OK")</calculatedColumnFormula>
    </tableColumn>
    <tableColumn id="1" xr3:uid="{65DD803A-65B7-40A7-B605-149B0A08BCD2}" name="Responsable" dataDxfId="14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48C950-E4AC-4402-93B2-328720E8D28F}" name="Tabla_Descuentos" displayName="Tabla_Descuentos" ref="A1:X78" totalsRowShown="0" headerRowDxfId="143" dataDxfId="142">
  <autoFilter ref="A1:X78" xr:uid="{2FC89A4D-D3A9-4AB1-B1FF-9E2F58E36482}">
    <filterColumn colId="1">
      <filters blank="1">
        <filter val="1012"/>
        <filter val="1013"/>
      </filters>
    </filterColumn>
    <filterColumn colId="4">
      <filters>
        <filter val="1012"/>
        <filter val="1013"/>
        <filter val="1018"/>
        <filter val="1019"/>
        <filter val="1020"/>
        <filter val="1021"/>
        <filter val="1022"/>
        <filter val="1023"/>
        <filter val="1024"/>
        <filter val="1025"/>
        <filter val="1026"/>
      </filters>
    </filterColumn>
  </autoFilter>
  <tableColumns count="24">
    <tableColumn id="21" xr3:uid="{E2811B00-BF69-4A39-8B65-2919AB28C8B3}" name="Id_anterior" dataDxfId="141">
      <calculatedColumnFormula>MAX(Tabla_Licencias_Medicas[Id])</calculatedColumnFormula>
    </tableColumn>
    <tableColumn id="14" xr3:uid="{81AF0C06-0922-4A80-9773-6950325B0E85}" name="id_padre" dataDxfId="140"/>
    <tableColumn id="4" xr3:uid="{1283C791-E027-4F7E-AB3D-7B815E857269}" name="Nivel" dataDxfId="139">
      <calculatedColumnFormula>IF(Tabla_Descuentos[[#This Row],[id_padre]]="",0,_xlfn.XLOOKUP(Tabla_Descuentos[[#This Row],[id_padre]],Tabla_Descuentos[Id],Tabla_Descuentos[Nivel],0,0,1)+1)</calculatedColumnFormula>
    </tableColumn>
    <tableColumn id="3" xr3:uid="{C4CC662D-E978-4657-9112-644DCFA9C4F4}" name="Nombre Opción" dataDxfId="138"/>
    <tableColumn id="13" xr3:uid="{7EE23745-9DD8-489E-8ACD-BCFB299CAAE3}" name="Id" dataDxfId="137">
      <calculatedColumnFormula>IF(Tabla_Descuentos[[#This Row],[Id_anterior]]=1,ROW()-1,SUM(ROW()-1,Tabla_Descuentos[[#This Row],[Id_anterior]]))</calculatedColumnFormula>
    </tableColumn>
    <tableColumn id="11" xr3:uid="{2FD28A88-457D-4204-BFD7-93EDB7762123}" name="Codigo_Tecnico" dataDxfId="136">
      <calculatedColumnFormula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calculatedColumnFormula>
    </tableColumn>
    <tableColumn id="12" xr3:uid="{1D85D16E-FD77-4B37-9E69-FE4B93FF4927}" name="Etiqueta" dataDxfId="135">
      <calculatedColumnFormula>CLEAN(PROPER(Tabla_Descuentos[[#This Row],[Nombre Opción]]))</calculatedColumnFormula>
    </tableColumn>
    <tableColumn id="18" xr3:uid="{B40D183B-DACF-485C-8593-86679130AC47}" name="Tipo_Nodo" dataDxfId="134"/>
    <tableColumn id="19" xr3:uid="{18774C22-3EA4-4A20-8C03-EE2EFE5CA126}" name="Codigo_Padre" dataDxfId="133">
      <calculatedColumnFormula>_xlfn.XLOOKUP(Tabla_Descuentos[[#This Row],[id_padre]],Tabla_Descuentos[Id],Tabla_Descuentos[Codigo_Tecnico],"",0,1)</calculatedColumnFormula>
    </tableColumn>
    <tableColumn id="15" xr3:uid="{9349D4E8-6619-4560-9E2B-2475614D6A6E}" name="Ruta_Web" dataDxfId="132">
      <calculatedColumnFormula>IF(Tabla_Descuentos[[#This Row],[Nivel]]=0,CONCATENATE("/",Tabla_Descuentos[[#This Row],[Slug]]),CONCATENATE(_xlfn.XLOOKUP(Tabla_Descuentos[[#This Row],[id_padre]],Tabla_Descuentos[Id],Tabla_Descuentos[Ruta_Web],"",0,1),"/",Tabla_Descuentos[[#This Row],[Slug]]))</calculatedColumnFormula>
    </tableColumn>
    <tableColumn id="16" xr3:uid="{96562C9F-50D5-4F63-A848-EACC5B611306}" name="Slug" dataDxfId="131">
      <calculatedColumnFormula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7" xr3:uid="{938B90E2-A028-447D-896C-7CED7F6F38AD}" name="Icono" dataDxfId="130"/>
    <tableColumn id="1" xr3:uid="{3DCBBA56-685F-4F75-A6BC-6FA8610BBD14}" name="Modulo" dataDxfId="129"/>
    <tableColumn id="5" xr3:uid="{8504B171-2281-43F2-A2D9-82506CB1CFA3}" name="ROL_ADM_GRAL_SIDESU" dataDxfId="128"/>
    <tableColumn id="6" xr3:uid="{4A8E76AA-8DD1-4CBA-A6F4-C46F7BAFAE87}" name="ROL_ADM_SIDESU" dataDxfId="127"/>
    <tableColumn id="7" xr3:uid="{3CDAE5FE-4967-4A61-BB69-5EFC53C78457}" name="ROL_AUDITOR_SIDESU" dataDxfId="126"/>
    <tableColumn id="8" xr3:uid="{5E41E1CF-7E8B-4752-8BF6-CCA1DDEBC28B}" name="ROL_DIGITADOR_COMI_SIDESU" dataDxfId="125"/>
    <tableColumn id="9" xr3:uid="{5B931A2E-791F-4EC7-AED2-885819676E3F}" name="ROL_DIGITADOR_FZAS_SIDESU" dataDxfId="124"/>
    <tableColumn id="10" xr3:uid="{0447A651-59CA-4DB3-B9DC-6C539503B58D}" name="ROL_SUPERVISOR_SIDESU" dataDxfId="123"/>
    <tableColumn id="27" xr3:uid="{CEA8D3EC-1A85-4B76-9359-6587C7EEEEF9}" name="ROL_ADM_SIDESU_CADETE" dataDxfId="122"/>
    <tableColumn id="28" xr3:uid="{58A7CEBC-3151-41B8-BC22-89E49B7BCC53}" name="ROL_DIGITADOR_SIDESU_CADETE" dataDxfId="121"/>
    <tableColumn id="20" xr3:uid="{C4C26CFE-49EC-43C6-902A-3EFDD02F4EE2}" name="ROL_DEV" dataDxfId="120"/>
    <tableColumn id="22" xr3:uid="{940DA0EB-6260-405B-A178-00836E7CE4B7}" name="Columna1" dataDxfId="119">
      <calculatedColumnFormula>IF(Tabla_Descuentos[[#This Row],[id_padre]]=Tabla_Descuentos[[#This Row],[Id]],"NOK","OK")</calculatedColumnFormula>
    </tableColumn>
    <tableColumn id="2" xr3:uid="{077317EC-3919-49BA-BED1-B929EED3751A}" name="Responsable" dataDxfId="11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5D04CE4-BD77-47DB-B2D0-5940FE2CA0AA}" name="Tabla_Alimentacion" displayName="Tabla_Alimentacion" ref="A1:AA211" totalsRowShown="0" headerRowDxfId="117" dataDxfId="116">
  <autoFilter ref="A1:AA211" xr:uid="{2FC89A4D-D3A9-4AB1-B1FF-9E2F58E36482}">
    <filterColumn colId="1">
      <filters blank="1">
        <filter val="1089"/>
        <filter val="1090"/>
        <filter val="1109"/>
        <filter val="1111"/>
        <filter val="1118"/>
      </filters>
    </filterColumn>
    <filterColumn colId="4">
      <filters>
        <filter val="1089"/>
        <filter val="1090"/>
        <filter val="1095"/>
        <filter val="1096"/>
        <filter val="1097"/>
        <filter val="1098"/>
        <filter val="1099"/>
        <filter val="1100"/>
        <filter val="1101"/>
        <filter val="1102"/>
        <filter val="1103"/>
        <filter val="1104"/>
        <filter val="1105"/>
        <filter val="1106"/>
        <filter val="1107"/>
        <filter val="1108"/>
        <filter val="1109"/>
        <filter val="1110"/>
        <filter val="1111"/>
        <filter val="1112"/>
        <filter val="1113"/>
        <filter val="1114"/>
        <filter val="1115"/>
        <filter val="1116"/>
        <filter val="1117"/>
        <filter val="1118"/>
        <filter val="1119"/>
        <filter val="1120"/>
        <filter val="1121"/>
        <filter val="1122"/>
        <filter val="1123"/>
        <filter val="1124"/>
        <filter val="1125"/>
        <filter val="1126"/>
        <filter val="1127"/>
        <filter val="1128"/>
      </filters>
    </filterColumn>
  </autoFilter>
  <tableColumns count="27">
    <tableColumn id="21" xr3:uid="{509CD1CA-F32F-4CC7-B9FF-DDB7EE333E41}" name="Id_anterior" dataDxfId="115">
      <calculatedColumnFormula>MAX(Tabla_Descuentos[Id])</calculatedColumnFormula>
    </tableColumn>
    <tableColumn id="14" xr3:uid="{4E2FFF13-65F7-488F-A638-DA2780A04FAE}" name="id_padre" dataDxfId="114"/>
    <tableColumn id="4" xr3:uid="{316BD75E-9CD5-49C9-A46A-6459D37231A3}" name="Nivel" dataDxfId="113">
      <calculatedColumnFormula>IF(Tabla_Alimentacion[[#This Row],[id_padre]]="",0,_xlfn.XLOOKUP(Tabla_Alimentacion[[#This Row],[id_padre]],Tabla_Alimentacion[Id],Tabla_Alimentacion[Nivel],0,0,1)+1)</calculatedColumnFormula>
    </tableColumn>
    <tableColumn id="3" xr3:uid="{F6FE97C4-687A-44CA-8C6D-07F06B8B0E97}" name="Nombre Opción" dataDxfId="112"/>
    <tableColumn id="13" xr3:uid="{65B5EE34-40B1-4FC5-8336-82ACB0BB2387}" name="Id" dataDxfId="111">
      <calculatedColumnFormula>IF(Tabla_Alimentacion[[#This Row],[Id_anterior]]=1,ROW()-1,SUM(ROW()-1,Tabla_Alimentacion[[#This Row],[Id_anterior]]))</calculatedColumnFormula>
    </tableColumn>
    <tableColumn id="11" xr3:uid="{4DAD26E9-94F8-4D25-8C29-70B3EB804AB9}" name="Codigo_Tecnico" dataDxfId="110">
      <calculatedColumnFormula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calculatedColumnFormula>
    </tableColumn>
    <tableColumn id="12" xr3:uid="{DEBABCBA-97AC-42AB-A6D4-6F9554EF45E3}" name="Etiqueta" dataDxfId="109">
      <calculatedColumnFormula>CLEAN(PROPER(Tabla_Alimentacion[[#This Row],[Nombre Opción]]))</calculatedColumnFormula>
    </tableColumn>
    <tableColumn id="18" xr3:uid="{2487B7E4-368A-4AC8-9663-C0ACE04485CA}" name="Tipo_Nodo" dataDxfId="108"/>
    <tableColumn id="19" xr3:uid="{6A6F775B-9F7E-4028-BF99-AD7D889A77B0}" name="Codigo_Padre" dataDxfId="107">
      <calculatedColumnFormula>_xlfn.XLOOKUP(Tabla_Alimentacion[[#This Row],[id_padre]],Tabla_Alimentacion[Id],Tabla_Alimentacion[Codigo_Tecnico],"",0,1)</calculatedColumnFormula>
    </tableColumn>
    <tableColumn id="15" xr3:uid="{A89434B6-F6BF-42B8-B2F5-87198CF95852}" name="Ruta_Web" dataDxfId="106">
      <calculatedColumnFormula>IF(Tabla_Alimentacion[[#This Row],[Nivel]]=0,CONCATENATE("/",Tabla_Alimentacion[[#This Row],[Slug]]),CONCATENATE(_xlfn.XLOOKUP(Tabla_Alimentacion[[#This Row],[id_padre]],Tabla_Alimentacion[Id],Tabla_Alimentacion[Ruta_Web],"",0,1),"/",Tabla_Alimentacion[[#This Row],[Slug]]))</calculatedColumnFormula>
    </tableColumn>
    <tableColumn id="16" xr3:uid="{25340C34-2BC1-4A47-B8A6-D773124BB623}" name="Slug" dataDxfId="105">
      <calculatedColumnFormula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7" xr3:uid="{C63349DC-2ED4-4DC4-8E89-64D8E10394E9}" name="Icono" dataDxfId="104"/>
    <tableColumn id="1" xr3:uid="{0291EA44-B562-4903-BF4B-F4BFDD48715E}" name="Modulos" dataDxfId="103"/>
    <tableColumn id="5" xr3:uid="{D118CA9E-E9D0-4CB4-88FE-9D599A71FD03}" name="ROL_CONSULTOR_SISALU" dataDxfId="102"/>
    <tableColumn id="6" xr3:uid="{63604D41-60C6-44D8-BB11-33213AF80FA8}" name="ROL_ADM_SISALU" dataDxfId="101"/>
    <tableColumn id="7" xr3:uid="{A8F088D1-9722-4F58-B969-CD76F5CFCD29}" name="ROL_ADM_GRAL_SISALU" dataDxfId="100"/>
    <tableColumn id="8" xr3:uid="{A1414FEE-8649-43D8-A9E6-8642C58CDE1B}" name="ROL_JEFE_SUPER_SISALU" dataDxfId="99"/>
    <tableColumn id="9" xr3:uid="{90198BA8-286D-4639-954F-3110ABC9DBDF}" name="ROL_NUTRI_SISALU" dataDxfId="98"/>
    <tableColumn id="10" xr3:uid="{DE414572-41AB-4082-9258-4ACC22915B03}" name="ROL_OPER_SISALU" dataDxfId="97"/>
    <tableColumn id="27" xr3:uid="{1A75E700-F831-4193-ABEE-657BED22B8F1}" name="ROL_OPER_SANIDAD" dataDxfId="96"/>
    <tableColumn id="28" xr3:uid="{BD2E82DE-DB5B-4C95-8FC1-CDF589026C3D}" name="ROL_BODEGUERO_SISALU" dataDxfId="95"/>
    <tableColumn id="29" xr3:uid="{11426049-7B5B-432E-8F31-44C8239C9183}" name="ROL_MAYORDOMO_SISALU" dataDxfId="94"/>
    <tableColumn id="30" xr3:uid="{B7460D9C-CC8A-4211-A1AF-0B8B22EB49A6}" name="ROL_CONTA_SISALU" dataDxfId="93"/>
    <tableColumn id="31" xr3:uid="{D68EE874-898D-4E49-88F7-1F2BBD1EB838}" name="ROL_PERSONAL_SISALU" dataDxfId="92"/>
    <tableColumn id="20" xr3:uid="{F5775B1C-C8B7-4AEB-AB2A-E42D6B8A4024}" name="ROL_DEV" dataDxfId="91"/>
    <tableColumn id="22" xr3:uid="{90C39F96-7A83-4A5F-9581-D72E6C1F85A0}" name="Columna1" dataDxfId="90">
      <calculatedColumnFormula>IF(Tabla_Alimentacion[[#This Row],[id_padre]]=Tabla_Alimentacion[[#This Row],[Id]],"NOK","OK")</calculatedColumnFormula>
    </tableColumn>
    <tableColumn id="2" xr3:uid="{C7B6C59B-4F71-4D5F-9F2E-ACA995C0C7ED}" name="Responsable" dataDxfId="8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C36CDF-3FD0-45CD-8867-8ED2158BF50D}" name="Tabla_VME" displayName="Tabla_VME" ref="A1:AA80" totalsRowShown="0" headerRowDxfId="88" dataDxfId="87">
  <autoFilter ref="A1:AA80" xr:uid="{2FC89A4D-D3A9-4AB1-B1FF-9E2F58E36482}">
    <filterColumn colId="1">
      <filters blank="1">
        <filter val="1299"/>
        <filter val="1300"/>
      </filters>
    </filterColumn>
    <filterColumn colId="4">
      <filters>
        <filter val="1299"/>
        <filter val="1300"/>
        <filter val="1304"/>
        <filter val="1305"/>
        <filter val="1306"/>
        <filter val="1307"/>
        <filter val="1308"/>
        <filter val="1309"/>
        <filter val="1310"/>
        <filter val="1311"/>
        <filter val="1312"/>
        <filter val="1313"/>
        <filter val="1314"/>
        <filter val="1315"/>
        <filter val="1316"/>
        <filter val="1317"/>
      </filters>
    </filterColumn>
  </autoFilter>
  <tableColumns count="27">
    <tableColumn id="21" xr3:uid="{B4600903-2829-4A2D-B2E4-024BB5F69126}" name="Id_anterior">
      <calculatedColumnFormula>MAX(Tabla_Alimentacion[Id])</calculatedColumnFormula>
    </tableColumn>
    <tableColumn id="11" xr3:uid="{01B16E97-16AE-402A-BBAA-AE90341D8C8D}" name="id_padre" dataDxfId="86"/>
    <tableColumn id="4" xr3:uid="{414CB31D-947C-4E6E-BBF4-385687A34762}" name="Nivel" dataDxfId="85">
      <calculatedColumnFormula>IF(Tabla_VME[[#This Row],[id_padre]]="",0,_xlfn.XLOOKUP(Tabla_VME[[#This Row],[id_padre]],Tabla_VME[Id],Tabla_VME[Nivel],0,0,1)+1)</calculatedColumnFormula>
    </tableColumn>
    <tableColumn id="3" xr3:uid="{910FE789-1638-4A60-9A8F-F706C3CC6DD3}" name="Nombre Opción" dataDxfId="84"/>
    <tableColumn id="12" xr3:uid="{C956EC1B-1052-4443-9AF8-F72274CC0D53}" name="Id" dataDxfId="83">
      <calculatedColumnFormula>IF(Tabla_VME[[#This Row],[Id_anterior]]=1,ROW()-1,SUM(ROW()-1,Tabla_VME[[#This Row],[Id_anterior]]))</calculatedColumnFormula>
    </tableColumn>
    <tableColumn id="13" xr3:uid="{3D3C8A32-C7FD-4F7E-8778-EF7DD2B59252}" name="Codigo_Tecnico" dataDxfId="82">
      <calculatedColumnFormula>IF(Tabla_VME[[#This Row],[id_padre]]="",SUBSTITUTE(UPPER(Tabla_VME[[#This Row],[Slug]]),"-","_"),CONCATENATE(_xlfn.XLOOKUP(Tabla_VME[[#This Row],[id_padre]],Tabla_VME[Id],Tabla_VME[Codigo_Tecnico],"",0,1),"_",SUBSTITUTE(UPPER(Tabla_VME[[#This Row],[Slug]]),"-","_")))</calculatedColumnFormula>
    </tableColumn>
    <tableColumn id="14" xr3:uid="{B707F4E3-47EE-40F1-A1D8-2493B245DC09}" name="Etiqueta" dataDxfId="81">
      <calculatedColumnFormula>CLEAN(PROPER(Tabla_VME[[#This Row],[Nombre Opción]]))</calculatedColumnFormula>
    </tableColumn>
    <tableColumn id="15" xr3:uid="{ABAD828C-C1E4-4618-8FFB-5F1E7E4933AD}" name="Tipo_Nodo" dataDxfId="80"/>
    <tableColumn id="19" xr3:uid="{0D284057-6E6A-49C0-A076-723D39193A77}" name="Codigo_Padre" dataDxfId="79">
      <calculatedColumnFormula>_xlfn.XLOOKUP(Tabla_VME[[#This Row],[id_padre]],Tabla_VME[Id],Tabla_VME[Codigo_Tecnico],"",0,1)</calculatedColumnFormula>
    </tableColumn>
    <tableColumn id="16" xr3:uid="{CF814FDE-449D-45BE-871F-CD1B4498FBA2}" name="Ruta_Web" dataDxfId="78">
      <calculatedColumnFormula>IF(Tabla_VME[[#This Row],[Nivel]]=0,CONCATENATE("/",Tabla_VME[[#This Row],[Slug]]),CONCATENATE(_xlfn.XLOOKUP(Tabla_VME[[#This Row],[id_padre]],Tabla_VME[Id],Tabla_VME[Ruta_Web],"",0,1),"/",Tabla_VME[[#This Row],[Slug]]))</calculatedColumnFormula>
    </tableColumn>
    <tableColumn id="17" xr3:uid="{F57409FE-E593-4749-8231-181216BED56C}" name="Slug" dataDxfId="77">
      <calculatedColumnFormula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8" xr3:uid="{06828B3F-B6CE-4F88-BDB4-17115FB0AEDC}" name="Icono" dataDxfId="76"/>
    <tableColumn id="1" xr3:uid="{C779176E-3B9E-4BEF-936D-AF80E243C67E}" name="Modulos" dataDxfId="75"/>
    <tableColumn id="5" xr3:uid="{EB86521D-357A-4AAD-BE8C-E804C41F84D3}" name="ROL_ADM_VIAEXT" dataDxfId="74"/>
    <tableColumn id="6" xr3:uid="{21069434-80D5-4C85-89DE-2FA398A0D19C}" name="ROL_JEFE_CONT_VIAEXT" dataDxfId="73"/>
    <tableColumn id="7" xr3:uid="{269704E8-E291-4FE0-80F7-784345A93A0F}" name="ROL_ANALI_VIAEXT" dataDxfId="72"/>
    <tableColumn id="8" xr3:uid="{05CB6F16-56D3-43E2-BCC1-3CFFDA4199FC}" name="ROL_AUDIT_VIAEXT" dataDxfId="71"/>
    <tableColumn id="9" xr3:uid="{565E60E6-553B-49B4-8976-ABE59201F139}" name="ROL_UI_VIAEXT" dataDxfId="70"/>
    <tableColumn id="10" xr3:uid="{5B55EF7E-3E92-4C4A-AEC8-65B877B0669A}" name="ROL_SUPER_VIAEXT" dataDxfId="69"/>
    <tableColumn id="27" xr3:uid="{73DE97EA-4601-4503-AB19-2B6D5061793B}" name="ROL_PRESU_VIAEXT" dataDxfId="68"/>
    <tableColumn id="28" xr3:uid="{0342990B-273F-40B1-A6BB-E70299106468}" name="ROL_SUPER_UI_VIAEXT" dataDxfId="67"/>
    <tableColumn id="29" xr3:uid="{0BA4BF7B-41D5-4705-8431-5E2E75C151A2}" name="ROL_AGREGADURIA_VIAEXT" dataDxfId="66"/>
    <tableColumn id="30" xr3:uid="{489C1853-8926-4F60-8B21-A2B5519A785E}" name="ROL_RRHH_VIAEXT" dataDxfId="65"/>
    <tableColumn id="31" xr3:uid="{7D28E5F3-C22C-46DE-86A3-78CA01499506}" name="ROL_MAW_VIAEXT" dataDxfId="64"/>
    <tableColumn id="20" xr3:uid="{08359A9F-672A-4402-A820-87E39DEDD1C1}" name="ROL_DEV" dataDxfId="63"/>
    <tableColumn id="2" xr3:uid="{FC10C336-450B-47E8-BA49-BDDEE403553C}" name="Validación" dataDxfId="62">
      <calculatedColumnFormula>IF(Tabla_VME[[#This Row],[id_padre]]=Tabla_VME[[#This Row],[Id]],"NOK","OK")</calculatedColumnFormula>
    </tableColumn>
    <tableColumn id="22" xr3:uid="{BC5BAD9D-62BD-4B75-ADA1-3C384C32C2DE}" name="Responsable" dataDxfId="6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B7ACB4B-966A-47C8-BEDA-53A3761EAE6D}" name="Tabla_Activo_Fijo" displayName="Tabla_Activo_Fijo" ref="A1:V135" totalsRowShown="0" headerRowDxfId="60" dataDxfId="59">
  <autoFilter ref="A1:V135" xr:uid="{2FC89A4D-D3A9-4AB1-B1FF-9E2F58E36482}">
    <filterColumn colId="1">
      <filters blank="1">
        <filter val="1378"/>
        <filter val="1379"/>
      </filters>
    </filterColumn>
    <filterColumn colId="4">
      <filters>
        <filter val="1378"/>
        <filter val="1379"/>
        <filter val="1383"/>
        <filter val="1384"/>
        <filter val="1385"/>
        <filter val="1386"/>
        <filter val="1387"/>
        <filter val="1388"/>
        <filter val="1389"/>
        <filter val="1390"/>
        <filter val="1391"/>
        <filter val="1392"/>
        <filter val="1393"/>
        <filter val="1394"/>
        <filter val="1395"/>
        <filter val="1396"/>
        <filter val="1397"/>
        <filter val="1398"/>
        <filter val="1399"/>
        <filter val="1400"/>
        <filter val="1401"/>
        <filter val="1402"/>
        <filter val="1403"/>
        <filter val="1404"/>
        <filter val="1405"/>
        <filter val="1406"/>
        <filter val="1407"/>
      </filters>
    </filterColumn>
  </autoFilter>
  <tableColumns count="22">
    <tableColumn id="21" xr3:uid="{884BE86D-BF97-4289-9837-2CA2680131AE}" name="Id_anterior">
      <calculatedColumnFormula>MAX(Tabla_VME[Id])</calculatedColumnFormula>
    </tableColumn>
    <tableColumn id="12" xr3:uid="{9F43118D-F4E9-46A0-ABF9-242EA7BC8AFA}" name="id_padre"/>
    <tableColumn id="4" xr3:uid="{478A8855-BA33-49CC-AF2C-4A8FC72C877D}" name="Nivel" dataDxfId="58">
      <calculatedColumnFormula>IF(Tabla_Activo_Fijo[[#This Row],[id_padre]]="",0,_xlfn.XLOOKUP(Tabla_Activo_Fijo[[#This Row],[id_padre]],Tabla_Activo_Fijo[Id],Tabla_Activo_Fijo[Nivel],0,0,1)+1)</calculatedColumnFormula>
    </tableColumn>
    <tableColumn id="3" xr3:uid="{B375733B-DA5B-44D5-97D8-CFD03CC8620C}" name="Nombre Opción" dataDxfId="57"/>
    <tableColumn id="11" xr3:uid="{7EEC6A0B-29B0-434F-B7B2-B4276D6B3A47}" name="Id" dataDxfId="56">
      <calculatedColumnFormula>IF(Tabla_Activo_Fijo[[#This Row],[Id_anterior]]=1,ROW()-1,SUM(ROW()-1,Tabla_Activo_Fijo[[#This Row],[Id_anterior]]))</calculatedColumnFormula>
    </tableColumn>
    <tableColumn id="16" xr3:uid="{9D971C67-919D-4A2D-9916-913AB3F189CC}" name="Codigo_Tecnico" dataDxfId="55">
      <calculatedColumnFormula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calculatedColumnFormula>
    </tableColumn>
    <tableColumn id="17" xr3:uid="{BCD7B55E-DDB4-4580-B7C8-CC602184D197}" name="Etiqueta" dataDxfId="54">
      <calculatedColumnFormula>CLEAN(PROPER(Tabla_Activo_Fijo[[#This Row],[Nombre Opción]]))</calculatedColumnFormula>
    </tableColumn>
    <tableColumn id="18" xr3:uid="{513ECFF2-BED6-48D9-B90B-6859DEC39283}" name="Tipo_Nodo" dataDxfId="53"/>
    <tableColumn id="19" xr3:uid="{54520232-D4AF-41CC-99DC-A682DF3A392C}" name="Codigo_Padre" dataDxfId="52">
      <calculatedColumnFormula>_xlfn.XLOOKUP(Tabla_Activo_Fijo[[#This Row],[id_padre]],Tabla_Activo_Fijo[Id],Tabla_Activo_Fijo[Codigo_Tecnico],"",0,1)</calculatedColumnFormula>
    </tableColumn>
    <tableColumn id="13" xr3:uid="{A131FC68-9C70-4EE5-B3A7-57178DF93C58}" name="Ruta_Web" dataDxfId="51">
      <calculatedColumnFormula>IF(Tabla_Activo_Fijo[[#This Row],[Nivel]]=0,CONCATENATE("/",Tabla_Activo_Fijo[[#This Row],[Slug]]),CONCATENATE(_xlfn.XLOOKUP(Tabla_Activo_Fijo[[#This Row],[id_padre]],Tabla_Activo_Fijo[Id],Tabla_Activo_Fijo[Ruta_Web],"",0,1),"/",Tabla_Activo_Fijo[[#This Row],[Slug]]))</calculatedColumnFormula>
    </tableColumn>
    <tableColumn id="14" xr3:uid="{AC45B2C1-C879-4467-9B7C-94EA02C1C1B1}" name="Slug" dataDxfId="50">
      <calculatedColumnFormula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22" xr3:uid="{1F83FAC2-C718-4DDF-BF24-088FDDE2FC5C}" name="Icono" dataDxfId="49"/>
    <tableColumn id="1" xr3:uid="{772C0A5F-36CB-41B8-A3F2-E3868218CC30}" name="Modulos" dataDxfId="48"/>
    <tableColumn id="5" xr3:uid="{D62F722C-EE84-4B5B-9AFB-2C28F446CD5F}" name="ROL_ADM_INFRA" dataDxfId="47"/>
    <tableColumn id="6" xr3:uid="{CA4B0E23-F40D-4D79-A729-F23AEEA8DC19}" name="ROL_ANALI_INFRA" dataDxfId="46"/>
    <tableColumn id="7" xr3:uid="{D5FE24F0-BB8E-4BB0-8133-9038F2B9B2B6}" name="ROL_AUDITOR_INFRA" dataDxfId="45"/>
    <tableColumn id="8" xr3:uid="{12A85B8C-9954-4208-B859-F088C9F1D087}" name="ROL_JEFE_INFRA" dataDxfId="44"/>
    <tableColumn id="9" xr3:uid="{21C98D5A-CF5F-450A-8508-B4D2537ACA1B}" name="ROL_SUPER_INFRA" dataDxfId="43"/>
    <tableColumn id="10" xr3:uid="{32A20D8C-C8B9-4FEB-B040-E531D60C28E8}" name="ROL_CONSOLIDA_INFRA" dataDxfId="42"/>
    <tableColumn id="15" xr3:uid="{4FD8551C-8044-48AA-80CF-FD8B6D5402E0}" name="ROL_DEV" dataDxfId="41"/>
    <tableColumn id="2" xr3:uid="{1AC62902-48F7-4AD9-8A9E-8D5694368764}" name="Validación" dataDxfId="40">
      <calculatedColumnFormula>IF(Tabla_Activo_Fijo[[#This Row],[id_padre]]=Tabla_Activo_Fijo[[#This Row],[Id]],"NOK","OK")</calculatedColumnFormula>
    </tableColumn>
    <tableColumn id="20" xr3:uid="{FB6B5CD2-1DD7-4453-9EC9-6959A55CFEB1}" name="Responsable" dataDxfId="3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ED1BCBD-B4F5-4A7A-A873-15E54550033A}" name="Tabla_Compras_Extranjera" displayName="Tabla_Compras_Extranjera" ref="A1:U137" totalsRowShown="0" headerRowDxfId="38" dataDxfId="37">
  <autoFilter ref="A1:U137" xr:uid="{2FC89A4D-D3A9-4AB1-B1FF-9E2F58E36482}">
    <filterColumn colId="1">
      <filters blank="1">
        <filter val="1512"/>
        <filter val="1513"/>
      </filters>
    </filterColumn>
    <filterColumn colId="4">
      <filters>
        <filter val="1512"/>
        <filter val="1513"/>
        <filter val="1517"/>
        <filter val="1518"/>
        <filter val="1519"/>
        <filter val="1520"/>
        <filter val="1521"/>
        <filter val="1522"/>
        <filter val="1523"/>
        <filter val="1524"/>
        <filter val="1525"/>
      </filters>
    </filterColumn>
  </autoFilter>
  <tableColumns count="21">
    <tableColumn id="20" xr3:uid="{71D6DD37-8090-4EAA-AB99-0D55A7FB96B2}" name="Id_anterior">
      <calculatedColumnFormula>MAX(Tabla_Activo_Fijo[Id])</calculatedColumnFormula>
    </tableColumn>
    <tableColumn id="11" xr3:uid="{192ADBE4-492A-485E-B11E-4505E111D35A}" name="id_padre"/>
    <tableColumn id="4" xr3:uid="{D6E93E0D-C76C-490E-AC98-4913E8284263}" name="Nivel" dataDxfId="36">
      <calculatedColumnFormula>IF(Tabla_Compras_Extranjera[[#This Row],[id_padre]]="",0,_xlfn.XLOOKUP(Tabla_Compras_Extranjera[[#This Row],[id_padre]],Tabla_Compras_Extranjera[Id],Tabla_Compras_Extranjera[Nivel],0,0,1)+1)</calculatedColumnFormula>
    </tableColumn>
    <tableColumn id="3" xr3:uid="{F2E702CD-A513-44E6-BF0F-74738350A48F}" name="Nombre Opción" dataDxfId="35"/>
    <tableColumn id="10" xr3:uid="{26839F1B-2824-4F7D-87DD-C2336B0EF7DB}" name="Id" dataDxfId="34">
      <calculatedColumnFormula>IF(Tabla_Compras_Extranjera[[#This Row],[Id_anterior]]=1,ROW()-1,SUM(ROW()-1,Tabla_Compras_Extranjera[[#This Row],[Id_anterior]]))</calculatedColumnFormula>
    </tableColumn>
    <tableColumn id="15" xr3:uid="{AA5BC3A2-DBA6-4563-B080-F158B4EC2494}" name="Codigo_Tecnico" dataDxfId="33">
      <calculatedColumnFormula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calculatedColumnFormula>
    </tableColumn>
    <tableColumn id="16" xr3:uid="{AA4191B5-ED1D-4991-A25A-C8C2F954BBBD}" name="Etiqueta" dataDxfId="32">
      <calculatedColumnFormula>CLEAN(PROPER(Tabla_Compras_Extranjera[[#This Row],[Nombre Opción]]))</calculatedColumnFormula>
    </tableColumn>
    <tableColumn id="17" xr3:uid="{B27A693B-B09C-4184-B2E3-8962B12AB4D3}" name="Tipo_Nodo" dataDxfId="31"/>
    <tableColumn id="18" xr3:uid="{200390F1-9267-43B3-BC06-9E4C7C354E55}" name="Codigo_Padre" dataDxfId="30">
      <calculatedColumnFormula>_xlfn.XLOOKUP(Tabla_Compras_Extranjera[[#This Row],[id_padre]],Tabla_Compras_Extranjera[Id],Tabla_Compras_Extranjera[Codigo_Tecnico],"",0,1)</calculatedColumnFormula>
    </tableColumn>
    <tableColumn id="12" xr3:uid="{28BB14B9-3BDE-4AD7-B060-75BE32DC9BDD}" name="Ruta_Web" dataDxfId="29">
      <calculatedColumnFormula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calculatedColumnFormula>
    </tableColumn>
    <tableColumn id="13" xr3:uid="{17DC4F53-E962-4FA5-9A4C-B134A41F669B}" name="Slug" dataDxfId="28">
      <calculatedColumnFormula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4" xr3:uid="{17B873CB-D39E-4427-971F-4515BC1CBE7C}" name="Icono" dataDxfId="27"/>
    <tableColumn id="1" xr3:uid="{D06E7D69-BC36-41A9-8178-9CC477F2F08C}" name="Modulos" dataDxfId="26"/>
    <tableColumn id="5" xr3:uid="{32C80C64-6B8B-4D38-BD8C-7F57761B7669}" name="ROL_ADM_COMEX" dataDxfId="25"/>
    <tableColumn id="6" xr3:uid="{D6BA2FDC-4DDE-47BE-9A65-FFFD08C51D68}" name="ROL_JEFE_COMEX" dataDxfId="24"/>
    <tableColumn id="7" xr3:uid="{C2630AE1-662C-4FBB-82F2-4C8F33DBA6B7}" name="ROL_SUPER_COMEX" dataDxfId="23"/>
    <tableColumn id="8" xr3:uid="{1EC03892-B001-4DC7-9FFE-49C23FC7F7D8}" name="ROL_ANALI_COMEX" dataDxfId="22"/>
    <tableColumn id="9" xr3:uid="{9829C558-2529-4760-9E2D-EA06600ABCBA}" name="ROL_AUDIT_COMEX" dataDxfId="21"/>
    <tableColumn id="19" xr3:uid="{5B286277-9189-422F-99ED-260AC863BED0}" name="ROL_DEV" dataDxfId="20"/>
    <tableColumn id="2" xr3:uid="{08F37ACD-E319-45F0-9784-2FB611773776}" name="Validación" dataDxfId="19">
      <calculatedColumnFormula>IF(Tabla_Compras_Extranjera[[#This Row],[id_padre]]=Tabla_Compras_Extranjera[[#This Row],[Id]],"NOK","OK")</calculatedColumnFormula>
    </tableColumn>
    <tableColumn id="21" xr3:uid="{52255514-1EC9-427C-A627-00B46238A83B}" name="Responsable" dataDxfId="1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7337AAC-55D7-43DA-AAE6-80AC79356D97}" name="Tabla_Consolidados" displayName="Tabla_Consolidados" ref="A1:Q61" totalsRowShown="0" headerRowDxfId="17" dataDxfId="16">
  <autoFilter ref="A1:Q61" xr:uid="{2FC89A4D-D3A9-4AB1-B1FF-9E2F58E36482}">
    <filterColumn colId="1">
      <filters blank="1">
        <filter val="1648"/>
        <filter val="1649"/>
        <filter val="1660"/>
        <filter val="1662"/>
        <filter val="1668"/>
      </filters>
    </filterColumn>
    <filterColumn colId="4">
      <filters>
        <filter val="1648"/>
        <filter val="1649"/>
        <filter val="1653"/>
        <filter val="1654"/>
        <filter val="1655"/>
        <filter val="1656"/>
        <filter val="1657"/>
        <filter val="1658"/>
        <filter val="1659"/>
        <filter val="1660"/>
        <filter val="1661"/>
        <filter val="1662"/>
        <filter val="1663"/>
        <filter val="1664"/>
        <filter val="1665"/>
        <filter val="1666"/>
        <filter val="1667"/>
        <filter val="1668"/>
        <filter val="1669"/>
      </filters>
    </filterColumn>
  </autoFilter>
  <tableColumns count="17">
    <tableColumn id="20" xr3:uid="{D4994726-2203-483B-B760-DD6A82130EB1}" name="Id_anterior" dataDxfId="15">
      <calculatedColumnFormula>MAX(Tabla_Compras_Extranjera[Id])</calculatedColumnFormula>
    </tableColumn>
    <tableColumn id="11" xr3:uid="{3C5F77AD-6912-46FB-9CBC-B7ED924E7267}" name="id_padre"/>
    <tableColumn id="4" xr3:uid="{3F0BC9F1-4E7D-40B9-BE60-62A3531A6D0E}" name="Nivel" dataDxfId="14">
      <calculatedColumnFormula>IF(Tabla_Consolidados[[#This Row],[id_padre]]="",0,_xlfn.XLOOKUP(Tabla_Consolidados[[#This Row],[id_padre]],Tabla_Consolidados[Id],Tabla_Consolidados[Nivel],0,0,1)+1)</calculatedColumnFormula>
    </tableColumn>
    <tableColumn id="3" xr3:uid="{719ED683-2F3A-4CAD-8279-86D64ED4CEF4}" name="Nombre Opción" dataDxfId="13"/>
    <tableColumn id="10" xr3:uid="{8F2F3075-0762-4EC1-A711-21DD0E83B63A}" name="Id" dataDxfId="12">
      <calculatedColumnFormula>IF(Tabla_Consolidados[[#This Row],[Id_anterior]]=1,ROW()-1,SUM(ROW()-1,Tabla_Consolidados[[#This Row],[Id_anterior]]))</calculatedColumnFormula>
    </tableColumn>
    <tableColumn id="15" xr3:uid="{C77A36A7-3683-47ED-8ED6-2177562CFB32}" name="Codigo_Tecnico" dataDxfId="11">
      <calculatedColumnFormula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calculatedColumnFormula>
    </tableColumn>
    <tableColumn id="16" xr3:uid="{D0D1F465-05B2-432A-B8B5-447E8814B6A8}" name="Etiqueta" dataDxfId="10">
      <calculatedColumnFormula>CLEAN(PROPER(Tabla_Consolidados[[#This Row],[Nombre Opción]]))</calculatedColumnFormula>
    </tableColumn>
    <tableColumn id="17" xr3:uid="{3E5231D0-2551-48FA-A94D-2079DD4E3476}" name="Tipo_Nodo" dataDxfId="9"/>
    <tableColumn id="18" xr3:uid="{340EAF13-A83A-4784-861D-D74676FFA804}" name="Codigo_Padre" dataDxfId="8">
      <calculatedColumnFormula>_xlfn.XLOOKUP(Tabla_Consolidados[[#This Row],[id_padre]],Tabla_Consolidados[Id],Tabla_Consolidados[Codigo_Tecnico],"",0,1)</calculatedColumnFormula>
    </tableColumn>
    <tableColumn id="12" xr3:uid="{E2311EE7-BB77-4B3B-AC7B-6EEF84080872}" name="Ruta_Web" dataDxfId="7">
      <calculatedColumnFormula>IF(Tabla_Consolidados[[#This Row],[Nivel]]=0,CONCATENATE("/",Tabla_Consolidados[[#This Row],[Slug]]),CONCATENATE(_xlfn.XLOOKUP(Tabla_Consolidados[[#This Row],[id_padre]],Tabla_Consolidados[Id],Tabla_Consolidados[Ruta_Web],"",0,1),"/",Tabla_Consolidados[[#This Row],[Slug]]))</calculatedColumnFormula>
    </tableColumn>
    <tableColumn id="13" xr3:uid="{0F16A7FC-A785-48EA-8ABB-E05718BFCEAE}" name="Slug" dataDxfId="6">
      <calculatedColumnFormula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4" xr3:uid="{9C347759-CA7C-4DCF-A523-CAC2F6B14F52}" name="Icono" dataDxfId="5"/>
    <tableColumn id="1" xr3:uid="{E2FA9D28-5E58-42ED-AEEB-48B518CCD833}" name="Modulos" dataDxfId="4"/>
    <tableColumn id="5" xr3:uid="{A6B5ECD8-E4DD-4638-B9E2-29B152112401}" name="ROL_ADM_CONSO" dataDxfId="3"/>
    <tableColumn id="6" xr3:uid="{8B7CD28D-AF04-4C43-B43E-0941D38B71AD}" name="ROL_DEV" dataDxfId="2"/>
    <tableColumn id="2" xr3:uid="{AF4FF4FB-7541-4DC8-8DAF-0BEBB4B8D496}" name="Columna1" dataDxfId="1">
      <calculatedColumnFormula>IF(Tabla_Consolidados[[#This Row],[id_padre]]=Tabla_Consolidados[[#This Row],[Id]],"NOK","OK")</calculatedColumnFormula>
    </tableColumn>
    <tableColumn id="7" xr3:uid="{A9BE8DDE-6B83-475C-B66D-34366B6CAB9A}" name="Responsable" dataDxfId="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ED71362-7FA1-4196-903A-EC1803D35211}" name="Tabla20" displayName="Tabla20" ref="A1:Q24" totalsRowShown="0" headerRowDxfId="429">
  <autoFilter ref="A1:Q24" xr:uid="{AED71362-7FA1-4196-903A-EC1803D35211}"/>
  <tableColumns count="17">
    <tableColumn id="5" xr3:uid="{AC1BD134-D74A-47D7-8DC4-0797A9C5B341}" name="Id">
      <calculatedColumnFormula>IF(Tabla20[[#This Row],[Id_anterior]]=1,ROW()-1,SUM(ROW()-1,Tabla20[[#This Row],[Id_anterior]]))</calculatedColumnFormula>
    </tableColumn>
    <tableColumn id="1" xr3:uid="{B0666ABF-709D-4DB2-8A42-B6C5A0B62A67}" name="Id_anterior">
      <calculatedColumnFormula>MAX(Tabla_Consolidados[Id])</calculatedColumnFormula>
    </tableColumn>
    <tableColumn id="2" xr3:uid="{3E96590A-D2D1-4C48-8133-D0F25331DFFB}" name="id_padre"/>
    <tableColumn id="3" xr3:uid="{336B7178-53B5-48A8-B4B4-99EA6D49E8C9}" name="Nivel">
      <calculatedColumnFormula>IF(Tabla20[[#This Row],[id_padre]]="",0,_xlfn.XLOOKUP(Tabla20[[#This Row],[id_padre]],Tabla20[Id],Tabla20[Nivel],0,0,1)+1)</calculatedColumnFormula>
    </tableColumn>
    <tableColumn id="4" xr3:uid="{480692D5-B0BA-49C7-93CF-344A8BDB752E}" name="Nombre Opción"/>
    <tableColumn id="6" xr3:uid="{6E5540D2-9BF6-4AD2-9214-425DA99B33F7}" name="Codigo_Tecnico">
      <calculatedColumnFormula>IF(Tabla20[[#This Row],[id_padre]]="",SUBSTITUTE(UPPER(Tabla20[[#This Row],[Slug]]),"-","_"),CONCATENATE(_xlfn.XLOOKUP(Tabla20[[#This Row],[id_padre]],Tabla20[Id],Tabla20[Codigo_Tecnico],"",0,1),"_",SUBSTITUTE(UPPER(Tabla20[[#This Row],[Slug]]),"-","_")))</calculatedColumnFormula>
    </tableColumn>
    <tableColumn id="7" xr3:uid="{1A624FE6-718C-4105-BBC6-72A749269521}" name="Etiqueta">
      <calculatedColumnFormula>CLEAN(PROPER(Tabla20[[#This Row],[Nombre Opción]]))</calculatedColumnFormula>
    </tableColumn>
    <tableColumn id="8" xr3:uid="{99D31F03-C743-422C-AAF7-ABE81A5D2E17}" name="Tipo_Nodo"/>
    <tableColumn id="9" xr3:uid="{CABA9ADC-92FA-4823-96AD-83726DF97444}" name="Codigo_Padre">
      <calculatedColumnFormula>_xlfn.XLOOKUP(Tabla20[[#This Row],[id_padre]],Tabla20[Id],Tabla20[Codigo_Tecnico],"",0,1)</calculatedColumnFormula>
    </tableColumn>
    <tableColumn id="10" xr3:uid="{E563C239-A0C2-4F5A-9653-80066FF3D04B}" name="Ruta_Web">
      <calculatedColumnFormula>IF(Tabla20[[#This Row],[Nivel]]=0,CONCATENATE("/",Tabla20[[#This Row],[Slug]]),CONCATENATE(_xlfn.XLOOKUP(Tabla20[[#This Row],[id_padre]],Tabla20[Id],Tabla20[Ruta_Web],"",0,1),"/",Tabla20[[#This Row],[Slug]]))</calculatedColumnFormula>
    </tableColumn>
    <tableColumn id="11" xr3:uid="{56A6E08E-B4D8-4B5E-9CA3-72F01D645BE2}" name="Slug">
      <calculatedColumnFormula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calculatedColumnFormula>
    </tableColumn>
    <tableColumn id="12" xr3:uid="{94E8DE48-A2D3-4955-966F-D990C89016EE}" name="Icono"/>
    <tableColumn id="13" xr3:uid="{655A1F7A-13BA-474A-A71E-72C51D6AFB2E}" name="Modulos"/>
    <tableColumn id="14" xr3:uid="{63BAD478-7FB1-49DB-AB6F-BCD4D9289CC4}" name="ROL_SYSADMIN" dataDxfId="428"/>
    <tableColumn id="15" xr3:uid="{28618A06-7F41-4672-A4A8-D875E48909B1}" name="ROL_DEV" dataDxfId="427"/>
    <tableColumn id="16" xr3:uid="{B5356335-7037-4379-B7A3-DBDC721D72C7}" name="Validacion" dataDxfId="426">
      <calculatedColumnFormula>IF(Tabla20[[#This Row],[id_padre]]=Tabla20[[#This Row],[Id]],"NOK","OK")</calculatedColumnFormula>
    </tableColumn>
    <tableColumn id="17" xr3:uid="{EC98F8E7-791E-4373-8A0B-61EF23B460D8}" name="Responsable" dataDxfId="4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B195-5D7C-4998-9DAD-6C4A44C788E6}">
  <sheetPr codeName="Hoja1"/>
  <dimension ref="A1:A3"/>
  <sheetViews>
    <sheetView workbookViewId="0">
      <selection activeCell="A4" sqref="A4:XFD4"/>
    </sheetView>
  </sheetViews>
  <sheetFormatPr baseColWidth="10" defaultRowHeight="14.35" x14ac:dyDescent="0.5"/>
  <sheetData>
    <row r="1" spans="1:1" x14ac:dyDescent="0.5">
      <c r="A1" t="s">
        <v>145</v>
      </c>
    </row>
    <row r="3" spans="1:1" x14ac:dyDescent="0.5">
      <c r="A3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3654-D42F-4973-8FE1-47C7507BE087}">
  <dimension ref="A1:E27"/>
  <sheetViews>
    <sheetView workbookViewId="0">
      <selection activeCell="C5" sqref="C5"/>
    </sheetView>
  </sheetViews>
  <sheetFormatPr baseColWidth="10" defaultRowHeight="14.35" x14ac:dyDescent="0.5"/>
  <cols>
    <col min="1" max="1" width="27.64453125" bestFit="1" customWidth="1"/>
    <col min="2" max="2" width="6.703125" bestFit="1" customWidth="1"/>
    <col min="3" max="3" width="32.87890625" bestFit="1" customWidth="1"/>
    <col min="4" max="4" width="43.1171875" bestFit="1" customWidth="1"/>
    <col min="5" max="5" width="12.17578125" bestFit="1" customWidth="1"/>
  </cols>
  <sheetData>
    <row r="1" spans="1:5" x14ac:dyDescent="0.5">
      <c r="A1" t="s">
        <v>2007</v>
      </c>
      <c r="B1" t="s">
        <v>2058</v>
      </c>
      <c r="C1" t="s">
        <v>2057</v>
      </c>
      <c r="D1" t="s">
        <v>17</v>
      </c>
      <c r="E1" t="s">
        <v>2055</v>
      </c>
    </row>
    <row r="2" spans="1:5" x14ac:dyDescent="0.5">
      <c r="A2" t="s">
        <v>2047</v>
      </c>
      <c r="B2" t="s">
        <v>2068</v>
      </c>
      <c r="C2" t="s">
        <v>2059</v>
      </c>
      <c r="D2" t="s">
        <v>2056</v>
      </c>
    </row>
    <row r="3" spans="1:5" x14ac:dyDescent="0.5">
      <c r="B3" t="s">
        <v>2068</v>
      </c>
      <c r="C3" t="s">
        <v>2060</v>
      </c>
      <c r="D3" t="s">
        <v>2061</v>
      </c>
    </row>
    <row r="4" spans="1:5" x14ac:dyDescent="0.5">
      <c r="A4" t="s">
        <v>2048</v>
      </c>
      <c r="B4" t="s">
        <v>2068</v>
      </c>
      <c r="C4" t="s">
        <v>2062</v>
      </c>
      <c r="D4" t="s">
        <v>2065</v>
      </c>
    </row>
    <row r="5" spans="1:5" x14ac:dyDescent="0.5">
      <c r="B5" t="s">
        <v>2068</v>
      </c>
      <c r="C5" t="s">
        <v>2063</v>
      </c>
      <c r="D5" t="s">
        <v>2066</v>
      </c>
    </row>
    <row r="6" spans="1:5" x14ac:dyDescent="0.5">
      <c r="B6" t="s">
        <v>2068</v>
      </c>
      <c r="C6" t="s">
        <v>2063</v>
      </c>
      <c r="D6" t="s">
        <v>2103</v>
      </c>
    </row>
    <row r="7" spans="1:5" x14ac:dyDescent="0.5">
      <c r="B7" t="s">
        <v>2068</v>
      </c>
      <c r="C7" t="s">
        <v>2064</v>
      </c>
      <c r="D7" t="s">
        <v>2067</v>
      </c>
    </row>
    <row r="8" spans="1:5" x14ac:dyDescent="0.5">
      <c r="A8" t="s">
        <v>2049</v>
      </c>
      <c r="B8" t="s">
        <v>2068</v>
      </c>
      <c r="C8" t="s">
        <v>2055</v>
      </c>
      <c r="D8" t="s">
        <v>2071</v>
      </c>
    </row>
    <row r="9" spans="1:5" x14ac:dyDescent="0.5">
      <c r="B9" t="s">
        <v>2069</v>
      </c>
      <c r="C9" t="s">
        <v>2070</v>
      </c>
      <c r="D9" t="s">
        <v>2072</v>
      </c>
    </row>
    <row r="10" spans="1:5" x14ac:dyDescent="0.5">
      <c r="A10" t="s">
        <v>2050</v>
      </c>
      <c r="B10" t="s">
        <v>2068</v>
      </c>
      <c r="C10" t="s">
        <v>2074</v>
      </c>
      <c r="D10" t="s">
        <v>2077</v>
      </c>
    </row>
    <row r="11" spans="1:5" x14ac:dyDescent="0.5">
      <c r="B11" t="s">
        <v>2069</v>
      </c>
      <c r="C11" t="s">
        <v>2074</v>
      </c>
      <c r="D11" t="s">
        <v>2078</v>
      </c>
    </row>
    <row r="12" spans="1:5" x14ac:dyDescent="0.5">
      <c r="B12" t="s">
        <v>2073</v>
      </c>
      <c r="C12" t="s">
        <v>2075</v>
      </c>
      <c r="D12" t="s">
        <v>2079</v>
      </c>
    </row>
    <row r="13" spans="1:5" x14ac:dyDescent="0.5">
      <c r="B13" t="s">
        <v>2068</v>
      </c>
      <c r="C13" t="s">
        <v>2076</v>
      </c>
      <c r="D13" t="s">
        <v>2080</v>
      </c>
    </row>
    <row r="14" spans="1:5" x14ac:dyDescent="0.5">
      <c r="A14" t="s">
        <v>2051</v>
      </c>
      <c r="B14" t="s">
        <v>2068</v>
      </c>
      <c r="C14" t="s">
        <v>2082</v>
      </c>
      <c r="D14" t="s">
        <v>2084</v>
      </c>
    </row>
    <row r="15" spans="1:5" x14ac:dyDescent="0.5">
      <c r="B15" t="s">
        <v>2069</v>
      </c>
      <c r="C15" t="s">
        <v>2082</v>
      </c>
      <c r="D15" t="s">
        <v>2085</v>
      </c>
    </row>
    <row r="16" spans="1:5" x14ac:dyDescent="0.5">
      <c r="B16" t="s">
        <v>2081</v>
      </c>
      <c r="C16" t="s">
        <v>2083</v>
      </c>
      <c r="D16" t="s">
        <v>2086</v>
      </c>
    </row>
    <row r="17" spans="1:4" x14ac:dyDescent="0.5">
      <c r="B17" t="s">
        <v>2073</v>
      </c>
      <c r="C17" t="s">
        <v>2083</v>
      </c>
      <c r="D17" t="s">
        <v>2087</v>
      </c>
    </row>
    <row r="18" spans="1:4" x14ac:dyDescent="0.5">
      <c r="A18" t="s">
        <v>2052</v>
      </c>
      <c r="B18" t="s">
        <v>2068</v>
      </c>
      <c r="C18" t="s">
        <v>2088</v>
      </c>
      <c r="D18" t="s">
        <v>2090</v>
      </c>
    </row>
    <row r="19" spans="1:4" x14ac:dyDescent="0.5">
      <c r="B19" t="s">
        <v>2069</v>
      </c>
      <c r="C19" t="s">
        <v>2088</v>
      </c>
      <c r="D19" t="s">
        <v>2091</v>
      </c>
    </row>
    <row r="20" spans="1:4" x14ac:dyDescent="0.5">
      <c r="B20" t="s">
        <v>2073</v>
      </c>
      <c r="C20" t="s">
        <v>2089</v>
      </c>
      <c r="D20" t="s">
        <v>2092</v>
      </c>
    </row>
    <row r="21" spans="1:4" x14ac:dyDescent="0.5">
      <c r="A21" t="s">
        <v>2053</v>
      </c>
      <c r="B21" t="s">
        <v>2068</v>
      </c>
      <c r="C21" t="s">
        <v>2093</v>
      </c>
      <c r="D21" t="s">
        <v>2096</v>
      </c>
    </row>
    <row r="22" spans="1:4" x14ac:dyDescent="0.5">
      <c r="B22" t="s">
        <v>2069</v>
      </c>
      <c r="C22" t="s">
        <v>2093</v>
      </c>
      <c r="D22" t="s">
        <v>2097</v>
      </c>
    </row>
    <row r="23" spans="1:4" x14ac:dyDescent="0.5">
      <c r="B23" t="s">
        <v>2069</v>
      </c>
      <c r="C23" t="s">
        <v>2093</v>
      </c>
      <c r="D23" t="s">
        <v>2098</v>
      </c>
    </row>
    <row r="24" spans="1:4" x14ac:dyDescent="0.5">
      <c r="B24" t="s">
        <v>2073</v>
      </c>
      <c r="C24" t="s">
        <v>2093</v>
      </c>
      <c r="D24" t="s">
        <v>2099</v>
      </c>
    </row>
    <row r="25" spans="1:4" x14ac:dyDescent="0.5">
      <c r="B25" t="s">
        <v>2068</v>
      </c>
      <c r="C25" t="s">
        <v>2094</v>
      </c>
      <c r="D25" t="s">
        <v>2100</v>
      </c>
    </row>
    <row r="26" spans="1:4" x14ac:dyDescent="0.5">
      <c r="A26" t="s">
        <v>2054</v>
      </c>
      <c r="B26" t="s">
        <v>2068</v>
      </c>
      <c r="C26" t="s">
        <v>2095</v>
      </c>
      <c r="D26" t="s">
        <v>2101</v>
      </c>
    </row>
    <row r="27" spans="1:4" x14ac:dyDescent="0.5">
      <c r="B27" t="s">
        <v>2073</v>
      </c>
      <c r="C27" t="s">
        <v>2095</v>
      </c>
      <c r="D27" t="s">
        <v>2102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2114-0896-4FC4-829E-BE34DAA7BA62}">
  <dimension ref="A1:C7"/>
  <sheetViews>
    <sheetView workbookViewId="0">
      <selection activeCell="B3" sqref="B3"/>
    </sheetView>
  </sheetViews>
  <sheetFormatPr baseColWidth="10" defaultRowHeight="14.35" x14ac:dyDescent="0.5"/>
  <cols>
    <col min="1" max="1" width="4.46875" bestFit="1" customWidth="1"/>
    <col min="2" max="2" width="11.17578125" bestFit="1" customWidth="1"/>
    <col min="3" max="3" width="32.87890625" bestFit="1" customWidth="1"/>
  </cols>
  <sheetData>
    <row r="1" spans="1:3" x14ac:dyDescent="0.5">
      <c r="A1" t="s">
        <v>16</v>
      </c>
      <c r="B1" t="s">
        <v>2007</v>
      </c>
      <c r="C1" t="s">
        <v>17</v>
      </c>
    </row>
    <row r="2" spans="1:3" x14ac:dyDescent="0.5">
      <c r="A2">
        <f t="shared" ref="A2:A7" si="0">ROW()-1</f>
        <v>1</v>
      </c>
      <c r="B2" t="s">
        <v>1947</v>
      </c>
      <c r="C2" t="s">
        <v>2031</v>
      </c>
    </row>
    <row r="3" spans="1:3" x14ac:dyDescent="0.5">
      <c r="A3">
        <f t="shared" si="0"/>
        <v>2</v>
      </c>
      <c r="B3" t="s">
        <v>2105</v>
      </c>
      <c r="C3" t="s">
        <v>2106</v>
      </c>
    </row>
    <row r="4" spans="1:3" x14ac:dyDescent="0.5">
      <c r="A4">
        <f t="shared" si="0"/>
        <v>3</v>
      </c>
      <c r="B4" t="s">
        <v>2032</v>
      </c>
      <c r="C4" t="s">
        <v>2033</v>
      </c>
    </row>
    <row r="5" spans="1:3" x14ac:dyDescent="0.5">
      <c r="A5">
        <f t="shared" si="0"/>
        <v>4</v>
      </c>
      <c r="B5" t="s">
        <v>2027</v>
      </c>
      <c r="C5" t="s">
        <v>2034</v>
      </c>
    </row>
    <row r="6" spans="1:3" x14ac:dyDescent="0.5">
      <c r="A6">
        <f t="shared" si="0"/>
        <v>5</v>
      </c>
      <c r="B6" t="s">
        <v>2028</v>
      </c>
      <c r="C6" t="s">
        <v>2035</v>
      </c>
    </row>
    <row r="7" spans="1:3" x14ac:dyDescent="0.5">
      <c r="A7">
        <f t="shared" si="0"/>
        <v>6</v>
      </c>
      <c r="B7" t="s">
        <v>1735</v>
      </c>
      <c r="C7" t="s">
        <v>2036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12BA-A09F-42E4-8002-39C2AB7415C1}">
  <sheetPr codeName="Hoja4"/>
  <dimension ref="A1:K159"/>
  <sheetViews>
    <sheetView tabSelected="1" zoomScale="80" zoomScaleNormal="80" workbookViewId="0">
      <selection activeCell="E8" sqref="E8"/>
    </sheetView>
  </sheetViews>
  <sheetFormatPr baseColWidth="10" defaultRowHeight="14.35" x14ac:dyDescent="0.5"/>
  <cols>
    <col min="1" max="1" width="8.46875" bestFit="1" customWidth="1"/>
    <col min="2" max="2" width="20.87890625" bestFit="1" customWidth="1"/>
    <col min="3" max="3" width="29.3515625" bestFit="1" customWidth="1"/>
    <col min="5" max="5" width="20.703125" bestFit="1" customWidth="1"/>
    <col min="6" max="6" width="19.87890625" customWidth="1"/>
    <col min="7" max="7" width="29" bestFit="1" customWidth="1"/>
    <col min="8" max="8" width="10.41015625" bestFit="1" customWidth="1"/>
    <col min="9" max="9" width="9" customWidth="1"/>
    <col min="10" max="10" width="30.41015625" bestFit="1" customWidth="1"/>
    <col min="11" max="11" width="8" customWidth="1"/>
  </cols>
  <sheetData>
    <row r="1" spans="1:11" ht="27.45" customHeight="1" x14ac:dyDescent="0.5">
      <c r="A1" t="s">
        <v>2104</v>
      </c>
      <c r="B1" t="s">
        <v>2205</v>
      </c>
      <c r="C1" t="s">
        <v>17</v>
      </c>
      <c r="E1" t="s">
        <v>1814</v>
      </c>
      <c r="F1" t="s">
        <v>1815</v>
      </c>
      <c r="G1" t="s">
        <v>1821</v>
      </c>
      <c r="H1" t="s">
        <v>1823</v>
      </c>
      <c r="I1" t="s">
        <v>1824</v>
      </c>
      <c r="J1" t="s">
        <v>17</v>
      </c>
      <c r="K1" t="s">
        <v>1810</v>
      </c>
    </row>
    <row r="2" spans="1:11" x14ac:dyDescent="0.5">
      <c r="A2">
        <f t="shared" ref="A2:A41" si="0">ROW()-1</f>
        <v>1</v>
      </c>
      <c r="B2" t="s">
        <v>1873</v>
      </c>
      <c r="C2" t="s">
        <v>1963</v>
      </c>
      <c r="E2" t="s">
        <v>1872</v>
      </c>
      <c r="F2" t="s">
        <v>1873</v>
      </c>
      <c r="G2" t="s">
        <v>485</v>
      </c>
      <c r="H2" t="s">
        <v>208</v>
      </c>
      <c r="J2" t="s">
        <v>1963</v>
      </c>
      <c r="K2" t="s">
        <v>1822</v>
      </c>
    </row>
    <row r="3" spans="1:11" x14ac:dyDescent="0.5">
      <c r="A3">
        <f t="shared" si="0"/>
        <v>2</v>
      </c>
      <c r="B3" t="s">
        <v>1779</v>
      </c>
      <c r="C3" t="s">
        <v>1964</v>
      </c>
      <c r="F3" t="s">
        <v>1873</v>
      </c>
      <c r="G3" t="s">
        <v>441</v>
      </c>
      <c r="H3" t="s">
        <v>1797</v>
      </c>
      <c r="J3" t="s">
        <v>1963</v>
      </c>
      <c r="K3" t="s">
        <v>1822</v>
      </c>
    </row>
    <row r="4" spans="1:11" x14ac:dyDescent="0.5">
      <c r="A4">
        <f t="shared" si="0"/>
        <v>3</v>
      </c>
      <c r="B4" t="s">
        <v>1780</v>
      </c>
      <c r="C4" t="s">
        <v>1965</v>
      </c>
      <c r="F4" t="s">
        <v>1873</v>
      </c>
      <c r="G4" t="s">
        <v>1257</v>
      </c>
      <c r="H4" t="s">
        <v>1796</v>
      </c>
      <c r="J4" t="s">
        <v>1963</v>
      </c>
      <c r="K4" t="s">
        <v>1822</v>
      </c>
    </row>
    <row r="5" spans="1:11" x14ac:dyDescent="0.5">
      <c r="A5">
        <f t="shared" si="0"/>
        <v>4</v>
      </c>
      <c r="B5" t="s">
        <v>1784</v>
      </c>
      <c r="C5" t="s">
        <v>1966</v>
      </c>
      <c r="F5" t="s">
        <v>1873</v>
      </c>
      <c r="G5" t="s">
        <v>551</v>
      </c>
      <c r="H5" t="s">
        <v>1795</v>
      </c>
      <c r="J5" t="s">
        <v>1963</v>
      </c>
      <c r="K5" t="s">
        <v>1822</v>
      </c>
    </row>
    <row r="6" spans="1:11" x14ac:dyDescent="0.5">
      <c r="A6">
        <f t="shared" si="0"/>
        <v>5</v>
      </c>
      <c r="B6" t="s">
        <v>1785</v>
      </c>
      <c r="C6" t="s">
        <v>1967</v>
      </c>
      <c r="F6" t="s">
        <v>1873</v>
      </c>
      <c r="G6" t="s">
        <v>3</v>
      </c>
      <c r="H6" t="s">
        <v>1798</v>
      </c>
      <c r="J6" t="s">
        <v>1963</v>
      </c>
      <c r="K6" t="s">
        <v>1822</v>
      </c>
    </row>
    <row r="7" spans="1:11" x14ac:dyDescent="0.5">
      <c r="A7">
        <f t="shared" si="0"/>
        <v>6</v>
      </c>
      <c r="B7" t="s">
        <v>1786</v>
      </c>
      <c r="C7" t="s">
        <v>1968</v>
      </c>
      <c r="F7" t="s">
        <v>1873</v>
      </c>
      <c r="G7" t="s">
        <v>624</v>
      </c>
      <c r="H7" t="s">
        <v>1799</v>
      </c>
      <c r="J7" t="s">
        <v>1963</v>
      </c>
      <c r="K7" t="s">
        <v>1822</v>
      </c>
    </row>
    <row r="8" spans="1:11" x14ac:dyDescent="0.5">
      <c r="A8">
        <f t="shared" si="0"/>
        <v>7</v>
      </c>
      <c r="B8" t="s">
        <v>1787</v>
      </c>
      <c r="C8" t="s">
        <v>1969</v>
      </c>
      <c r="F8" t="s">
        <v>1873</v>
      </c>
      <c r="G8" t="s">
        <v>629</v>
      </c>
      <c r="H8" t="s">
        <v>1799</v>
      </c>
      <c r="I8" t="s">
        <v>644</v>
      </c>
      <c r="J8" t="s">
        <v>1963</v>
      </c>
      <c r="K8" t="s">
        <v>1822</v>
      </c>
    </row>
    <row r="9" spans="1:11" x14ac:dyDescent="0.5">
      <c r="A9">
        <f t="shared" si="0"/>
        <v>8</v>
      </c>
      <c r="B9" t="s">
        <v>1789</v>
      </c>
      <c r="C9" t="s">
        <v>1970</v>
      </c>
      <c r="F9" t="s">
        <v>1873</v>
      </c>
      <c r="G9" t="s">
        <v>868</v>
      </c>
      <c r="H9" t="s">
        <v>1800</v>
      </c>
      <c r="I9" t="s">
        <v>1825</v>
      </c>
      <c r="J9" t="s">
        <v>1963</v>
      </c>
      <c r="K9" t="s">
        <v>1822</v>
      </c>
    </row>
    <row r="10" spans="1:11" x14ac:dyDescent="0.5">
      <c r="A10">
        <f t="shared" si="0"/>
        <v>9</v>
      </c>
      <c r="B10" t="s">
        <v>1747</v>
      </c>
      <c r="C10" t="s">
        <v>1971</v>
      </c>
      <c r="F10" t="s">
        <v>1873</v>
      </c>
      <c r="G10" t="s">
        <v>957</v>
      </c>
      <c r="H10" t="s">
        <v>1794</v>
      </c>
      <c r="I10" t="s">
        <v>1825</v>
      </c>
      <c r="J10" t="s">
        <v>1963</v>
      </c>
      <c r="K10" t="s">
        <v>1822</v>
      </c>
    </row>
    <row r="11" spans="1:11" x14ac:dyDescent="0.5">
      <c r="A11">
        <f t="shared" si="0"/>
        <v>10</v>
      </c>
      <c r="B11" t="s">
        <v>1783</v>
      </c>
      <c r="C11" t="s">
        <v>1972</v>
      </c>
      <c r="F11" t="s">
        <v>1873</v>
      </c>
      <c r="G11" t="s">
        <v>1178</v>
      </c>
      <c r="H11" t="s">
        <v>1793</v>
      </c>
      <c r="J11" t="s">
        <v>1963</v>
      </c>
      <c r="K11" t="s">
        <v>1822</v>
      </c>
    </row>
    <row r="12" spans="1:11" x14ac:dyDescent="0.5">
      <c r="A12">
        <f t="shared" si="0"/>
        <v>11</v>
      </c>
      <c r="B12" t="s">
        <v>1782</v>
      </c>
      <c r="C12" t="s">
        <v>1973</v>
      </c>
      <c r="F12" t="s">
        <v>1873</v>
      </c>
      <c r="G12" t="s">
        <v>787</v>
      </c>
      <c r="H12" t="s">
        <v>1801</v>
      </c>
      <c r="J12" t="s">
        <v>1963</v>
      </c>
      <c r="K12" t="s">
        <v>1822</v>
      </c>
    </row>
    <row r="13" spans="1:11" x14ac:dyDescent="0.5">
      <c r="A13">
        <f t="shared" si="0"/>
        <v>12</v>
      </c>
      <c r="B13" t="s">
        <v>1788</v>
      </c>
      <c r="C13" t="s">
        <v>1974</v>
      </c>
      <c r="F13" t="s">
        <v>1873</v>
      </c>
      <c r="G13" t="s">
        <v>179</v>
      </c>
      <c r="H13" t="s">
        <v>1792</v>
      </c>
      <c r="J13" t="s">
        <v>1963</v>
      </c>
      <c r="K13" t="s">
        <v>1822</v>
      </c>
    </row>
    <row r="14" spans="1:11" x14ac:dyDescent="0.5">
      <c r="A14">
        <f t="shared" si="0"/>
        <v>13</v>
      </c>
      <c r="B14" t="s">
        <v>1840</v>
      </c>
      <c r="C14" t="s">
        <v>1975</v>
      </c>
      <c r="F14" t="s">
        <v>1873</v>
      </c>
      <c r="G14" t="s">
        <v>638</v>
      </c>
      <c r="H14" t="s">
        <v>1799</v>
      </c>
      <c r="I14" t="s">
        <v>1847</v>
      </c>
      <c r="J14" t="s">
        <v>1963</v>
      </c>
      <c r="K14" t="s">
        <v>1822</v>
      </c>
    </row>
    <row r="15" spans="1:11" x14ac:dyDescent="0.5">
      <c r="A15">
        <f t="shared" si="0"/>
        <v>14</v>
      </c>
      <c r="B15" t="s">
        <v>1736</v>
      </c>
      <c r="C15" t="s">
        <v>1976</v>
      </c>
      <c r="F15" t="s">
        <v>1873</v>
      </c>
      <c r="G15" t="s">
        <v>869</v>
      </c>
      <c r="H15" t="s">
        <v>1800</v>
      </c>
      <c r="J15" t="s">
        <v>1963</v>
      </c>
      <c r="K15" t="s">
        <v>1822</v>
      </c>
    </row>
    <row r="16" spans="1:11" x14ac:dyDescent="0.5">
      <c r="A16">
        <f t="shared" si="0"/>
        <v>15</v>
      </c>
      <c r="B16" t="s">
        <v>1790</v>
      </c>
      <c r="C16" t="s">
        <v>1977</v>
      </c>
      <c r="F16" t="s">
        <v>1873</v>
      </c>
      <c r="G16" t="s">
        <v>874</v>
      </c>
      <c r="H16" t="s">
        <v>1800</v>
      </c>
      <c r="I16" t="s">
        <v>1826</v>
      </c>
      <c r="J16" t="s">
        <v>1963</v>
      </c>
      <c r="K16" t="s">
        <v>1822</v>
      </c>
    </row>
    <row r="17" spans="1:11" x14ac:dyDescent="0.5">
      <c r="A17">
        <f t="shared" si="0"/>
        <v>16</v>
      </c>
      <c r="B17" t="s">
        <v>1804</v>
      </c>
      <c r="C17" t="s">
        <v>1978</v>
      </c>
      <c r="F17" t="s">
        <v>1873</v>
      </c>
      <c r="G17" t="s">
        <v>956</v>
      </c>
      <c r="H17" t="s">
        <v>1794</v>
      </c>
      <c r="J17" t="s">
        <v>1963</v>
      </c>
      <c r="K17" t="s">
        <v>1822</v>
      </c>
    </row>
    <row r="18" spans="1:11" x14ac:dyDescent="0.5">
      <c r="A18">
        <f t="shared" si="0"/>
        <v>17</v>
      </c>
      <c r="B18" t="s">
        <v>1737</v>
      </c>
      <c r="C18" t="s">
        <v>1979</v>
      </c>
      <c r="F18" t="s">
        <v>1873</v>
      </c>
      <c r="G18" t="s">
        <v>362</v>
      </c>
      <c r="H18" t="s">
        <v>1803</v>
      </c>
      <c r="J18" t="s">
        <v>1963</v>
      </c>
      <c r="K18" t="s">
        <v>1822</v>
      </c>
    </row>
    <row r="19" spans="1:11" x14ac:dyDescent="0.5">
      <c r="A19">
        <f t="shared" si="0"/>
        <v>18</v>
      </c>
      <c r="B19" t="s">
        <v>1809</v>
      </c>
      <c r="C19" t="s">
        <v>1980</v>
      </c>
      <c r="F19" t="s">
        <v>1873</v>
      </c>
      <c r="G19" t="s">
        <v>1115</v>
      </c>
      <c r="H19" t="s">
        <v>1802</v>
      </c>
      <c r="J19" t="s">
        <v>1963</v>
      </c>
      <c r="K19" t="s">
        <v>1822</v>
      </c>
    </row>
    <row r="20" spans="1:11" x14ac:dyDescent="0.5">
      <c r="A20">
        <f t="shared" si="0"/>
        <v>19</v>
      </c>
      <c r="B20" t="s">
        <v>1806</v>
      </c>
      <c r="C20" t="s">
        <v>1981</v>
      </c>
      <c r="F20" t="s">
        <v>1873</v>
      </c>
      <c r="G20" t="s">
        <v>1921</v>
      </c>
      <c r="H20" t="s">
        <v>1874</v>
      </c>
      <c r="J20" t="s">
        <v>1963</v>
      </c>
      <c r="K20" t="s">
        <v>1822</v>
      </c>
    </row>
    <row r="21" spans="1:11" x14ac:dyDescent="0.5">
      <c r="A21">
        <f t="shared" si="0"/>
        <v>20</v>
      </c>
      <c r="B21" t="s">
        <v>1781</v>
      </c>
      <c r="C21" t="s">
        <v>1982</v>
      </c>
      <c r="E21" t="s">
        <v>1816</v>
      </c>
      <c r="F21" t="s">
        <v>1779</v>
      </c>
      <c r="G21" t="s">
        <v>488</v>
      </c>
      <c r="H21" t="s">
        <v>208</v>
      </c>
      <c r="J21" t="s">
        <v>1964</v>
      </c>
      <c r="K21" t="s">
        <v>1822</v>
      </c>
    </row>
    <row r="22" spans="1:11" x14ac:dyDescent="0.5">
      <c r="A22">
        <f t="shared" si="0"/>
        <v>21</v>
      </c>
      <c r="B22" t="s">
        <v>1742</v>
      </c>
      <c r="C22" t="s">
        <v>1983</v>
      </c>
      <c r="F22" t="s">
        <v>1779</v>
      </c>
      <c r="G22" t="s">
        <v>442</v>
      </c>
      <c r="H22" t="s">
        <v>1797</v>
      </c>
      <c r="J22" t="s">
        <v>1964</v>
      </c>
      <c r="K22" t="s">
        <v>1822</v>
      </c>
    </row>
    <row r="23" spans="1:11" x14ac:dyDescent="0.5">
      <c r="A23">
        <f t="shared" si="0"/>
        <v>22</v>
      </c>
      <c r="B23" t="s">
        <v>1741</v>
      </c>
      <c r="C23" t="s">
        <v>1984</v>
      </c>
      <c r="F23" t="s">
        <v>1779</v>
      </c>
      <c r="G23" t="s">
        <v>1260</v>
      </c>
      <c r="H23" t="s">
        <v>1796</v>
      </c>
      <c r="J23" t="s">
        <v>1964</v>
      </c>
      <c r="K23" t="s">
        <v>1822</v>
      </c>
    </row>
    <row r="24" spans="1:11" x14ac:dyDescent="0.5">
      <c r="A24">
        <f t="shared" si="0"/>
        <v>23</v>
      </c>
      <c r="B24" t="s">
        <v>1745</v>
      </c>
      <c r="C24" t="s">
        <v>1985</v>
      </c>
      <c r="F24" t="s">
        <v>1779</v>
      </c>
      <c r="G24" t="s">
        <v>545</v>
      </c>
      <c r="H24" t="s">
        <v>1795</v>
      </c>
      <c r="J24" t="s">
        <v>1964</v>
      </c>
      <c r="K24" t="s">
        <v>1822</v>
      </c>
    </row>
    <row r="25" spans="1:11" x14ac:dyDescent="0.5">
      <c r="A25">
        <f t="shared" si="0"/>
        <v>24</v>
      </c>
      <c r="B25" t="s">
        <v>1738</v>
      </c>
      <c r="C25" t="s">
        <v>1986</v>
      </c>
      <c r="F25" t="s">
        <v>1779</v>
      </c>
      <c r="G25" t="s">
        <v>554</v>
      </c>
      <c r="H25" t="s">
        <v>1795</v>
      </c>
      <c r="I25" t="s">
        <v>1827</v>
      </c>
      <c r="J25" t="s">
        <v>1964</v>
      </c>
      <c r="K25" t="s">
        <v>1822</v>
      </c>
    </row>
    <row r="26" spans="1:11" x14ac:dyDescent="0.5">
      <c r="A26">
        <f t="shared" si="0"/>
        <v>25</v>
      </c>
      <c r="B26" t="s">
        <v>1739</v>
      </c>
      <c r="C26" t="s">
        <v>1987</v>
      </c>
      <c r="F26" t="s">
        <v>1779</v>
      </c>
      <c r="G26" t="s">
        <v>1</v>
      </c>
      <c r="H26" t="s">
        <v>1798</v>
      </c>
      <c r="J26" t="s">
        <v>1964</v>
      </c>
      <c r="K26" t="s">
        <v>1822</v>
      </c>
    </row>
    <row r="27" spans="1:11" x14ac:dyDescent="0.5">
      <c r="A27">
        <f t="shared" si="0"/>
        <v>26</v>
      </c>
      <c r="B27" t="s">
        <v>1740</v>
      </c>
      <c r="C27" t="s">
        <v>1988</v>
      </c>
      <c r="F27" t="s">
        <v>1779</v>
      </c>
      <c r="G27" t="s">
        <v>625</v>
      </c>
      <c r="H27" t="s">
        <v>1799</v>
      </c>
      <c r="J27" t="s">
        <v>1964</v>
      </c>
      <c r="K27" t="s">
        <v>1822</v>
      </c>
    </row>
    <row r="28" spans="1:11" x14ac:dyDescent="0.5">
      <c r="A28">
        <f t="shared" si="0"/>
        <v>27</v>
      </c>
      <c r="B28" t="s">
        <v>1743</v>
      </c>
      <c r="C28" t="s">
        <v>1989</v>
      </c>
      <c r="F28" t="s">
        <v>1779</v>
      </c>
      <c r="G28" t="s">
        <v>630</v>
      </c>
      <c r="H28" t="s">
        <v>1799</v>
      </c>
      <c r="I28" t="s">
        <v>644</v>
      </c>
      <c r="J28" t="s">
        <v>1964</v>
      </c>
      <c r="K28" t="s">
        <v>1822</v>
      </c>
    </row>
    <row r="29" spans="1:11" x14ac:dyDescent="0.5">
      <c r="A29">
        <f t="shared" si="0"/>
        <v>28</v>
      </c>
      <c r="B29" t="s">
        <v>1744</v>
      </c>
      <c r="C29" t="s">
        <v>1990</v>
      </c>
      <c r="F29" t="s">
        <v>1779</v>
      </c>
      <c r="G29" t="s">
        <v>1179</v>
      </c>
      <c r="H29" t="s">
        <v>1793</v>
      </c>
      <c r="J29" t="s">
        <v>1964</v>
      </c>
      <c r="K29" t="s">
        <v>1822</v>
      </c>
    </row>
    <row r="30" spans="1:11" x14ac:dyDescent="0.5">
      <c r="A30">
        <f t="shared" si="0"/>
        <v>29</v>
      </c>
      <c r="B30" t="s">
        <v>1813</v>
      </c>
      <c r="C30" t="s">
        <v>1991</v>
      </c>
      <c r="F30" t="s">
        <v>1779</v>
      </c>
      <c r="G30" t="s">
        <v>180</v>
      </c>
      <c r="H30" t="s">
        <v>1792</v>
      </c>
      <c r="J30" t="s">
        <v>1964</v>
      </c>
      <c r="K30" t="s">
        <v>1822</v>
      </c>
    </row>
    <row r="31" spans="1:11" x14ac:dyDescent="0.5">
      <c r="A31">
        <f t="shared" si="0"/>
        <v>30</v>
      </c>
      <c r="B31" t="s">
        <v>1748</v>
      </c>
      <c r="C31" t="s">
        <v>1992</v>
      </c>
      <c r="F31" t="s">
        <v>1779</v>
      </c>
      <c r="G31" t="s">
        <v>639</v>
      </c>
      <c r="H31" t="s">
        <v>1799</v>
      </c>
      <c r="I31" t="s">
        <v>1847</v>
      </c>
      <c r="J31" t="s">
        <v>1964</v>
      </c>
      <c r="K31" t="s">
        <v>1822</v>
      </c>
    </row>
    <row r="32" spans="1:11" x14ac:dyDescent="0.5">
      <c r="A32">
        <f t="shared" si="0"/>
        <v>31</v>
      </c>
      <c r="B32" t="s">
        <v>1750</v>
      </c>
      <c r="C32" t="s">
        <v>1993</v>
      </c>
      <c r="F32" t="s">
        <v>1779</v>
      </c>
      <c r="G32" t="s">
        <v>364</v>
      </c>
      <c r="H32" t="s">
        <v>1803</v>
      </c>
      <c r="J32" t="s">
        <v>1964</v>
      </c>
      <c r="K32" t="s">
        <v>1822</v>
      </c>
    </row>
    <row r="33" spans="1:11" x14ac:dyDescent="0.5">
      <c r="A33">
        <f t="shared" si="0"/>
        <v>32</v>
      </c>
      <c r="B33" t="s">
        <v>1805</v>
      </c>
      <c r="C33" t="s">
        <v>1994</v>
      </c>
      <c r="F33" t="s">
        <v>1779</v>
      </c>
      <c r="G33" t="s">
        <v>1117</v>
      </c>
      <c r="H33" t="s">
        <v>1802</v>
      </c>
      <c r="J33" t="s">
        <v>1964</v>
      </c>
      <c r="K33" t="s">
        <v>1822</v>
      </c>
    </row>
    <row r="34" spans="1:11" x14ac:dyDescent="0.5">
      <c r="A34">
        <f t="shared" si="0"/>
        <v>33</v>
      </c>
      <c r="B34" t="s">
        <v>1751</v>
      </c>
      <c r="C34" t="s">
        <v>1995</v>
      </c>
      <c r="F34" t="s">
        <v>1779</v>
      </c>
      <c r="G34" t="s">
        <v>490</v>
      </c>
      <c r="H34" t="s">
        <v>208</v>
      </c>
      <c r="I34" t="s">
        <v>1828</v>
      </c>
      <c r="J34" t="s">
        <v>1964</v>
      </c>
      <c r="K34" t="s">
        <v>1822</v>
      </c>
    </row>
    <row r="35" spans="1:11" x14ac:dyDescent="0.5">
      <c r="A35">
        <f t="shared" si="0"/>
        <v>34</v>
      </c>
      <c r="B35" t="s">
        <v>1812</v>
      </c>
      <c r="C35" t="s">
        <v>1996</v>
      </c>
      <c r="E35" t="s">
        <v>1817</v>
      </c>
      <c r="F35" t="s">
        <v>1780</v>
      </c>
      <c r="G35" t="s">
        <v>489</v>
      </c>
      <c r="H35" t="s">
        <v>208</v>
      </c>
      <c r="J35" t="s">
        <v>1965</v>
      </c>
      <c r="K35" t="s">
        <v>1822</v>
      </c>
    </row>
    <row r="36" spans="1:11" x14ac:dyDescent="0.5">
      <c r="A36">
        <f t="shared" si="0"/>
        <v>35</v>
      </c>
      <c r="B36" t="s">
        <v>1749</v>
      </c>
      <c r="C36" t="s">
        <v>1997</v>
      </c>
      <c r="F36" t="s">
        <v>1780</v>
      </c>
      <c r="G36" t="s">
        <v>443</v>
      </c>
      <c r="H36" t="s">
        <v>1797</v>
      </c>
      <c r="J36" t="s">
        <v>1965</v>
      </c>
      <c r="K36" t="s">
        <v>1822</v>
      </c>
    </row>
    <row r="37" spans="1:11" x14ac:dyDescent="0.5">
      <c r="A37">
        <f t="shared" si="0"/>
        <v>36</v>
      </c>
      <c r="B37" t="s">
        <v>1791</v>
      </c>
      <c r="C37" t="s">
        <v>1998</v>
      </c>
      <c r="F37" t="s">
        <v>1780</v>
      </c>
      <c r="G37" t="s">
        <v>1261</v>
      </c>
      <c r="H37" t="s">
        <v>1796</v>
      </c>
      <c r="J37" t="s">
        <v>1965</v>
      </c>
      <c r="K37" t="s">
        <v>1822</v>
      </c>
    </row>
    <row r="38" spans="1:11" x14ac:dyDescent="0.5">
      <c r="A38">
        <f t="shared" si="0"/>
        <v>37</v>
      </c>
      <c r="B38" t="s">
        <v>177</v>
      </c>
      <c r="C38" t="s">
        <v>1999</v>
      </c>
      <c r="F38" t="s">
        <v>1780</v>
      </c>
      <c r="G38" t="s">
        <v>2</v>
      </c>
      <c r="H38" t="s">
        <v>1798</v>
      </c>
      <c r="J38" t="s">
        <v>1965</v>
      </c>
      <c r="K38" t="s">
        <v>1822</v>
      </c>
    </row>
    <row r="39" spans="1:11" x14ac:dyDescent="0.5">
      <c r="A39">
        <f t="shared" si="0"/>
        <v>38</v>
      </c>
      <c r="B39" t="s">
        <v>178</v>
      </c>
      <c r="C39" t="s">
        <v>2000</v>
      </c>
      <c r="F39" t="s">
        <v>1780</v>
      </c>
      <c r="G39" t="s">
        <v>793</v>
      </c>
      <c r="H39" t="s">
        <v>1801</v>
      </c>
      <c r="J39" t="s">
        <v>1965</v>
      </c>
      <c r="K39" t="s">
        <v>1822</v>
      </c>
    </row>
    <row r="40" spans="1:11" x14ac:dyDescent="0.5">
      <c r="A40">
        <f t="shared" si="0"/>
        <v>39</v>
      </c>
      <c r="B40" t="s">
        <v>1931</v>
      </c>
      <c r="C40" t="s">
        <v>2002</v>
      </c>
      <c r="F40" t="s">
        <v>1780</v>
      </c>
      <c r="G40" t="s">
        <v>181</v>
      </c>
      <c r="H40" t="s">
        <v>1792</v>
      </c>
      <c r="J40" t="s">
        <v>1965</v>
      </c>
      <c r="K40" t="s">
        <v>1822</v>
      </c>
    </row>
    <row r="41" spans="1:11" x14ac:dyDescent="0.5">
      <c r="A41">
        <f t="shared" si="0"/>
        <v>40</v>
      </c>
      <c r="B41" t="s">
        <v>1932</v>
      </c>
      <c r="C41" t="s">
        <v>2003</v>
      </c>
      <c r="F41" t="s">
        <v>1780</v>
      </c>
      <c r="G41" t="s">
        <v>365</v>
      </c>
      <c r="H41" t="s">
        <v>1803</v>
      </c>
      <c r="J41" t="s">
        <v>1965</v>
      </c>
      <c r="K41" t="s">
        <v>1822</v>
      </c>
    </row>
    <row r="42" spans="1:11" x14ac:dyDescent="0.5">
      <c r="F42" t="s">
        <v>1780</v>
      </c>
      <c r="G42" t="s">
        <v>1118</v>
      </c>
      <c r="H42" t="s">
        <v>1802</v>
      </c>
      <c r="J42" t="s">
        <v>1965</v>
      </c>
      <c r="K42" t="s">
        <v>1822</v>
      </c>
    </row>
    <row r="43" spans="1:11" x14ac:dyDescent="0.5">
      <c r="F43" t="s">
        <v>1780</v>
      </c>
      <c r="G43" t="s">
        <v>626</v>
      </c>
      <c r="H43" t="s">
        <v>1799</v>
      </c>
      <c r="J43" t="s">
        <v>1965</v>
      </c>
      <c r="K43" t="s">
        <v>1822</v>
      </c>
    </row>
    <row r="44" spans="1:11" x14ac:dyDescent="0.5">
      <c r="F44" t="s">
        <v>1780</v>
      </c>
      <c r="G44" t="s">
        <v>631</v>
      </c>
      <c r="H44" t="s">
        <v>1799</v>
      </c>
      <c r="I44" t="s">
        <v>644</v>
      </c>
      <c r="J44" t="s">
        <v>1965</v>
      </c>
      <c r="K44" t="s">
        <v>1822</v>
      </c>
    </row>
    <row r="45" spans="1:11" x14ac:dyDescent="0.5">
      <c r="F45" t="s">
        <v>1780</v>
      </c>
      <c r="G45" t="s">
        <v>1180</v>
      </c>
      <c r="H45" t="s">
        <v>1793</v>
      </c>
      <c r="J45" t="s">
        <v>1965</v>
      </c>
      <c r="K45" t="s">
        <v>1822</v>
      </c>
    </row>
    <row r="46" spans="1:11" x14ac:dyDescent="0.5">
      <c r="F46" t="s">
        <v>1780</v>
      </c>
      <c r="G46" t="s">
        <v>640</v>
      </c>
      <c r="H46" t="s">
        <v>1799</v>
      </c>
      <c r="I46" t="s">
        <v>1847</v>
      </c>
      <c r="J46" t="s">
        <v>1965</v>
      </c>
      <c r="K46" t="s">
        <v>1822</v>
      </c>
    </row>
    <row r="47" spans="1:11" x14ac:dyDescent="0.5">
      <c r="F47" t="s">
        <v>1780</v>
      </c>
      <c r="G47" t="s">
        <v>870</v>
      </c>
      <c r="H47" t="s">
        <v>1800</v>
      </c>
      <c r="J47" t="s">
        <v>1965</v>
      </c>
      <c r="K47" t="s">
        <v>1822</v>
      </c>
    </row>
    <row r="48" spans="1:11" x14ac:dyDescent="0.5">
      <c r="E48" t="s">
        <v>1829</v>
      </c>
      <c r="F48" t="s">
        <v>1784</v>
      </c>
      <c r="G48" t="s">
        <v>447</v>
      </c>
      <c r="H48" t="s">
        <v>1797</v>
      </c>
      <c r="J48" t="s">
        <v>1966</v>
      </c>
      <c r="K48" t="s">
        <v>1822</v>
      </c>
    </row>
    <row r="49" spans="5:11" x14ac:dyDescent="0.5">
      <c r="F49" t="s">
        <v>1784</v>
      </c>
      <c r="G49" t="s">
        <v>546</v>
      </c>
      <c r="H49" t="s">
        <v>1795</v>
      </c>
      <c r="J49" t="s">
        <v>1966</v>
      </c>
      <c r="K49" t="s">
        <v>1822</v>
      </c>
    </row>
    <row r="50" spans="5:11" x14ac:dyDescent="0.5">
      <c r="F50" t="s">
        <v>1784</v>
      </c>
      <c r="G50" t="s">
        <v>8</v>
      </c>
      <c r="H50" t="s">
        <v>1798</v>
      </c>
      <c r="J50" t="s">
        <v>1966</v>
      </c>
      <c r="K50" t="s">
        <v>1822</v>
      </c>
    </row>
    <row r="51" spans="5:11" x14ac:dyDescent="0.5">
      <c r="F51" t="s">
        <v>1784</v>
      </c>
      <c r="G51" t="s">
        <v>185</v>
      </c>
      <c r="H51" t="s">
        <v>1792</v>
      </c>
      <c r="J51" t="s">
        <v>1966</v>
      </c>
      <c r="K51" t="s">
        <v>1822</v>
      </c>
    </row>
    <row r="52" spans="5:11" x14ac:dyDescent="0.5">
      <c r="E52" t="s">
        <v>1830</v>
      </c>
      <c r="F52" t="s">
        <v>1785</v>
      </c>
      <c r="G52" t="s">
        <v>448</v>
      </c>
      <c r="H52" t="s">
        <v>1797</v>
      </c>
      <c r="J52" t="s">
        <v>1967</v>
      </c>
      <c r="K52" t="s">
        <v>1822</v>
      </c>
    </row>
    <row r="53" spans="5:11" x14ac:dyDescent="0.5">
      <c r="F53" t="s">
        <v>1785</v>
      </c>
      <c r="G53" t="s">
        <v>547</v>
      </c>
      <c r="H53" t="s">
        <v>1795</v>
      </c>
      <c r="J53" t="s">
        <v>1967</v>
      </c>
      <c r="K53" t="s">
        <v>1822</v>
      </c>
    </row>
    <row r="54" spans="5:11" x14ac:dyDescent="0.5">
      <c r="F54" t="s">
        <v>1785</v>
      </c>
      <c r="G54" t="s">
        <v>7</v>
      </c>
      <c r="H54" t="s">
        <v>1798</v>
      </c>
      <c r="J54" t="s">
        <v>1967</v>
      </c>
      <c r="K54" t="s">
        <v>1822</v>
      </c>
    </row>
    <row r="55" spans="5:11" x14ac:dyDescent="0.5">
      <c r="F55" t="s">
        <v>1785</v>
      </c>
      <c r="G55" t="s">
        <v>186</v>
      </c>
      <c r="H55" t="s">
        <v>1792</v>
      </c>
      <c r="J55" t="s">
        <v>1967</v>
      </c>
      <c r="K55" t="s">
        <v>1822</v>
      </c>
    </row>
    <row r="56" spans="5:11" x14ac:dyDescent="0.5">
      <c r="E56" t="s">
        <v>1831</v>
      </c>
      <c r="F56" t="s">
        <v>1786</v>
      </c>
      <c r="G56" t="s">
        <v>449</v>
      </c>
      <c r="H56" t="s">
        <v>1797</v>
      </c>
      <c r="J56" t="s">
        <v>1968</v>
      </c>
      <c r="K56" t="s">
        <v>1822</v>
      </c>
    </row>
    <row r="57" spans="5:11" x14ac:dyDescent="0.5">
      <c r="F57" t="s">
        <v>1786</v>
      </c>
      <c r="G57" t="s">
        <v>544</v>
      </c>
      <c r="H57" t="s">
        <v>1795</v>
      </c>
      <c r="J57" t="s">
        <v>1968</v>
      </c>
      <c r="K57" t="s">
        <v>1822</v>
      </c>
    </row>
    <row r="58" spans="5:11" x14ac:dyDescent="0.5">
      <c r="F58" t="s">
        <v>1786</v>
      </c>
      <c r="G58" t="s">
        <v>0</v>
      </c>
      <c r="H58" t="s">
        <v>1798</v>
      </c>
      <c r="J58" t="s">
        <v>1968</v>
      </c>
      <c r="K58" t="s">
        <v>1822</v>
      </c>
    </row>
    <row r="59" spans="5:11" x14ac:dyDescent="0.5">
      <c r="F59" t="s">
        <v>1786</v>
      </c>
      <c r="G59" t="s">
        <v>11</v>
      </c>
      <c r="H59" t="s">
        <v>1798</v>
      </c>
      <c r="I59" t="s">
        <v>1832</v>
      </c>
      <c r="J59" t="s">
        <v>1968</v>
      </c>
      <c r="K59" t="s">
        <v>1822</v>
      </c>
    </row>
    <row r="60" spans="5:11" x14ac:dyDescent="0.5">
      <c r="F60" t="s">
        <v>1786</v>
      </c>
      <c r="G60" t="s">
        <v>187</v>
      </c>
      <c r="H60" t="s">
        <v>1792</v>
      </c>
      <c r="J60" t="s">
        <v>1968</v>
      </c>
      <c r="K60" t="s">
        <v>1822</v>
      </c>
    </row>
    <row r="61" spans="5:11" x14ac:dyDescent="0.5">
      <c r="F61" t="s">
        <v>1786</v>
      </c>
      <c r="G61" t="s">
        <v>191</v>
      </c>
      <c r="H61" t="s">
        <v>1792</v>
      </c>
      <c r="I61" t="s">
        <v>1832</v>
      </c>
      <c r="J61" t="s">
        <v>1968</v>
      </c>
      <c r="K61" t="s">
        <v>1822</v>
      </c>
    </row>
    <row r="62" spans="5:11" x14ac:dyDescent="0.5">
      <c r="F62" t="s">
        <v>1786</v>
      </c>
      <c r="G62" t="s">
        <v>363</v>
      </c>
      <c r="H62" t="s">
        <v>1803</v>
      </c>
      <c r="J62" t="s">
        <v>1968</v>
      </c>
      <c r="K62" t="s">
        <v>1822</v>
      </c>
    </row>
    <row r="63" spans="5:11" x14ac:dyDescent="0.5">
      <c r="F63" t="s">
        <v>1786</v>
      </c>
      <c r="G63" t="s">
        <v>1116</v>
      </c>
      <c r="H63" t="s">
        <v>1802</v>
      </c>
      <c r="J63" t="s">
        <v>1968</v>
      </c>
      <c r="K63" t="s">
        <v>1822</v>
      </c>
    </row>
    <row r="64" spans="5:11" x14ac:dyDescent="0.5">
      <c r="E64" t="s">
        <v>1833</v>
      </c>
      <c r="F64" t="s">
        <v>1787</v>
      </c>
      <c r="G64" t="s">
        <v>450</v>
      </c>
      <c r="H64" t="s">
        <v>1797</v>
      </c>
      <c r="J64" t="s">
        <v>1969</v>
      </c>
      <c r="K64" t="s">
        <v>1822</v>
      </c>
    </row>
    <row r="65" spans="5:11" x14ac:dyDescent="0.5">
      <c r="F65" t="s">
        <v>1787</v>
      </c>
      <c r="G65" t="s">
        <v>543</v>
      </c>
      <c r="H65" t="s">
        <v>1795</v>
      </c>
      <c r="J65" t="s">
        <v>1969</v>
      </c>
      <c r="K65" t="s">
        <v>1822</v>
      </c>
    </row>
    <row r="66" spans="5:11" x14ac:dyDescent="0.5">
      <c r="F66" t="s">
        <v>1787</v>
      </c>
      <c r="G66" t="s">
        <v>6</v>
      </c>
      <c r="H66" t="s">
        <v>1798</v>
      </c>
      <c r="J66" t="s">
        <v>1969</v>
      </c>
      <c r="K66" t="s">
        <v>1822</v>
      </c>
    </row>
    <row r="67" spans="5:11" x14ac:dyDescent="0.5">
      <c r="F67" t="s">
        <v>1787</v>
      </c>
      <c r="G67" t="s">
        <v>188</v>
      </c>
      <c r="H67" t="s">
        <v>1792</v>
      </c>
      <c r="J67" t="s">
        <v>1969</v>
      </c>
      <c r="K67" t="s">
        <v>1822</v>
      </c>
    </row>
    <row r="68" spans="5:11" x14ac:dyDescent="0.5">
      <c r="E68" t="s">
        <v>1834</v>
      </c>
      <c r="F68" t="s">
        <v>1789</v>
      </c>
      <c r="G68" t="s">
        <v>486</v>
      </c>
      <c r="H68" t="s">
        <v>208</v>
      </c>
      <c r="J68" t="s">
        <v>1970</v>
      </c>
      <c r="K68" t="s">
        <v>1822</v>
      </c>
    </row>
    <row r="69" spans="5:11" x14ac:dyDescent="0.5">
      <c r="F69" t="s">
        <v>1789</v>
      </c>
      <c r="G69" t="s">
        <v>1258</v>
      </c>
      <c r="H69" t="s">
        <v>1796</v>
      </c>
      <c r="J69" t="s">
        <v>1970</v>
      </c>
      <c r="K69" t="s">
        <v>1822</v>
      </c>
    </row>
    <row r="70" spans="5:11" x14ac:dyDescent="0.5">
      <c r="F70" t="s">
        <v>1789</v>
      </c>
      <c r="G70" t="s">
        <v>627</v>
      </c>
      <c r="H70" t="s">
        <v>1799</v>
      </c>
      <c r="J70" t="s">
        <v>1970</v>
      </c>
      <c r="K70" t="s">
        <v>1822</v>
      </c>
    </row>
    <row r="71" spans="5:11" x14ac:dyDescent="0.5">
      <c r="F71" t="s">
        <v>1789</v>
      </c>
      <c r="G71" t="s">
        <v>632</v>
      </c>
      <c r="H71" t="s">
        <v>1799</v>
      </c>
      <c r="I71" t="s">
        <v>644</v>
      </c>
      <c r="J71" t="s">
        <v>1970</v>
      </c>
      <c r="K71" t="s">
        <v>1822</v>
      </c>
    </row>
    <row r="72" spans="5:11" x14ac:dyDescent="0.5">
      <c r="F72" t="s">
        <v>1789</v>
      </c>
      <c r="G72" t="s">
        <v>1181</v>
      </c>
      <c r="H72" t="s">
        <v>1793</v>
      </c>
      <c r="J72" t="s">
        <v>1970</v>
      </c>
      <c r="K72" t="s">
        <v>1822</v>
      </c>
    </row>
    <row r="73" spans="5:11" x14ac:dyDescent="0.5">
      <c r="F73" t="s">
        <v>1789</v>
      </c>
      <c r="G73" t="s">
        <v>792</v>
      </c>
      <c r="H73" t="s">
        <v>1801</v>
      </c>
      <c r="J73" t="s">
        <v>1970</v>
      </c>
      <c r="K73" t="s">
        <v>1822</v>
      </c>
    </row>
    <row r="74" spans="5:11" x14ac:dyDescent="0.5">
      <c r="F74" t="s">
        <v>1789</v>
      </c>
      <c r="G74" t="s">
        <v>641</v>
      </c>
      <c r="H74" t="s">
        <v>1799</v>
      </c>
      <c r="I74" t="s">
        <v>1847</v>
      </c>
      <c r="J74" t="s">
        <v>1970</v>
      </c>
      <c r="K74" t="s">
        <v>1822</v>
      </c>
    </row>
    <row r="75" spans="5:11" x14ac:dyDescent="0.5">
      <c r="E75" t="s">
        <v>1818</v>
      </c>
      <c r="F75" t="s">
        <v>1747</v>
      </c>
      <c r="G75" t="s">
        <v>553</v>
      </c>
      <c r="H75" t="s">
        <v>1795</v>
      </c>
      <c r="J75" t="s">
        <v>1971</v>
      </c>
      <c r="K75" t="s">
        <v>1822</v>
      </c>
    </row>
    <row r="76" spans="5:11" x14ac:dyDescent="0.5">
      <c r="F76" t="s">
        <v>1747</v>
      </c>
      <c r="G76" t="s">
        <v>958</v>
      </c>
      <c r="H76" t="s">
        <v>1794</v>
      </c>
      <c r="J76" t="s">
        <v>1971</v>
      </c>
      <c r="K76" t="s">
        <v>1822</v>
      </c>
    </row>
    <row r="77" spans="5:11" x14ac:dyDescent="0.5">
      <c r="F77" t="s">
        <v>1747</v>
      </c>
      <c r="G77" t="s">
        <v>487</v>
      </c>
      <c r="H77" t="s">
        <v>208</v>
      </c>
      <c r="J77" t="s">
        <v>1971</v>
      </c>
      <c r="K77" t="s">
        <v>1822</v>
      </c>
    </row>
    <row r="78" spans="5:11" x14ac:dyDescent="0.5">
      <c r="F78" t="s">
        <v>1747</v>
      </c>
      <c r="G78" t="s">
        <v>1259</v>
      </c>
      <c r="H78" t="s">
        <v>1796</v>
      </c>
      <c r="J78" t="s">
        <v>1971</v>
      </c>
      <c r="K78" t="s">
        <v>1822</v>
      </c>
    </row>
    <row r="79" spans="5:11" x14ac:dyDescent="0.5">
      <c r="F79" t="s">
        <v>1747</v>
      </c>
      <c r="G79" t="s">
        <v>12</v>
      </c>
      <c r="H79" t="s">
        <v>1798</v>
      </c>
      <c r="I79" t="s">
        <v>1835</v>
      </c>
      <c r="J79" t="s">
        <v>1971</v>
      </c>
      <c r="K79" t="s">
        <v>1822</v>
      </c>
    </row>
    <row r="80" spans="5:11" x14ac:dyDescent="0.5">
      <c r="F80" t="s">
        <v>1747</v>
      </c>
      <c r="G80" t="s">
        <v>628</v>
      </c>
      <c r="H80" t="s">
        <v>1799</v>
      </c>
      <c r="J80" t="s">
        <v>1971</v>
      </c>
      <c r="K80" t="s">
        <v>1822</v>
      </c>
    </row>
    <row r="81" spans="5:11" x14ac:dyDescent="0.5">
      <c r="F81" t="s">
        <v>1747</v>
      </c>
      <c r="G81" t="s">
        <v>633</v>
      </c>
      <c r="H81" t="s">
        <v>1799</v>
      </c>
      <c r="I81" t="s">
        <v>644</v>
      </c>
      <c r="J81" t="s">
        <v>1971</v>
      </c>
      <c r="K81" t="s">
        <v>1822</v>
      </c>
    </row>
    <row r="82" spans="5:11" x14ac:dyDescent="0.5">
      <c r="F82" t="s">
        <v>1747</v>
      </c>
      <c r="G82" t="s">
        <v>1182</v>
      </c>
      <c r="H82" t="s">
        <v>1793</v>
      </c>
      <c r="J82" t="s">
        <v>1971</v>
      </c>
      <c r="K82" t="s">
        <v>1822</v>
      </c>
    </row>
    <row r="83" spans="5:11" x14ac:dyDescent="0.5">
      <c r="F83" t="s">
        <v>1747</v>
      </c>
      <c r="G83" t="s">
        <v>642</v>
      </c>
      <c r="H83" t="s">
        <v>1799</v>
      </c>
      <c r="I83" t="s">
        <v>1847</v>
      </c>
      <c r="J83" t="s">
        <v>1971</v>
      </c>
      <c r="K83" t="s">
        <v>1822</v>
      </c>
    </row>
    <row r="84" spans="5:11" x14ac:dyDescent="0.5">
      <c r="F84" t="s">
        <v>1747</v>
      </c>
      <c r="G84" t="s">
        <v>1122</v>
      </c>
      <c r="H84" t="s">
        <v>1802</v>
      </c>
      <c r="I84" t="s">
        <v>1836</v>
      </c>
      <c r="J84" t="s">
        <v>1971</v>
      </c>
      <c r="K84" t="s">
        <v>1822</v>
      </c>
    </row>
    <row r="85" spans="5:11" x14ac:dyDescent="0.5">
      <c r="F85" t="s">
        <v>1747</v>
      </c>
      <c r="G85" t="s">
        <v>1120</v>
      </c>
      <c r="H85" t="s">
        <v>1802</v>
      </c>
      <c r="J85" t="s">
        <v>1971</v>
      </c>
      <c r="K85" t="s">
        <v>1822</v>
      </c>
    </row>
    <row r="86" spans="5:11" x14ac:dyDescent="0.5">
      <c r="F86" t="s">
        <v>1747</v>
      </c>
      <c r="G86" t="s">
        <v>555</v>
      </c>
      <c r="H86" t="s">
        <v>1795</v>
      </c>
      <c r="I86" t="s">
        <v>1827</v>
      </c>
      <c r="J86" t="s">
        <v>1971</v>
      </c>
      <c r="K86" t="s">
        <v>1822</v>
      </c>
    </row>
    <row r="87" spans="5:11" x14ac:dyDescent="0.5">
      <c r="F87" t="s">
        <v>1747</v>
      </c>
      <c r="G87" t="s">
        <v>788</v>
      </c>
      <c r="H87" t="s">
        <v>1801</v>
      </c>
      <c r="I87" t="s">
        <v>1837</v>
      </c>
      <c r="J87" t="s">
        <v>1971</v>
      </c>
      <c r="K87" t="s">
        <v>1822</v>
      </c>
    </row>
    <row r="88" spans="5:11" x14ac:dyDescent="0.5">
      <c r="F88" t="s">
        <v>1747</v>
      </c>
      <c r="G88" t="s">
        <v>873</v>
      </c>
      <c r="H88" t="s">
        <v>1800</v>
      </c>
      <c r="J88" t="s">
        <v>1971</v>
      </c>
      <c r="K88" t="s">
        <v>1822</v>
      </c>
    </row>
    <row r="89" spans="5:11" x14ac:dyDescent="0.5">
      <c r="F89" t="s">
        <v>1747</v>
      </c>
      <c r="G89" t="s">
        <v>789</v>
      </c>
      <c r="H89" t="s">
        <v>1801</v>
      </c>
      <c r="I89" t="s">
        <v>1836</v>
      </c>
      <c r="J89" t="s">
        <v>1971</v>
      </c>
      <c r="K89" t="s">
        <v>1822</v>
      </c>
    </row>
    <row r="90" spans="5:11" x14ac:dyDescent="0.5">
      <c r="E90" t="s">
        <v>1819</v>
      </c>
      <c r="F90" t="s">
        <v>1783</v>
      </c>
      <c r="G90" t="s">
        <v>446</v>
      </c>
      <c r="H90" t="s">
        <v>1797</v>
      </c>
      <c r="J90" t="s">
        <v>1972</v>
      </c>
      <c r="K90" t="s">
        <v>1822</v>
      </c>
    </row>
    <row r="91" spans="5:11" x14ac:dyDescent="0.5">
      <c r="F91" t="s">
        <v>1783</v>
      </c>
      <c r="G91" t="s">
        <v>550</v>
      </c>
      <c r="H91" t="s">
        <v>1795</v>
      </c>
      <c r="J91" t="s">
        <v>1972</v>
      </c>
      <c r="K91" t="s">
        <v>1822</v>
      </c>
    </row>
    <row r="92" spans="5:11" x14ac:dyDescent="0.5">
      <c r="F92" t="s">
        <v>1783</v>
      </c>
      <c r="G92" t="s">
        <v>9</v>
      </c>
      <c r="H92" t="s">
        <v>1798</v>
      </c>
      <c r="J92" t="s">
        <v>1972</v>
      </c>
      <c r="K92" t="s">
        <v>1822</v>
      </c>
    </row>
    <row r="93" spans="5:11" x14ac:dyDescent="0.5">
      <c r="F93" t="s">
        <v>1783</v>
      </c>
      <c r="G93" t="s">
        <v>184</v>
      </c>
      <c r="H93" t="s">
        <v>1792</v>
      </c>
      <c r="J93" t="s">
        <v>1972</v>
      </c>
      <c r="K93" t="s">
        <v>1822</v>
      </c>
    </row>
    <row r="94" spans="5:11" x14ac:dyDescent="0.5">
      <c r="F94" t="s">
        <v>1783</v>
      </c>
      <c r="G94" t="s">
        <v>1183</v>
      </c>
      <c r="H94" t="s">
        <v>1793</v>
      </c>
      <c r="J94" t="s">
        <v>1972</v>
      </c>
      <c r="K94" t="s">
        <v>1822</v>
      </c>
    </row>
    <row r="95" spans="5:11" x14ac:dyDescent="0.5">
      <c r="E95" t="s">
        <v>1820</v>
      </c>
      <c r="F95" t="s">
        <v>1782</v>
      </c>
      <c r="G95" t="s">
        <v>445</v>
      </c>
      <c r="H95" t="s">
        <v>1797</v>
      </c>
      <c r="J95" t="s">
        <v>1973</v>
      </c>
      <c r="K95" t="s">
        <v>1822</v>
      </c>
    </row>
    <row r="96" spans="5:11" x14ac:dyDescent="0.5">
      <c r="F96" t="s">
        <v>1782</v>
      </c>
      <c r="G96" t="s">
        <v>548</v>
      </c>
      <c r="H96" t="s">
        <v>1795</v>
      </c>
      <c r="J96" t="s">
        <v>1973</v>
      </c>
      <c r="K96" t="s">
        <v>1822</v>
      </c>
    </row>
    <row r="97" spans="5:11" x14ac:dyDescent="0.5">
      <c r="F97" t="s">
        <v>1782</v>
      </c>
      <c r="G97" t="s">
        <v>10</v>
      </c>
      <c r="H97" t="s">
        <v>1798</v>
      </c>
      <c r="J97" t="s">
        <v>1973</v>
      </c>
      <c r="K97" t="s">
        <v>1822</v>
      </c>
    </row>
    <row r="98" spans="5:11" x14ac:dyDescent="0.5">
      <c r="F98" t="s">
        <v>1782</v>
      </c>
      <c r="G98" t="s">
        <v>183</v>
      </c>
      <c r="H98" t="s">
        <v>1792</v>
      </c>
      <c r="J98" t="s">
        <v>1973</v>
      </c>
      <c r="K98" t="s">
        <v>1822</v>
      </c>
    </row>
    <row r="99" spans="5:11" x14ac:dyDescent="0.5">
      <c r="E99" t="s">
        <v>1839</v>
      </c>
      <c r="F99" t="s">
        <v>1788</v>
      </c>
      <c r="G99" t="s">
        <v>451</v>
      </c>
      <c r="H99" t="s">
        <v>1797</v>
      </c>
      <c r="J99" t="s">
        <v>1974</v>
      </c>
      <c r="K99" t="s">
        <v>1822</v>
      </c>
    </row>
    <row r="100" spans="5:11" x14ac:dyDescent="0.5">
      <c r="F100" t="s">
        <v>1788</v>
      </c>
      <c r="G100" t="s">
        <v>549</v>
      </c>
      <c r="H100" t="s">
        <v>1795</v>
      </c>
      <c r="J100" t="s">
        <v>1974</v>
      </c>
      <c r="K100" t="s">
        <v>1822</v>
      </c>
    </row>
    <row r="101" spans="5:11" x14ac:dyDescent="0.5">
      <c r="F101" t="s">
        <v>1788</v>
      </c>
      <c r="G101" t="s">
        <v>5</v>
      </c>
      <c r="H101" t="s">
        <v>1798</v>
      </c>
      <c r="J101" t="s">
        <v>1974</v>
      </c>
      <c r="K101" t="s">
        <v>1822</v>
      </c>
    </row>
    <row r="102" spans="5:11" x14ac:dyDescent="0.5">
      <c r="F102" t="s">
        <v>1788</v>
      </c>
      <c r="G102" t="s">
        <v>189</v>
      </c>
      <c r="H102" t="s">
        <v>1792</v>
      </c>
      <c r="J102" t="s">
        <v>1974</v>
      </c>
      <c r="K102" t="s">
        <v>1822</v>
      </c>
    </row>
    <row r="103" spans="5:11" x14ac:dyDescent="0.5">
      <c r="F103" t="s">
        <v>1840</v>
      </c>
      <c r="G103" t="s">
        <v>556</v>
      </c>
      <c r="H103" t="s">
        <v>1795</v>
      </c>
      <c r="I103" t="s">
        <v>1827</v>
      </c>
      <c r="J103" t="s">
        <v>1975</v>
      </c>
      <c r="K103" t="s">
        <v>1822</v>
      </c>
    </row>
    <row r="104" spans="5:11" x14ac:dyDescent="0.5">
      <c r="E104" t="s">
        <v>1841</v>
      </c>
      <c r="F104" t="s">
        <v>1736</v>
      </c>
      <c r="G104" t="s">
        <v>871</v>
      </c>
      <c r="H104" t="s">
        <v>1800</v>
      </c>
      <c r="I104" t="s">
        <v>1842</v>
      </c>
      <c r="J104" t="s">
        <v>1976</v>
      </c>
      <c r="K104" t="s">
        <v>1822</v>
      </c>
    </row>
    <row r="105" spans="5:11" x14ac:dyDescent="0.5">
      <c r="F105" t="s">
        <v>1736</v>
      </c>
      <c r="G105" t="s">
        <v>872</v>
      </c>
      <c r="H105" t="s">
        <v>1800</v>
      </c>
      <c r="I105" t="s">
        <v>1870</v>
      </c>
      <c r="J105" t="s">
        <v>1976</v>
      </c>
      <c r="K105" t="s">
        <v>1822</v>
      </c>
    </row>
    <row r="106" spans="5:11" x14ac:dyDescent="0.5">
      <c r="F106" t="s">
        <v>1736</v>
      </c>
      <c r="G106" t="s">
        <v>875</v>
      </c>
      <c r="H106" t="s">
        <v>1800</v>
      </c>
      <c r="I106" t="s">
        <v>1826</v>
      </c>
      <c r="J106" t="s">
        <v>1976</v>
      </c>
      <c r="K106" t="s">
        <v>1822</v>
      </c>
    </row>
    <row r="107" spans="5:11" x14ac:dyDescent="0.5">
      <c r="F107" t="s">
        <v>1790</v>
      </c>
      <c r="G107" t="s">
        <v>961</v>
      </c>
      <c r="H107" t="s">
        <v>1794</v>
      </c>
      <c r="I107" t="s">
        <v>1849</v>
      </c>
      <c r="J107" t="s">
        <v>1977</v>
      </c>
      <c r="K107" t="s">
        <v>1822</v>
      </c>
    </row>
    <row r="108" spans="5:11" x14ac:dyDescent="0.5">
      <c r="F108" t="s">
        <v>1790</v>
      </c>
      <c r="G108" t="s">
        <v>960</v>
      </c>
      <c r="H108" t="s">
        <v>1794</v>
      </c>
      <c r="I108" t="s">
        <v>1848</v>
      </c>
      <c r="J108" t="s">
        <v>1977</v>
      </c>
      <c r="K108" t="s">
        <v>1822</v>
      </c>
    </row>
    <row r="109" spans="5:11" x14ac:dyDescent="0.5">
      <c r="F109" t="s">
        <v>1804</v>
      </c>
      <c r="G109" t="s">
        <v>366</v>
      </c>
      <c r="H109" t="s">
        <v>1803</v>
      </c>
      <c r="J109" t="s">
        <v>1978</v>
      </c>
      <c r="K109" t="s">
        <v>1822</v>
      </c>
    </row>
    <row r="110" spans="5:11" x14ac:dyDescent="0.5">
      <c r="E110" t="s">
        <v>1843</v>
      </c>
      <c r="F110" t="s">
        <v>1737</v>
      </c>
      <c r="G110" t="s">
        <v>790</v>
      </c>
      <c r="H110" t="s">
        <v>1801</v>
      </c>
      <c r="I110" t="s">
        <v>1837</v>
      </c>
      <c r="J110" t="s">
        <v>1979</v>
      </c>
      <c r="K110" t="s">
        <v>1822</v>
      </c>
    </row>
    <row r="111" spans="5:11" x14ac:dyDescent="0.5">
      <c r="F111" t="s">
        <v>1737</v>
      </c>
      <c r="G111" t="s">
        <v>794</v>
      </c>
      <c r="H111" t="s">
        <v>1801</v>
      </c>
      <c r="I111" t="s">
        <v>1844</v>
      </c>
      <c r="J111" t="s">
        <v>1979</v>
      </c>
      <c r="K111" t="s">
        <v>1822</v>
      </c>
    </row>
    <row r="112" spans="5:11" x14ac:dyDescent="0.5">
      <c r="F112" t="s">
        <v>1737</v>
      </c>
      <c r="G112" t="s">
        <v>965</v>
      </c>
      <c r="H112" t="s">
        <v>1794</v>
      </c>
      <c r="J112" t="s">
        <v>1979</v>
      </c>
      <c r="K112" t="s">
        <v>1822</v>
      </c>
    </row>
    <row r="113" spans="5:11" x14ac:dyDescent="0.5">
      <c r="F113" t="s">
        <v>1737</v>
      </c>
      <c r="G113" t="s">
        <v>791</v>
      </c>
      <c r="H113" t="s">
        <v>1801</v>
      </c>
      <c r="I113" t="s">
        <v>1836</v>
      </c>
      <c r="J113" t="s">
        <v>1979</v>
      </c>
      <c r="K113" t="s">
        <v>1822</v>
      </c>
    </row>
    <row r="114" spans="5:11" x14ac:dyDescent="0.5">
      <c r="F114" t="s">
        <v>1809</v>
      </c>
      <c r="G114" t="s">
        <v>1124</v>
      </c>
      <c r="H114" t="s">
        <v>1802</v>
      </c>
      <c r="J114" t="s">
        <v>1980</v>
      </c>
      <c r="K114" t="s">
        <v>1822</v>
      </c>
    </row>
    <row r="115" spans="5:11" x14ac:dyDescent="0.5">
      <c r="F115" t="s">
        <v>1806</v>
      </c>
      <c r="G115" t="s">
        <v>13</v>
      </c>
      <c r="H115" t="s">
        <v>1798</v>
      </c>
      <c r="J115" t="s">
        <v>1981</v>
      </c>
      <c r="K115" t="s">
        <v>1822</v>
      </c>
    </row>
    <row r="116" spans="5:11" x14ac:dyDescent="0.5">
      <c r="F116" t="s">
        <v>1806</v>
      </c>
      <c r="G116" t="s">
        <v>13</v>
      </c>
      <c r="H116" t="s">
        <v>1801</v>
      </c>
      <c r="J116" t="s">
        <v>1981</v>
      </c>
      <c r="K116" t="s">
        <v>1822</v>
      </c>
    </row>
    <row r="117" spans="5:11" x14ac:dyDescent="0.5">
      <c r="F117" t="s">
        <v>1806</v>
      </c>
      <c r="G117" t="s">
        <v>964</v>
      </c>
      <c r="H117" t="s">
        <v>1794</v>
      </c>
      <c r="J117" t="s">
        <v>1981</v>
      </c>
      <c r="K117" t="s">
        <v>1822</v>
      </c>
    </row>
    <row r="118" spans="5:11" x14ac:dyDescent="0.5">
      <c r="E118" t="s">
        <v>1845</v>
      </c>
      <c r="F118" t="s">
        <v>1781</v>
      </c>
      <c r="G118" t="s">
        <v>444</v>
      </c>
      <c r="H118" t="s">
        <v>1797</v>
      </c>
      <c r="J118" t="s">
        <v>1982</v>
      </c>
      <c r="K118" t="s">
        <v>1822</v>
      </c>
    </row>
    <row r="119" spans="5:11" x14ac:dyDescent="0.5">
      <c r="F119" t="s">
        <v>1781</v>
      </c>
      <c r="G119" t="s">
        <v>4</v>
      </c>
      <c r="H119" t="s">
        <v>1798</v>
      </c>
      <c r="J119" t="s">
        <v>1982</v>
      </c>
      <c r="K119" t="s">
        <v>1822</v>
      </c>
    </row>
    <row r="120" spans="5:11" x14ac:dyDescent="0.5">
      <c r="F120" t="s">
        <v>1781</v>
      </c>
      <c r="G120" t="s">
        <v>182</v>
      </c>
      <c r="H120" t="s">
        <v>1792</v>
      </c>
      <c r="J120" t="s">
        <v>1982</v>
      </c>
      <c r="K120" t="s">
        <v>1822</v>
      </c>
    </row>
    <row r="121" spans="5:11" x14ac:dyDescent="0.5">
      <c r="F121" t="s">
        <v>1742</v>
      </c>
      <c r="G121" t="s">
        <v>634</v>
      </c>
      <c r="H121" t="s">
        <v>1799</v>
      </c>
      <c r="J121" t="s">
        <v>1983</v>
      </c>
      <c r="K121" t="s">
        <v>1822</v>
      </c>
    </row>
    <row r="122" spans="5:11" x14ac:dyDescent="0.5">
      <c r="F122" t="s">
        <v>1741</v>
      </c>
      <c r="G122" t="s">
        <v>637</v>
      </c>
      <c r="H122" t="s">
        <v>1799</v>
      </c>
      <c r="J122" t="s">
        <v>1984</v>
      </c>
      <c r="K122" t="s">
        <v>1822</v>
      </c>
    </row>
    <row r="123" spans="5:11" x14ac:dyDescent="0.5">
      <c r="E123" t="s">
        <v>1846</v>
      </c>
      <c r="F123" t="s">
        <v>1745</v>
      </c>
      <c r="G123" t="s">
        <v>1123</v>
      </c>
      <c r="H123" t="s">
        <v>1802</v>
      </c>
      <c r="J123" t="s">
        <v>1985</v>
      </c>
      <c r="K123" t="s">
        <v>1822</v>
      </c>
    </row>
    <row r="124" spans="5:11" x14ac:dyDescent="0.5">
      <c r="F124" t="s">
        <v>1738</v>
      </c>
      <c r="G124" t="s">
        <v>962</v>
      </c>
      <c r="H124" t="s">
        <v>1794</v>
      </c>
      <c r="J124" t="s">
        <v>1986</v>
      </c>
      <c r="K124" t="s">
        <v>1822</v>
      </c>
    </row>
    <row r="125" spans="5:11" x14ac:dyDescent="0.5">
      <c r="F125" t="s">
        <v>1739</v>
      </c>
      <c r="G125" t="s">
        <v>955</v>
      </c>
      <c r="H125" t="s">
        <v>1794</v>
      </c>
      <c r="J125" t="s">
        <v>1987</v>
      </c>
      <c r="K125" t="s">
        <v>1822</v>
      </c>
    </row>
    <row r="126" spans="5:11" x14ac:dyDescent="0.5">
      <c r="F126" t="s">
        <v>1740</v>
      </c>
      <c r="G126" t="s">
        <v>636</v>
      </c>
      <c r="H126" t="s">
        <v>1799</v>
      </c>
      <c r="I126" t="s">
        <v>644</v>
      </c>
      <c r="J126" t="s">
        <v>1988</v>
      </c>
      <c r="K126" t="s">
        <v>1822</v>
      </c>
    </row>
    <row r="127" spans="5:11" x14ac:dyDescent="0.5">
      <c r="F127" t="s">
        <v>1740</v>
      </c>
      <c r="G127" t="s">
        <v>643</v>
      </c>
      <c r="H127" t="s">
        <v>1799</v>
      </c>
      <c r="I127" t="s">
        <v>1847</v>
      </c>
      <c r="J127" t="s">
        <v>1988</v>
      </c>
      <c r="K127" t="s">
        <v>1822</v>
      </c>
    </row>
    <row r="128" spans="5:11" x14ac:dyDescent="0.5">
      <c r="F128" t="s">
        <v>1743</v>
      </c>
      <c r="G128" t="s">
        <v>635</v>
      </c>
      <c r="H128" t="s">
        <v>1799</v>
      </c>
      <c r="J128" t="s">
        <v>1989</v>
      </c>
      <c r="K128" t="s">
        <v>1822</v>
      </c>
    </row>
    <row r="129" spans="5:11" x14ac:dyDescent="0.5">
      <c r="F129" t="s">
        <v>1744</v>
      </c>
      <c r="G129" t="s">
        <v>194</v>
      </c>
      <c r="H129" t="s">
        <v>1792</v>
      </c>
      <c r="I129" t="s">
        <v>1870</v>
      </c>
      <c r="J129" t="s">
        <v>1990</v>
      </c>
      <c r="K129" t="s">
        <v>1822</v>
      </c>
    </row>
    <row r="130" spans="5:11" x14ac:dyDescent="0.5">
      <c r="F130" t="s">
        <v>1744</v>
      </c>
      <c r="G130" t="s">
        <v>193</v>
      </c>
      <c r="H130" t="s">
        <v>1792</v>
      </c>
      <c r="I130" t="s">
        <v>1836</v>
      </c>
      <c r="J130" t="s">
        <v>1990</v>
      </c>
      <c r="K130" t="s">
        <v>1822</v>
      </c>
    </row>
    <row r="131" spans="5:11" x14ac:dyDescent="0.5">
      <c r="F131" t="s">
        <v>1813</v>
      </c>
      <c r="G131" t="s">
        <v>192</v>
      </c>
      <c r="H131" t="s">
        <v>1792</v>
      </c>
      <c r="J131" t="s">
        <v>1991</v>
      </c>
      <c r="K131" t="s">
        <v>1822</v>
      </c>
    </row>
    <row r="132" spans="5:11" x14ac:dyDescent="0.5">
      <c r="F132" t="s">
        <v>1748</v>
      </c>
      <c r="G132" t="s">
        <v>1125</v>
      </c>
      <c r="H132" t="s">
        <v>1802</v>
      </c>
      <c r="J132" t="s">
        <v>1992</v>
      </c>
      <c r="K132" t="s">
        <v>1822</v>
      </c>
    </row>
    <row r="133" spans="5:11" x14ac:dyDescent="0.5">
      <c r="F133" t="s">
        <v>1750</v>
      </c>
      <c r="G133" t="s">
        <v>963</v>
      </c>
      <c r="H133" t="s">
        <v>1794</v>
      </c>
      <c r="J133" t="s">
        <v>1993</v>
      </c>
      <c r="K133" t="s">
        <v>1822</v>
      </c>
    </row>
    <row r="134" spans="5:11" x14ac:dyDescent="0.5">
      <c r="F134" t="s">
        <v>1805</v>
      </c>
      <c r="G134" t="s">
        <v>552</v>
      </c>
      <c r="H134" t="s">
        <v>1795</v>
      </c>
      <c r="J134" t="s">
        <v>1994</v>
      </c>
      <c r="K134" t="s">
        <v>1822</v>
      </c>
    </row>
    <row r="135" spans="5:11" x14ac:dyDescent="0.5">
      <c r="F135" t="s">
        <v>1751</v>
      </c>
      <c r="G135" t="s">
        <v>959</v>
      </c>
      <c r="H135" t="s">
        <v>1794</v>
      </c>
      <c r="J135" t="s">
        <v>1995</v>
      </c>
      <c r="K135" t="s">
        <v>1822</v>
      </c>
    </row>
    <row r="136" spans="5:11" x14ac:dyDescent="0.5">
      <c r="F136" t="s">
        <v>1812</v>
      </c>
      <c r="G136" t="s">
        <v>1121</v>
      </c>
      <c r="H136" t="s">
        <v>1802</v>
      </c>
      <c r="J136" t="s">
        <v>1996</v>
      </c>
      <c r="K136" t="s">
        <v>1822</v>
      </c>
    </row>
    <row r="137" spans="5:11" x14ac:dyDescent="0.5">
      <c r="F137" t="s">
        <v>1812</v>
      </c>
      <c r="G137" t="s">
        <v>190</v>
      </c>
      <c r="H137" t="s">
        <v>1792</v>
      </c>
      <c r="J137" t="s">
        <v>1996</v>
      </c>
      <c r="K137" t="s">
        <v>1822</v>
      </c>
    </row>
    <row r="138" spans="5:11" x14ac:dyDescent="0.5">
      <c r="F138" t="s">
        <v>1749</v>
      </c>
      <c r="G138" t="s">
        <v>368</v>
      </c>
      <c r="H138" t="s">
        <v>1803</v>
      </c>
      <c r="J138" t="s">
        <v>1997</v>
      </c>
      <c r="K138" t="s">
        <v>1822</v>
      </c>
    </row>
    <row r="139" spans="5:11" x14ac:dyDescent="0.5">
      <c r="F139" t="s">
        <v>1791</v>
      </c>
      <c r="G139" t="s">
        <v>367</v>
      </c>
      <c r="H139" t="s">
        <v>1803</v>
      </c>
      <c r="J139" t="s">
        <v>1998</v>
      </c>
      <c r="K139" t="s">
        <v>1822</v>
      </c>
    </row>
    <row r="140" spans="5:11" x14ac:dyDescent="0.5">
      <c r="F140" t="s">
        <v>1791</v>
      </c>
      <c r="G140" t="s">
        <v>1119</v>
      </c>
      <c r="H140" t="s">
        <v>1802</v>
      </c>
      <c r="J140" t="s">
        <v>1998</v>
      </c>
      <c r="K140" t="s">
        <v>1822</v>
      </c>
    </row>
    <row r="141" spans="5:11" x14ac:dyDescent="0.5">
      <c r="F141" t="s">
        <v>177</v>
      </c>
      <c r="G141" t="s">
        <v>177</v>
      </c>
      <c r="H141" t="s">
        <v>1792</v>
      </c>
      <c r="J141" t="s">
        <v>1999</v>
      </c>
      <c r="K141" t="s">
        <v>1822</v>
      </c>
    </row>
    <row r="142" spans="5:11" x14ac:dyDescent="0.5">
      <c r="F142" t="s">
        <v>178</v>
      </c>
      <c r="G142" t="s">
        <v>178</v>
      </c>
      <c r="H142" t="s">
        <v>1792</v>
      </c>
      <c r="J142" t="s">
        <v>2000</v>
      </c>
      <c r="K142" t="s">
        <v>1822</v>
      </c>
    </row>
    <row r="143" spans="5:11" x14ac:dyDescent="0.5">
      <c r="E143" t="s">
        <v>1746</v>
      </c>
      <c r="F143" t="s">
        <v>1931</v>
      </c>
      <c r="G143" t="s">
        <v>1931</v>
      </c>
      <c r="H143" t="s">
        <v>2001</v>
      </c>
      <c r="J143" t="s">
        <v>2002</v>
      </c>
      <c r="K143" t="s">
        <v>1822</v>
      </c>
    </row>
    <row r="144" spans="5:11" x14ac:dyDescent="0.5">
      <c r="E144" t="s">
        <v>1933</v>
      </c>
      <c r="F144" t="s">
        <v>1932</v>
      </c>
      <c r="G144" t="s">
        <v>1932</v>
      </c>
      <c r="H144" t="s">
        <v>1874</v>
      </c>
      <c r="J144" t="s">
        <v>2003</v>
      </c>
      <c r="K144" t="s">
        <v>1822</v>
      </c>
    </row>
    <row r="145" spans="6:11" x14ac:dyDescent="0.5">
      <c r="F145" t="s">
        <v>1932</v>
      </c>
      <c r="G145" t="s">
        <v>1932</v>
      </c>
      <c r="H145" t="s">
        <v>1798</v>
      </c>
      <c r="J145" t="s">
        <v>2003</v>
      </c>
      <c r="K145" t="s">
        <v>1822</v>
      </c>
    </row>
    <row r="146" spans="6:11" x14ac:dyDescent="0.5">
      <c r="F146" t="s">
        <v>1932</v>
      </c>
      <c r="G146" t="s">
        <v>1932</v>
      </c>
      <c r="H146" t="s">
        <v>1792</v>
      </c>
      <c r="J146" t="s">
        <v>2003</v>
      </c>
      <c r="K146" t="s">
        <v>1822</v>
      </c>
    </row>
    <row r="147" spans="6:11" x14ac:dyDescent="0.5">
      <c r="F147" t="s">
        <v>1932</v>
      </c>
      <c r="G147" t="s">
        <v>1932</v>
      </c>
      <c r="H147" t="s">
        <v>1803</v>
      </c>
      <c r="J147" t="s">
        <v>2003</v>
      </c>
      <c r="K147" t="s">
        <v>1822</v>
      </c>
    </row>
    <row r="148" spans="6:11" x14ac:dyDescent="0.5">
      <c r="F148" t="s">
        <v>1932</v>
      </c>
      <c r="G148" t="s">
        <v>1932</v>
      </c>
      <c r="H148" t="s">
        <v>1797</v>
      </c>
      <c r="J148" t="s">
        <v>2003</v>
      </c>
      <c r="K148" t="s">
        <v>1822</v>
      </c>
    </row>
    <row r="149" spans="6:11" x14ac:dyDescent="0.5">
      <c r="F149" t="s">
        <v>1932</v>
      </c>
      <c r="G149" t="s">
        <v>1932</v>
      </c>
      <c r="H149" t="s">
        <v>208</v>
      </c>
      <c r="J149" t="s">
        <v>2003</v>
      </c>
      <c r="K149" t="s">
        <v>1822</v>
      </c>
    </row>
    <row r="150" spans="6:11" x14ac:dyDescent="0.5">
      <c r="F150" t="s">
        <v>1932</v>
      </c>
      <c r="G150" t="s">
        <v>1932</v>
      </c>
      <c r="H150" t="s">
        <v>1795</v>
      </c>
      <c r="J150" t="s">
        <v>2003</v>
      </c>
      <c r="K150" t="s">
        <v>1822</v>
      </c>
    </row>
    <row r="151" spans="6:11" x14ac:dyDescent="0.5">
      <c r="F151" t="s">
        <v>1932</v>
      </c>
      <c r="G151" t="s">
        <v>1932</v>
      </c>
      <c r="H151" t="s">
        <v>1799</v>
      </c>
      <c r="J151" t="s">
        <v>2003</v>
      </c>
      <c r="K151" t="s">
        <v>1822</v>
      </c>
    </row>
    <row r="152" spans="6:11" x14ac:dyDescent="0.5">
      <c r="F152" t="s">
        <v>1932</v>
      </c>
      <c r="G152" t="s">
        <v>1932</v>
      </c>
      <c r="H152" t="s">
        <v>1801</v>
      </c>
      <c r="J152" t="s">
        <v>2003</v>
      </c>
      <c r="K152" t="s">
        <v>1822</v>
      </c>
    </row>
    <row r="153" spans="6:11" x14ac:dyDescent="0.5">
      <c r="F153" t="s">
        <v>1932</v>
      </c>
      <c r="G153" t="s">
        <v>1932</v>
      </c>
      <c r="H153" t="s">
        <v>1800</v>
      </c>
      <c r="J153" t="s">
        <v>2003</v>
      </c>
      <c r="K153" t="s">
        <v>1822</v>
      </c>
    </row>
    <row r="154" spans="6:11" x14ac:dyDescent="0.5">
      <c r="F154" t="s">
        <v>1932</v>
      </c>
      <c r="G154" t="s">
        <v>1932</v>
      </c>
      <c r="H154" t="s">
        <v>1794</v>
      </c>
      <c r="J154" t="s">
        <v>2003</v>
      </c>
      <c r="K154" t="s">
        <v>1822</v>
      </c>
    </row>
    <row r="155" spans="6:11" x14ac:dyDescent="0.5">
      <c r="F155" t="s">
        <v>1932</v>
      </c>
      <c r="G155" t="s">
        <v>1932</v>
      </c>
      <c r="H155" t="s">
        <v>1802</v>
      </c>
      <c r="J155" t="s">
        <v>2003</v>
      </c>
      <c r="K155" t="s">
        <v>1822</v>
      </c>
    </row>
    <row r="156" spans="6:11" x14ac:dyDescent="0.5">
      <c r="F156" t="s">
        <v>1932</v>
      </c>
      <c r="G156" t="s">
        <v>1932</v>
      </c>
      <c r="H156" t="s">
        <v>1793</v>
      </c>
      <c r="J156" t="s">
        <v>2003</v>
      </c>
      <c r="K156" t="s">
        <v>1822</v>
      </c>
    </row>
    <row r="157" spans="6:11" x14ac:dyDescent="0.5">
      <c r="F157" t="s">
        <v>1932</v>
      </c>
      <c r="G157" t="s">
        <v>1932</v>
      </c>
      <c r="H157" t="s">
        <v>1796</v>
      </c>
      <c r="J157" t="s">
        <v>2003</v>
      </c>
      <c r="K157" t="s">
        <v>1822</v>
      </c>
    </row>
    <row r="158" spans="6:11" x14ac:dyDescent="0.5">
      <c r="F158" t="s">
        <v>1932</v>
      </c>
      <c r="G158" t="s">
        <v>1932</v>
      </c>
      <c r="H158" t="s">
        <v>1874</v>
      </c>
      <c r="J158" t="s">
        <v>2003</v>
      </c>
      <c r="K158" t="s">
        <v>1822</v>
      </c>
    </row>
    <row r="159" spans="6:11" x14ac:dyDescent="0.5">
      <c r="F159" t="s">
        <v>1932</v>
      </c>
      <c r="G159" t="s">
        <v>1932</v>
      </c>
      <c r="H159" t="s">
        <v>2001</v>
      </c>
      <c r="J159" t="s">
        <v>2003</v>
      </c>
      <c r="K159" t="s">
        <v>1822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0C2408-8EE9-41AA-91EC-7A611A559B64}">
          <x14:formula1>
            <xm:f>Modulos!$C$2:$C$16</xm:f>
          </x14:formula1>
          <xm:sqref>H2:H159</xm:sqref>
        </x14:dataValidation>
        <x14:dataValidation type="list" allowBlank="1" showInputMessage="1" showErrorMessage="1" xr:uid="{3BC1DB06-1F99-45D1-8111-BCC1DDB82941}">
          <x14:formula1>
            <xm:f>Divisiones!$A$2:$A$17</xm:f>
          </x14:formula1>
          <xm:sqref>I2:I159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3C17-743B-4BBF-81F6-F62F2F2619A3}">
  <dimension ref="A1:E10"/>
  <sheetViews>
    <sheetView workbookViewId="0">
      <selection activeCell="E4" sqref="E4"/>
    </sheetView>
  </sheetViews>
  <sheetFormatPr baseColWidth="10" defaultRowHeight="14.35" x14ac:dyDescent="0.5"/>
  <cols>
    <col min="1" max="1" width="4" customWidth="1"/>
    <col min="2" max="3" width="23.8203125" bestFit="1" customWidth="1"/>
    <col min="4" max="4" width="11.17578125" bestFit="1" customWidth="1"/>
    <col min="5" max="5" width="26.76171875" bestFit="1" customWidth="1"/>
  </cols>
  <sheetData>
    <row r="1" spans="1:5" x14ac:dyDescent="0.5">
      <c r="A1" t="s">
        <v>16</v>
      </c>
      <c r="B1" t="s">
        <v>1752</v>
      </c>
      <c r="C1" t="s">
        <v>1952</v>
      </c>
      <c r="D1" t="s">
        <v>1951</v>
      </c>
      <c r="E1" t="s">
        <v>17</v>
      </c>
    </row>
    <row r="2" spans="1:5" x14ac:dyDescent="0.5">
      <c r="A2">
        <f t="shared" ref="A2:A10" si="0">ROW()-1</f>
        <v>1</v>
      </c>
      <c r="B2" t="s">
        <v>1950</v>
      </c>
      <c r="D2" t="s">
        <v>1947</v>
      </c>
      <c r="E2" t="s">
        <v>1949</v>
      </c>
    </row>
    <row r="3" spans="1:5" x14ac:dyDescent="0.5">
      <c r="A3">
        <f t="shared" si="0"/>
        <v>2</v>
      </c>
      <c r="B3" t="s">
        <v>2107</v>
      </c>
      <c r="D3" t="s">
        <v>1947</v>
      </c>
      <c r="E3" t="s">
        <v>2108</v>
      </c>
    </row>
    <row r="4" spans="1:5" x14ac:dyDescent="0.5">
      <c r="A4">
        <f t="shared" si="0"/>
        <v>3</v>
      </c>
      <c r="B4" t="s">
        <v>1942</v>
      </c>
      <c r="D4" t="s">
        <v>1947</v>
      </c>
      <c r="E4" t="s">
        <v>1948</v>
      </c>
    </row>
    <row r="5" spans="1:5" x14ac:dyDescent="0.5">
      <c r="A5">
        <f t="shared" si="0"/>
        <v>4</v>
      </c>
      <c r="B5" t="s">
        <v>1935</v>
      </c>
      <c r="D5" t="s">
        <v>1947</v>
      </c>
      <c r="E5" t="s">
        <v>1946</v>
      </c>
    </row>
    <row r="6" spans="1:5" x14ac:dyDescent="0.5">
      <c r="A6">
        <f t="shared" si="0"/>
        <v>5</v>
      </c>
      <c r="B6" t="s">
        <v>1945</v>
      </c>
      <c r="C6" t="s">
        <v>1942</v>
      </c>
      <c r="D6" s="14" t="s">
        <v>2105</v>
      </c>
      <c r="E6" t="s">
        <v>1944</v>
      </c>
    </row>
    <row r="7" spans="1:5" x14ac:dyDescent="0.5">
      <c r="A7">
        <f t="shared" si="0"/>
        <v>6</v>
      </c>
      <c r="B7" t="s">
        <v>1943</v>
      </c>
      <c r="C7" t="s">
        <v>1942</v>
      </c>
      <c r="D7" s="14" t="s">
        <v>2105</v>
      </c>
      <c r="E7" t="s">
        <v>1941</v>
      </c>
    </row>
    <row r="8" spans="1:5" x14ac:dyDescent="0.5">
      <c r="A8">
        <f t="shared" si="0"/>
        <v>7</v>
      </c>
      <c r="B8" t="s">
        <v>1940</v>
      </c>
      <c r="C8" t="s">
        <v>1935</v>
      </c>
      <c r="D8" s="14" t="s">
        <v>2105</v>
      </c>
      <c r="E8" t="s">
        <v>1939</v>
      </c>
    </row>
    <row r="9" spans="1:5" x14ac:dyDescent="0.5">
      <c r="A9">
        <f t="shared" si="0"/>
        <v>8</v>
      </c>
      <c r="B9" t="s">
        <v>1938</v>
      </c>
      <c r="C9" t="s">
        <v>1935</v>
      </c>
      <c r="D9" s="14" t="s">
        <v>2105</v>
      </c>
      <c r="E9" t="s">
        <v>1937</v>
      </c>
    </row>
    <row r="10" spans="1:5" x14ac:dyDescent="0.5">
      <c r="A10">
        <f t="shared" si="0"/>
        <v>9</v>
      </c>
      <c r="B10" t="s">
        <v>1936</v>
      </c>
      <c r="C10" t="s">
        <v>1935</v>
      </c>
      <c r="D10" s="14" t="s">
        <v>2105</v>
      </c>
      <c r="E10" t="s">
        <v>1934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0ED2-1AB2-42AA-9B9A-C18275F63758}">
  <sheetPr codeName="Hoja3"/>
  <dimension ref="A1:I16"/>
  <sheetViews>
    <sheetView zoomScale="80" zoomScaleNormal="80" workbookViewId="0">
      <selection activeCell="C2" sqref="C2:C16"/>
    </sheetView>
  </sheetViews>
  <sheetFormatPr baseColWidth="10" defaultRowHeight="14.35" x14ac:dyDescent="0.5"/>
  <cols>
    <col min="1" max="1" width="5.05859375" bestFit="1" customWidth="1"/>
    <col min="2" max="2" width="28.46875" bestFit="1" customWidth="1"/>
    <col min="3" max="3" width="9.05859375" bestFit="1" customWidth="1"/>
    <col min="4" max="4" width="65.52734375" bestFit="1" customWidth="1"/>
    <col min="5" max="5" width="7.41015625" bestFit="1" customWidth="1"/>
    <col min="6" max="6" width="8.87890625" bestFit="1" customWidth="1"/>
    <col min="7" max="7" width="28.234375" bestFit="1" customWidth="1"/>
    <col min="8" max="8" width="23.17578125" bestFit="1" customWidth="1"/>
    <col min="9" max="9" width="21.8203125" bestFit="1" customWidth="1"/>
  </cols>
  <sheetData>
    <row r="1" spans="1:9" x14ac:dyDescent="0.5">
      <c r="A1" t="s">
        <v>16</v>
      </c>
      <c r="B1" t="s">
        <v>14</v>
      </c>
      <c r="C1" t="s">
        <v>1752</v>
      </c>
      <c r="D1" t="s">
        <v>17</v>
      </c>
      <c r="E1" t="s">
        <v>571</v>
      </c>
      <c r="F1" t="s">
        <v>1810</v>
      </c>
      <c r="G1" t="s">
        <v>1730</v>
      </c>
      <c r="H1" t="s">
        <v>1731</v>
      </c>
      <c r="I1" t="s">
        <v>1334</v>
      </c>
    </row>
    <row r="2" spans="1:9" x14ac:dyDescent="0.5">
      <c r="A2">
        <v>1</v>
      </c>
      <c r="B2" t="s">
        <v>205</v>
      </c>
      <c r="C2" t="s">
        <v>1798</v>
      </c>
      <c r="D2" t="s">
        <v>1754</v>
      </c>
      <c r="E2">
        <f t="shared" ref="E2:E14" ca="1" si="0">IF(ISERROR(_xlfn.LET(
_xlpm.nombreHoja1,C2,
_xlpm.conteo1, COUNTIF(INDIRECT("'"&amp;_xlpm.nombreHoja1&amp;"'!m:m"),C2),
IF(_xlpm.conteo1&gt;0,_xlpm.conteo1))),"",_xlfn.LET(
_xlpm.nombreHoja1,C2,
_xlpm.conteo1, COUNTIF(INDIRECT("'"&amp;_xlpm.nombreHoja1&amp;"'!m:m"),C2),
IF(_xlpm.conteo1&gt;0,_xlpm.conteo1)))</f>
        <v>210</v>
      </c>
      <c r="F2" t="s">
        <v>1811</v>
      </c>
      <c r="G2" t="str">
        <f>SUBSTITUTE(UPPER(Tabla_Modulos[[#This Row],[Slug]]),"-","_")</f>
        <v>CONTABILIDAD</v>
      </c>
      <c r="H2" t="str">
        <f>CLEAN(PROPER(Tabla_Modulos[[#This Row],[Modulos]]))</f>
        <v>Contabilidad</v>
      </c>
      <c r="I2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contabilidad</v>
      </c>
    </row>
    <row r="3" spans="1:9" x14ac:dyDescent="0.5">
      <c r="A3">
        <v>2</v>
      </c>
      <c r="B3" t="s">
        <v>206</v>
      </c>
      <c r="C3" t="s">
        <v>1792</v>
      </c>
      <c r="D3" t="s">
        <v>1755</v>
      </c>
      <c r="E3">
        <f t="shared" ca="1" si="0"/>
        <v>193</v>
      </c>
      <c r="F3" t="s">
        <v>1811</v>
      </c>
      <c r="G3" t="str">
        <f>SUBSTITUTE(UPPER(Tabla_Modulos[[#This Row],[Slug]]),"-","_")</f>
        <v>PRESUPUESTO</v>
      </c>
      <c r="H3" t="str">
        <f>CLEAN(PROPER(Tabla_Modulos[[#This Row],[Modulos]]))</f>
        <v>Presupuesto</v>
      </c>
      <c r="I3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presupuesto</v>
      </c>
    </row>
    <row r="4" spans="1:9" x14ac:dyDescent="0.5">
      <c r="A4">
        <v>3</v>
      </c>
      <c r="B4" t="s">
        <v>207</v>
      </c>
      <c r="C4" t="s">
        <v>1803</v>
      </c>
      <c r="D4" t="s">
        <v>1762</v>
      </c>
      <c r="E4">
        <f t="shared" ca="1" si="0"/>
        <v>104</v>
      </c>
      <c r="F4" t="s">
        <v>1811</v>
      </c>
      <c r="G4" t="str">
        <f>SUBSTITUTE(UPPER(Tabla_Modulos[[#This Row],[Slug]]),"-","_")</f>
        <v>VIATICO_MONEDA_NACIONAL</v>
      </c>
      <c r="H4" t="str">
        <f>CLEAN(PROPER(Tabla_Modulos[[#This Row],[Modulos]]))</f>
        <v>Viático Moneda Nacional</v>
      </c>
      <c r="I4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viatico-moneda-nacional</v>
      </c>
    </row>
    <row r="5" spans="1:9" x14ac:dyDescent="0.5">
      <c r="A5">
        <v>4</v>
      </c>
      <c r="B5" t="s">
        <v>440</v>
      </c>
      <c r="C5" t="s">
        <v>1797</v>
      </c>
      <c r="D5" t="s">
        <v>1756</v>
      </c>
      <c r="E5">
        <f t="shared" ca="1" si="0"/>
        <v>46</v>
      </c>
      <c r="F5" t="s">
        <v>1811</v>
      </c>
      <c r="G5" t="str">
        <f>SUBSTITUTE(UPPER(Tabla_Modulos[[#This Row],[Slug]]),"-","_")</f>
        <v>CONCILIACION_CKS</v>
      </c>
      <c r="H5" t="str">
        <f>CLEAN(PROPER(Tabla_Modulos[[#This Row],[Modulos]]))</f>
        <v>Conciliación Cks</v>
      </c>
      <c r="I5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conciliacion-cks</v>
      </c>
    </row>
    <row r="6" spans="1:9" x14ac:dyDescent="0.5">
      <c r="A6">
        <v>5</v>
      </c>
      <c r="B6" t="s">
        <v>208</v>
      </c>
      <c r="C6" t="s">
        <v>208</v>
      </c>
      <c r="D6" t="s">
        <v>1757</v>
      </c>
      <c r="E6">
        <f t="shared" ca="1" si="0"/>
        <v>81</v>
      </c>
      <c r="F6" t="s">
        <v>1811</v>
      </c>
      <c r="G6" t="str">
        <f>SUBSTITUTE(UPPER(Tabla_Modulos[[#This Row],[Slug]]),"-","_")</f>
        <v>CAJA</v>
      </c>
      <c r="H6" t="str">
        <f>CLEAN(PROPER(Tabla_Modulos[[#This Row],[Modulos]]))</f>
        <v>Caja</v>
      </c>
      <c r="I6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caja</v>
      </c>
    </row>
    <row r="7" spans="1:9" x14ac:dyDescent="0.5">
      <c r="A7">
        <v>6</v>
      </c>
      <c r="B7" t="s">
        <v>209</v>
      </c>
      <c r="C7" t="s">
        <v>1795</v>
      </c>
      <c r="D7" t="s">
        <v>1759</v>
      </c>
      <c r="E7">
        <f t="shared" ca="1" si="0"/>
        <v>102</v>
      </c>
      <c r="F7" t="s">
        <v>1811</v>
      </c>
      <c r="G7" t="str">
        <f>SUBSTITUTE(UPPER(Tabla_Modulos[[#This Row],[Slug]]),"-","_")</f>
        <v>COMPRAS</v>
      </c>
      <c r="H7" t="str">
        <f>CLEAN(PROPER(Tabla_Modulos[[#This Row],[Modulos]]))</f>
        <v>Compras</v>
      </c>
      <c r="I7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compras</v>
      </c>
    </row>
    <row r="8" spans="1:9" x14ac:dyDescent="0.5">
      <c r="A8">
        <v>7</v>
      </c>
      <c r="B8" t="s">
        <v>210</v>
      </c>
      <c r="C8" t="s">
        <v>1799</v>
      </c>
      <c r="D8" t="s">
        <v>1758</v>
      </c>
      <c r="E8">
        <f t="shared" ca="1" si="0"/>
        <v>179</v>
      </c>
      <c r="F8" t="s">
        <v>1811</v>
      </c>
      <c r="G8" t="str">
        <f>SUBSTITUTE(UPPER(Tabla_Modulos[[#This Row],[Slug]]),"-","_")</f>
        <v>DECRETOS</v>
      </c>
      <c r="H8" t="str">
        <f>CLEAN(PROPER(Tabla_Modulos[[#This Row],[Modulos]]))</f>
        <v>Decretos</v>
      </c>
      <c r="I8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decretos</v>
      </c>
    </row>
    <row r="9" spans="1:9" x14ac:dyDescent="0.5">
      <c r="A9">
        <v>8</v>
      </c>
      <c r="B9" t="s">
        <v>211</v>
      </c>
      <c r="C9" t="s">
        <v>1801</v>
      </c>
      <c r="D9" t="s">
        <v>1761</v>
      </c>
      <c r="E9">
        <f t="shared" ca="1" si="0"/>
        <v>96</v>
      </c>
      <c r="F9" t="s">
        <v>1811</v>
      </c>
      <c r="G9" t="str">
        <f>SUBSTITUTE(UPPER(Tabla_Modulos[[#This Row],[Slug]]),"-","_")</f>
        <v>LICENCIAS_MEDICAS</v>
      </c>
      <c r="H9" t="str">
        <f>CLEAN(PROPER(Tabla_Modulos[[#This Row],[Modulos]]))</f>
        <v>Licencias Médicas</v>
      </c>
      <c r="I9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licencias-medicas</v>
      </c>
    </row>
    <row r="10" spans="1:9" x14ac:dyDescent="0.5">
      <c r="A10">
        <v>9</v>
      </c>
      <c r="B10" t="s">
        <v>212</v>
      </c>
      <c r="C10" t="s">
        <v>1800</v>
      </c>
      <c r="D10" t="s">
        <v>1764</v>
      </c>
      <c r="E10">
        <f t="shared" ca="1" si="0"/>
        <v>77</v>
      </c>
      <c r="F10" t="s">
        <v>1811</v>
      </c>
      <c r="G10" t="str">
        <f>SUBSTITUTE(UPPER(Tabla_Modulos[[#This Row],[Slug]]),"-","_")</f>
        <v>DESCUENTOS</v>
      </c>
      <c r="H10" t="str">
        <f>CLEAN(PROPER(Tabla_Modulos[[#This Row],[Modulos]]))</f>
        <v>Descuentos</v>
      </c>
      <c r="I10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descuentos</v>
      </c>
    </row>
    <row r="11" spans="1:9" x14ac:dyDescent="0.5">
      <c r="A11">
        <v>10</v>
      </c>
      <c r="B11" t="s">
        <v>213</v>
      </c>
      <c r="C11" t="s">
        <v>1794</v>
      </c>
      <c r="D11" t="s">
        <v>1760</v>
      </c>
      <c r="E11">
        <f t="shared" ca="1" si="0"/>
        <v>210</v>
      </c>
      <c r="F11" t="s">
        <v>1811</v>
      </c>
      <c r="G11" t="str">
        <f>SUBSTITUTE(UPPER(Tabla_Modulos[[#This Row],[Slug]]),"-","_")</f>
        <v>ALIMENTACION</v>
      </c>
      <c r="H11" t="str">
        <f>CLEAN(PROPER(Tabla_Modulos[[#This Row],[Modulos]]))</f>
        <v>Alimentación</v>
      </c>
      <c r="I11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alimentacion</v>
      </c>
    </row>
    <row r="12" spans="1:9" x14ac:dyDescent="0.5">
      <c r="A12">
        <v>11</v>
      </c>
      <c r="B12" t="s">
        <v>214</v>
      </c>
      <c r="C12" t="s">
        <v>1802</v>
      </c>
      <c r="D12" t="s">
        <v>1763</v>
      </c>
      <c r="E12">
        <f t="shared" ca="1" si="0"/>
        <v>79</v>
      </c>
      <c r="F12" t="s">
        <v>1811</v>
      </c>
      <c r="G12" t="str">
        <f>SUBSTITUTE(UPPER(Tabla_Modulos[[#This Row],[Slug]]),"-","_")</f>
        <v>VIATICO_MONEDA_EXTRANJERA</v>
      </c>
      <c r="H12" t="str">
        <f>CLEAN(PROPER(Tabla_Modulos[[#This Row],[Modulos]]))</f>
        <v>Viático Moneda Extranjera</v>
      </c>
      <c r="I12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viatico-moneda-extranjera</v>
      </c>
    </row>
    <row r="13" spans="1:9" x14ac:dyDescent="0.5">
      <c r="A13">
        <v>12</v>
      </c>
      <c r="B13" t="s">
        <v>1177</v>
      </c>
      <c r="C13" t="s">
        <v>1793</v>
      </c>
      <c r="D13" t="s">
        <v>1765</v>
      </c>
      <c r="E13">
        <f t="shared" ca="1" si="0"/>
        <v>134</v>
      </c>
      <c r="F13" t="s">
        <v>1811</v>
      </c>
      <c r="G13" t="str">
        <f>SUBSTITUTE(UPPER(Tabla_Modulos[[#This Row],[Slug]]),"-","_")</f>
        <v>ACTIVO_FIJO_INFRAESCTRUCTURA</v>
      </c>
      <c r="H13" t="str">
        <f>CLEAN(PROPER(Tabla_Modulos[[#This Row],[Modulos]]))</f>
        <v>Activo Fijo (Infraesctructura)</v>
      </c>
      <c r="I13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activo-fijo-infraesctructura</v>
      </c>
    </row>
    <row r="14" spans="1:9" x14ac:dyDescent="0.5">
      <c r="A14">
        <v>13</v>
      </c>
      <c r="B14" t="s">
        <v>1256</v>
      </c>
      <c r="C14" t="s">
        <v>1796</v>
      </c>
      <c r="D14" t="s">
        <v>1753</v>
      </c>
      <c r="E14">
        <f t="shared" ca="1" si="0"/>
        <v>136</v>
      </c>
      <c r="F14" t="s">
        <v>1811</v>
      </c>
      <c r="G14" t="str">
        <f>SUBSTITUTE(UPPER(Tabla_Modulos[[#This Row],[Slug]]),"-","_")</f>
        <v>COMPRAS_EXTRANJERA_COMEX</v>
      </c>
      <c r="H14" t="str">
        <f>CLEAN(PROPER(Tabla_Modulos[[#This Row],[Modulos]]))</f>
        <v>Compras Extranjera (Comex)</v>
      </c>
      <c r="I14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compras-extranjera-comex</v>
      </c>
    </row>
    <row r="15" spans="1:9" x14ac:dyDescent="0.5">
      <c r="A15">
        <v>14</v>
      </c>
      <c r="B15" t="s">
        <v>938</v>
      </c>
      <c r="C15" t="s">
        <v>1874</v>
      </c>
      <c r="D15" t="s">
        <v>1920</v>
      </c>
      <c r="E15">
        <f ca="1">IF(ISERROR(_xlfn.LET(
_xlpm.nombreHoja1,C15,
_xlpm.conteo1, COUNTIF(INDIRECT("'"&amp;_xlpm.nombreHoja1&amp;"'!m:m"),C15),
IF(_xlpm.conteo1&gt;0,_xlpm.conteo1))),"",_xlfn.LET(
_xlpm.nombreHoja1,C15,
_xlpm.conteo1, COUNTIF(INDIRECT("'"&amp;_xlpm.nombreHoja1&amp;"'!m:m"),C15),
IF(_xlpm.conteo1&gt;0,_xlpm.conteo1)))</f>
        <v>60</v>
      </c>
      <c r="F15" t="s">
        <v>1811</v>
      </c>
      <c r="G15" t="str">
        <f>SUBSTITUTE(UPPER(Tabla_Modulos[[#This Row],[Slug]]),"-","_")</f>
        <v>CONSOLIDADO</v>
      </c>
      <c r="H15" t="str">
        <f>CLEAN(PROPER(Tabla_Modulos[[#This Row],[Modulos]]))</f>
        <v>Consolidado</v>
      </c>
      <c r="I15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consolidado</v>
      </c>
    </row>
    <row r="16" spans="1:9" x14ac:dyDescent="0.5">
      <c r="A16">
        <v>15</v>
      </c>
      <c r="B16" t="s">
        <v>2024</v>
      </c>
      <c r="C16" t="s">
        <v>2001</v>
      </c>
      <c r="D16" t="s">
        <v>2025</v>
      </c>
      <c r="E16">
        <f ca="1">IF(ISERROR(_xlfn.LET(
_xlpm.nombreHoja1,C16,
_xlpm.conteo1, COUNTIF(INDIRECT("'"&amp;_xlpm.nombreHoja1&amp;"'!m:m"),C16),
IF(_xlpm.conteo1&gt;0,_xlpm.conteo1))),"",_xlfn.LET(
_xlpm.nombreHoja1,C16,
_xlpm.conteo1, COUNTIF(INDIRECT("'"&amp;_xlpm.nombreHoja1&amp;"'!m:m"),C16),
IF(_xlpm.conteo1&gt;0,_xlpm.conteo1)))</f>
        <v>46</v>
      </c>
      <c r="G16" t="str">
        <f>SUBSTITUTE(UPPER(Tabla_Modulos[[#This Row],[Slug]]),"-","_")</f>
        <v>ADMINISTRACION</v>
      </c>
      <c r="H16" t="str">
        <f>CLEAN(PROPER(Tabla_Modulos[[#This Row],[Modulos]]))</f>
        <v>Administracion</v>
      </c>
      <c r="I16" t="str">
        <f>SUBSTITUTE(SUBSTITUTE(SUBSTITUTE(SUBSTITUTE(SUBSTITUTE(SUBSTITUTE(SUBSTITUTE(SUBSTITUTE(SUBSTITUTE(SUBSTITUTE(SUBSTITUTE(SUBSTITUTE(SUBSTITUTE(SUBSTITUTE(SUBSTITUTE(SUBSTITUTE(SUBSTITUTE(SUBSTITUTE(SUBSTITUTE(SUBSTITUTE(SUBSTITUTE(LOWER(Tabla_Modulos[[#This Row],[Modulos]])," ","-"),"á","a"),"é","e"),"í","i"),"ó","o"),"ú","u"),"/en-","/"),"/de-","/"),"-de-","-"),"-del-","-"),"-la-","-"),"-las-","-"),"-a-","-"),"-y/o-","-"),"-en-","-"),"o/c","o-c"),"-/-","-"),"-–-","-"),".",""),"(",""),")","")</f>
        <v>administracion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24F5-0931-4C2A-AFE4-BD90C363D453}">
  <sheetPr codeName="Hoja6"/>
  <dimension ref="A1:C11"/>
  <sheetViews>
    <sheetView zoomScale="80" zoomScaleNormal="80" workbookViewId="0">
      <selection activeCell="C1" sqref="C1:C11"/>
    </sheetView>
  </sheetViews>
  <sheetFormatPr baseColWidth="10" defaultRowHeight="14.35" x14ac:dyDescent="0.5"/>
  <cols>
    <col min="1" max="1" width="7.41015625" customWidth="1"/>
    <col min="2" max="2" width="12.703125" customWidth="1"/>
    <col min="3" max="3" width="19.05859375" bestFit="1" customWidth="1"/>
  </cols>
  <sheetData>
    <row r="1" spans="1:3" x14ac:dyDescent="0.5">
      <c r="A1" t="s">
        <v>1314</v>
      </c>
      <c r="B1" t="s">
        <v>1315</v>
      </c>
      <c r="C1" t="s">
        <v>17</v>
      </c>
    </row>
    <row r="2" spans="1:3" x14ac:dyDescent="0.5">
      <c r="A2">
        <v>1</v>
      </c>
      <c r="B2" t="s">
        <v>171</v>
      </c>
      <c r="C2" t="s">
        <v>1953</v>
      </c>
    </row>
    <row r="3" spans="1:3" x14ac:dyDescent="0.5">
      <c r="A3">
        <v>2</v>
      </c>
      <c r="B3" t="s">
        <v>172</v>
      </c>
      <c r="C3" t="s">
        <v>1954</v>
      </c>
    </row>
    <row r="4" spans="1:3" x14ac:dyDescent="0.5">
      <c r="A4">
        <v>3</v>
      </c>
      <c r="B4" t="s">
        <v>173</v>
      </c>
      <c r="C4" t="s">
        <v>1955</v>
      </c>
    </row>
    <row r="5" spans="1:3" x14ac:dyDescent="0.5">
      <c r="A5">
        <v>4</v>
      </c>
      <c r="B5" t="s">
        <v>174</v>
      </c>
      <c r="C5" t="s">
        <v>1956</v>
      </c>
    </row>
    <row r="6" spans="1:3" x14ac:dyDescent="0.5">
      <c r="A6">
        <v>5</v>
      </c>
      <c r="B6" t="s">
        <v>1311</v>
      </c>
      <c r="C6" t="s">
        <v>1957</v>
      </c>
    </row>
    <row r="7" spans="1:3" x14ac:dyDescent="0.5">
      <c r="A7">
        <v>6</v>
      </c>
      <c r="B7" t="s">
        <v>1312</v>
      </c>
      <c r="C7" t="s">
        <v>1958</v>
      </c>
    </row>
    <row r="8" spans="1:3" x14ac:dyDescent="0.5">
      <c r="A8">
        <v>7</v>
      </c>
      <c r="B8" t="s">
        <v>1313</v>
      </c>
      <c r="C8" t="s">
        <v>1959</v>
      </c>
    </row>
    <row r="9" spans="1:3" x14ac:dyDescent="0.5">
      <c r="A9">
        <v>8</v>
      </c>
      <c r="B9" t="s">
        <v>1871</v>
      </c>
      <c r="C9" t="s">
        <v>1960</v>
      </c>
    </row>
    <row r="10" spans="1:3" x14ac:dyDescent="0.5">
      <c r="A10">
        <v>9</v>
      </c>
      <c r="B10" t="s">
        <v>175</v>
      </c>
      <c r="C10" t="s">
        <v>1961</v>
      </c>
    </row>
    <row r="11" spans="1:3" x14ac:dyDescent="0.5">
      <c r="A11">
        <v>10</v>
      </c>
      <c r="B11" t="s">
        <v>176</v>
      </c>
      <c r="C11" t="s">
        <v>1962</v>
      </c>
    </row>
  </sheetData>
  <sortState xmlns:xlrd2="http://schemas.microsoft.com/office/spreadsheetml/2017/richdata2" ref="B2:B11">
    <sortCondition ref="B2:B11"/>
  </sortState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A74D-2DED-4959-8532-C23EDD976E34}">
  <sheetPr codeName="Hoja20"/>
  <dimension ref="A1:C17"/>
  <sheetViews>
    <sheetView zoomScale="80" zoomScaleNormal="80" workbookViewId="0">
      <selection activeCell="A2" sqref="A2:A17"/>
    </sheetView>
  </sheetViews>
  <sheetFormatPr baseColWidth="10" defaultRowHeight="14.35" x14ac:dyDescent="0.5"/>
  <cols>
    <col min="1" max="1" width="15" customWidth="1"/>
    <col min="2" max="2" width="20.5859375" bestFit="1" customWidth="1"/>
    <col min="3" max="3" width="125.29296875" bestFit="1" customWidth="1"/>
  </cols>
  <sheetData>
    <row r="1" spans="1:3" x14ac:dyDescent="0.5">
      <c r="A1" t="s">
        <v>1767</v>
      </c>
      <c r="B1" t="s">
        <v>1766</v>
      </c>
      <c r="C1" t="s">
        <v>17</v>
      </c>
    </row>
    <row r="2" spans="1:3" x14ac:dyDescent="0.5">
      <c r="A2" t="s">
        <v>1832</v>
      </c>
      <c r="B2" t="s">
        <v>1423</v>
      </c>
      <c r="C2" t="s">
        <v>1768</v>
      </c>
    </row>
    <row r="3" spans="1:3" x14ac:dyDescent="0.5">
      <c r="A3" t="s">
        <v>1826</v>
      </c>
      <c r="B3" t="s">
        <v>1771</v>
      </c>
      <c r="C3" t="s">
        <v>1775</v>
      </c>
    </row>
    <row r="4" spans="1:3" x14ac:dyDescent="0.5">
      <c r="A4" t="s">
        <v>1825</v>
      </c>
      <c r="B4" t="s">
        <v>1772</v>
      </c>
      <c r="C4" t="s">
        <v>1776</v>
      </c>
    </row>
    <row r="5" spans="1:3" x14ac:dyDescent="0.5">
      <c r="A5" t="s">
        <v>1837</v>
      </c>
      <c r="B5" t="s">
        <v>1773</v>
      </c>
      <c r="C5" t="s">
        <v>1777</v>
      </c>
    </row>
    <row r="6" spans="1:3" x14ac:dyDescent="0.5">
      <c r="A6" t="s">
        <v>1838</v>
      </c>
      <c r="B6" t="s">
        <v>1770</v>
      </c>
      <c r="C6" t="s">
        <v>1769</v>
      </c>
    </row>
    <row r="7" spans="1:3" x14ac:dyDescent="0.5">
      <c r="A7" t="s">
        <v>1827</v>
      </c>
      <c r="B7" t="s">
        <v>1774</v>
      </c>
      <c r="C7" t="s">
        <v>1778</v>
      </c>
    </row>
    <row r="8" spans="1:3" x14ac:dyDescent="0.5">
      <c r="A8" t="s">
        <v>644</v>
      </c>
      <c r="B8" t="s">
        <v>1850</v>
      </c>
      <c r="C8" t="s">
        <v>1851</v>
      </c>
    </row>
    <row r="9" spans="1:3" x14ac:dyDescent="0.5">
      <c r="A9" t="s">
        <v>1847</v>
      </c>
      <c r="B9" t="s">
        <v>1852</v>
      </c>
      <c r="C9" t="s">
        <v>1853</v>
      </c>
    </row>
    <row r="10" spans="1:3" x14ac:dyDescent="0.5">
      <c r="A10" t="s">
        <v>1828</v>
      </c>
      <c r="B10" t="s">
        <v>1854</v>
      </c>
      <c r="C10" t="s">
        <v>1855</v>
      </c>
    </row>
    <row r="11" spans="1:3" x14ac:dyDescent="0.5">
      <c r="A11" t="s">
        <v>1835</v>
      </c>
      <c r="B11" t="s">
        <v>1856</v>
      </c>
      <c r="C11" t="s">
        <v>1857</v>
      </c>
    </row>
    <row r="12" spans="1:3" x14ac:dyDescent="0.5">
      <c r="A12" t="s">
        <v>1836</v>
      </c>
      <c r="B12" t="s">
        <v>1858</v>
      </c>
      <c r="C12" t="s">
        <v>1859</v>
      </c>
    </row>
    <row r="13" spans="1:3" x14ac:dyDescent="0.5">
      <c r="A13" t="s">
        <v>1842</v>
      </c>
      <c r="B13" t="s">
        <v>1860</v>
      </c>
      <c r="C13" t="s">
        <v>1861</v>
      </c>
    </row>
    <row r="14" spans="1:3" x14ac:dyDescent="0.5">
      <c r="A14" t="s">
        <v>1849</v>
      </c>
      <c r="B14" t="s">
        <v>1862</v>
      </c>
      <c r="C14" t="s">
        <v>1863</v>
      </c>
    </row>
    <row r="15" spans="1:3" x14ac:dyDescent="0.5">
      <c r="A15" t="s">
        <v>1848</v>
      </c>
      <c r="B15" t="s">
        <v>1864</v>
      </c>
      <c r="C15" t="s">
        <v>1865</v>
      </c>
    </row>
    <row r="16" spans="1:3" x14ac:dyDescent="0.5">
      <c r="A16" t="s">
        <v>1844</v>
      </c>
      <c r="B16" t="s">
        <v>1866</v>
      </c>
      <c r="C16" t="s">
        <v>1867</v>
      </c>
    </row>
    <row r="17" spans="1:3" x14ac:dyDescent="0.5">
      <c r="A17" t="s">
        <v>1870</v>
      </c>
      <c r="B17" t="s">
        <v>1868</v>
      </c>
      <c r="C17" t="s">
        <v>1869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A3FD-5720-4059-906A-0A04DEB85D35}">
  <dimension ref="A1:D7"/>
  <sheetViews>
    <sheetView workbookViewId="0">
      <selection activeCell="K7" sqref="K7"/>
    </sheetView>
  </sheetViews>
  <sheetFormatPr baseColWidth="10" defaultRowHeight="14.35" x14ac:dyDescent="0.5"/>
  <cols>
    <col min="3" max="3" width="17.703125" bestFit="1" customWidth="1"/>
    <col min="4" max="4" width="12.3515625" bestFit="1" customWidth="1"/>
  </cols>
  <sheetData>
    <row r="1" spans="1:4" x14ac:dyDescent="0.5">
      <c r="A1" t="s">
        <v>16</v>
      </c>
      <c r="B1" t="s">
        <v>2006</v>
      </c>
      <c r="C1" t="s">
        <v>2007</v>
      </c>
      <c r="D1" t="s">
        <v>2008</v>
      </c>
    </row>
    <row r="2" spans="1:4" x14ac:dyDescent="0.5">
      <c r="A2">
        <f t="shared" ref="A2:A7" si="0">SUM(ROW()-1)</f>
        <v>1</v>
      </c>
      <c r="B2" t="s">
        <v>2009</v>
      </c>
      <c r="C2" t="s">
        <v>2010</v>
      </c>
      <c r="D2" t="s">
        <v>2011</v>
      </c>
    </row>
    <row r="3" spans="1:4" x14ac:dyDescent="0.5">
      <c r="A3">
        <f t="shared" si="0"/>
        <v>2</v>
      </c>
      <c r="B3" t="s">
        <v>2012</v>
      </c>
      <c r="C3" t="s">
        <v>2013</v>
      </c>
      <c r="D3" t="s">
        <v>2011</v>
      </c>
    </row>
    <row r="4" spans="1:4" x14ac:dyDescent="0.5">
      <c r="A4">
        <f t="shared" si="0"/>
        <v>3</v>
      </c>
      <c r="B4" t="s">
        <v>2014</v>
      </c>
      <c r="C4" t="s">
        <v>2015</v>
      </c>
      <c r="D4" t="s">
        <v>2011</v>
      </c>
    </row>
    <row r="5" spans="1:4" x14ac:dyDescent="0.5">
      <c r="A5">
        <f t="shared" si="0"/>
        <v>4</v>
      </c>
      <c r="B5" t="s">
        <v>2016</v>
      </c>
      <c r="C5" t="s">
        <v>2017</v>
      </c>
      <c r="D5" t="s">
        <v>2011</v>
      </c>
    </row>
    <row r="6" spans="1:4" x14ac:dyDescent="0.5">
      <c r="A6">
        <f t="shared" si="0"/>
        <v>5</v>
      </c>
      <c r="B6" t="s">
        <v>2018</v>
      </c>
      <c r="C6" t="s">
        <v>2019</v>
      </c>
      <c r="D6" t="s">
        <v>2011</v>
      </c>
    </row>
    <row r="7" spans="1:4" x14ac:dyDescent="0.5">
      <c r="A7">
        <f t="shared" si="0"/>
        <v>6</v>
      </c>
      <c r="B7" t="s">
        <v>2020</v>
      </c>
      <c r="C7" t="s">
        <v>2021</v>
      </c>
      <c r="D7" t="s">
        <v>2022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EBA8-37F8-43C6-B8DE-021DA6266FBB}">
  <sheetPr codeName="Hoja7"/>
  <dimension ref="A1:AD211"/>
  <sheetViews>
    <sheetView zoomScale="70" zoomScaleNormal="70" workbookViewId="0">
      <pane xSplit="5" ySplit="1" topLeftCell="K53" activePane="bottomRight" state="frozen"/>
      <selection pane="topRight" activeCell="F1" sqref="F1"/>
      <selection pane="bottomLeft" activeCell="A2" sqref="A2"/>
      <selection pane="bottomRight" activeCell="I37" sqref="I37"/>
    </sheetView>
  </sheetViews>
  <sheetFormatPr baseColWidth="10" defaultColWidth="11.41015625" defaultRowHeight="14.35" x14ac:dyDescent="0.5"/>
  <cols>
    <col min="1" max="2" width="5.703125" customWidth="1"/>
    <col min="3" max="3" width="5.703125" style="2" customWidth="1"/>
    <col min="4" max="4" width="59.3515625" bestFit="1" customWidth="1"/>
    <col min="5" max="5" width="5.703125" customWidth="1"/>
    <col min="6" max="6" width="10.64453125" style="2" customWidth="1"/>
    <col min="7" max="7" width="51.3515625" bestFit="1" customWidth="1"/>
    <col min="8" max="8" width="10.703125" customWidth="1"/>
    <col min="9" max="9" width="49.52734375" customWidth="1"/>
    <col min="10" max="10" width="14.76171875" customWidth="1"/>
    <col min="11" max="11" width="10.64453125" customWidth="1"/>
    <col min="12" max="12" width="10.64453125" style="2" customWidth="1"/>
    <col min="13" max="13" width="10.703125" style="4" customWidth="1"/>
    <col min="14" max="15" width="5.703125" customWidth="1"/>
    <col min="16" max="16" width="5.703125" style="4" customWidth="1"/>
    <col min="17" max="17" width="5.703125" style="2" customWidth="1"/>
    <col min="18" max="28" width="5.703125" style="4" customWidth="1"/>
    <col min="29" max="30" width="5.64453125" style="2" customWidth="1"/>
    <col min="31" max="16384" width="11.41015625" style="2"/>
  </cols>
  <sheetData>
    <row r="1" spans="1:30" s="5" customFormat="1" ht="145.69999999999999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0</v>
      </c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3" t="s">
        <v>11</v>
      </c>
      <c r="Z1" s="3" t="s">
        <v>12</v>
      </c>
      <c r="AA1" s="3" t="s">
        <v>13</v>
      </c>
      <c r="AB1" s="3" t="s">
        <v>1932</v>
      </c>
      <c r="AC1" s="3" t="s">
        <v>2029</v>
      </c>
      <c r="AD1" s="3" t="s">
        <v>2030</v>
      </c>
    </row>
    <row r="2" spans="1:30" x14ac:dyDescent="0.5">
      <c r="A2" s="2">
        <v>1</v>
      </c>
      <c r="B2" s="2"/>
      <c r="C2" s="2">
        <f>IF(Tabla_Contabilidad[[#This Row],[id_padre]]="",0,_xlfn.XLOOKUP(Tabla_Contabilidad[[#This Row],[id_padre]],Tabla_Contabilidad[Id],Tabla_Contabilidad[Nivel],0,0,1)+1)</f>
        <v>0</v>
      </c>
      <c r="D2" s="2" t="s">
        <v>205</v>
      </c>
      <c r="E2" s="2">
        <f>IF(Tabla_Contabilidad[[#This Row],[Id_anterior]]=1,ROW()-1,SUM(ROW()-1,Tabla_Contabilidad[[#This Row],[Id_anterior]]))</f>
        <v>1</v>
      </c>
      <c r="F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</v>
      </c>
      <c r="G2" s="9" t="str">
        <f>CLEAN(PROPER(Tabla_Contabilidad[[#This Row],[Nombre Opción]]))</f>
        <v>Contabilidad</v>
      </c>
      <c r="H2" s="9" t="s">
        <v>2028</v>
      </c>
      <c r="I2" s="9" t="str">
        <f>_xlfn.XLOOKUP(Tabla_Contabilidad[[#This Row],[id_padre]],Tabla_Contabilidad[Id],Tabla_Contabilidad[Codigo_Tecnico],"",0,1)</f>
        <v/>
      </c>
      <c r="J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contabilidad</v>
      </c>
      <c r="L2" s="2" t="s">
        <v>1367</v>
      </c>
      <c r="M2" s="4" t="s">
        <v>1798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4" t="s">
        <v>360</v>
      </c>
      <c r="X2" s="4" t="s">
        <v>360</v>
      </c>
      <c r="Y2" s="4" t="s">
        <v>360</v>
      </c>
      <c r="Z2" s="4" t="s">
        <v>360</v>
      </c>
      <c r="AA2" s="4" t="s">
        <v>360</v>
      </c>
      <c r="AB2" s="4" t="s">
        <v>360</v>
      </c>
      <c r="AC2" s="2" t="str">
        <f>IF(OR(Tabla_Contabilidad[[#This Row],[ROL_JEFE_CONT_CONTA]]="*",Tabla_Contabilidad[[#This Row],[ROL_JEFE_CONT_CONTA_HOSP]]="*"),"*","")</f>
        <v>*</v>
      </c>
    </row>
    <row r="3" spans="1:30" x14ac:dyDescent="0.5">
      <c r="A3" s="2">
        <v>1</v>
      </c>
      <c r="B3" s="2">
        <v>1</v>
      </c>
      <c r="C3" s="2">
        <f>IF(Tabla_Contabilidad[[#This Row],[id_padre]]="",0,_xlfn.XLOOKUP(Tabla_Contabilidad[[#This Row],[id_padre]],Tabla_Contabilidad[Id],Tabla_Contabilidad[Nivel],0,0,1)+1)</f>
        <v>1</v>
      </c>
      <c r="D3" s="2" t="s">
        <v>18</v>
      </c>
      <c r="E3" s="2">
        <f>IF(Tabla_Contabilidad[[#This Row],[Id_anterior]]=1,ROW()-1,SUM(ROW()-1,Tabla_Contabilidad[[#This Row],[Id_anterior]]))</f>
        <v>2</v>
      </c>
      <c r="F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</v>
      </c>
      <c r="G3" s="9" t="str">
        <f>CLEAN(PROPER(Tabla_Contabilidad[[#This Row],[Nombre Opción]]))</f>
        <v>Parámetros</v>
      </c>
      <c r="H3" s="9" t="s">
        <v>1735</v>
      </c>
      <c r="I3" s="9" t="str">
        <f>_xlfn.XLOOKUP(Tabla_Contabilidad[[#This Row],[id_padre]],Tabla_Contabilidad[Id],Tabla_Contabilidad[Codigo_Tecnico],"",0,1)</f>
        <v>CONTABILIDAD</v>
      </c>
      <c r="J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4" t="s">
        <v>1798</v>
      </c>
      <c r="N3" s="4" t="s">
        <v>360</v>
      </c>
      <c r="O3" s="4" t="s">
        <v>360</v>
      </c>
      <c r="Q3" s="4" t="s">
        <v>360</v>
      </c>
      <c r="T3" s="4" t="s">
        <v>360</v>
      </c>
      <c r="W3" s="4" t="s">
        <v>360</v>
      </c>
      <c r="Y3" s="4" t="s">
        <v>360</v>
      </c>
      <c r="Z3" s="4" t="s">
        <v>360</v>
      </c>
      <c r="AA3" s="4" t="s">
        <v>360</v>
      </c>
      <c r="AB3" s="4" t="s">
        <v>360</v>
      </c>
      <c r="AC3" s="2" t="str">
        <f>IF(OR(Tabla_Contabilidad[[#This Row],[ROL_JEFE_CONT_CONTA]]="*",Tabla_Contabilidad[[#This Row],[ROL_JEFE_CONT_CONTA_HOSP]]="*"),"*","")</f>
        <v>*</v>
      </c>
    </row>
    <row r="4" spans="1:30" x14ac:dyDescent="0.5">
      <c r="A4" s="2">
        <v>1</v>
      </c>
      <c r="B4" s="2">
        <v>1</v>
      </c>
      <c r="C4" s="2">
        <f>IF(Tabla_Contabilidad[[#This Row],[id_padre]]="",0,_xlfn.XLOOKUP(Tabla_Contabilidad[[#This Row],[id_padre]],Tabla_Contabilidad[Id],Tabla_Contabilidad[Nivel],0,0,1)+1)</f>
        <v>1</v>
      </c>
      <c r="D4" s="2" t="s">
        <v>19</v>
      </c>
      <c r="E4" s="2">
        <f>IF(Tabla_Contabilidad[[#This Row],[Id_anterior]]=1,ROW()-1,SUM(ROW()-1,Tabla_Contabilidad[[#This Row],[Id_anterior]]))</f>
        <v>3</v>
      </c>
      <c r="F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</v>
      </c>
      <c r="G4" s="9" t="str">
        <f>CLEAN(PROPER(Tabla_Contabilidad[[#This Row],[Nombre Opción]]))</f>
        <v>Procesos</v>
      </c>
      <c r="H4" s="9" t="s">
        <v>1735</v>
      </c>
      <c r="I4" s="9" t="str">
        <f>_xlfn.XLOOKUP(Tabla_Contabilidad[[#This Row],[id_padre]],Tabla_Contabilidad[Id],Tabla_Contabilidad[Codigo_Tecnico],"",0,1)</f>
        <v>CONTABILIDAD</v>
      </c>
      <c r="J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2" t="s">
        <v>1338</v>
      </c>
      <c r="M4" s="4" t="s">
        <v>1798</v>
      </c>
      <c r="N4" s="4" t="s">
        <v>360</v>
      </c>
      <c r="O4" s="4" t="s">
        <v>360</v>
      </c>
      <c r="Q4" s="4" t="s">
        <v>360</v>
      </c>
      <c r="T4" s="4" t="s">
        <v>360</v>
      </c>
      <c r="W4" s="4" t="s">
        <v>360</v>
      </c>
      <c r="Y4" s="4" t="s">
        <v>360</v>
      </c>
      <c r="Z4" s="4" t="s">
        <v>360</v>
      </c>
      <c r="AB4" s="4" t="s">
        <v>360</v>
      </c>
      <c r="AC4" s="2" t="str">
        <f>IF(OR(Tabla_Contabilidad[[#This Row],[ROL_JEFE_CONT_CONTA]]="*",Tabla_Contabilidad[[#This Row],[ROL_JEFE_CONT_CONTA_HOSP]]="*"),"*","")</f>
        <v>*</v>
      </c>
    </row>
    <row r="5" spans="1:30" x14ac:dyDescent="0.5">
      <c r="A5" s="2">
        <v>1</v>
      </c>
      <c r="B5" s="2">
        <v>1</v>
      </c>
      <c r="C5" s="2">
        <f>IF(Tabla_Contabilidad[[#This Row],[id_padre]]="",0,_xlfn.XLOOKUP(Tabla_Contabilidad[[#This Row],[id_padre]],Tabla_Contabilidad[Id],Tabla_Contabilidad[Nivel],0,0,1)+1)</f>
        <v>1</v>
      </c>
      <c r="D5" s="2" t="s">
        <v>20</v>
      </c>
      <c r="E5" s="2">
        <f>IF(Tabla_Contabilidad[[#This Row],[Id_anterior]]=1,ROW()-1,SUM(ROW()-1,Tabla_Contabilidad[[#This Row],[Id_anterior]]))</f>
        <v>4</v>
      </c>
      <c r="F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</v>
      </c>
      <c r="G5" s="9" t="str">
        <f>CLEAN(PROPER(Tabla_Contabilidad[[#This Row],[Nombre Opción]]))</f>
        <v>Consultas</v>
      </c>
      <c r="H5" s="9" t="s">
        <v>1735</v>
      </c>
      <c r="I5" s="9" t="str">
        <f>_xlfn.XLOOKUP(Tabla_Contabilidad[[#This Row],[id_padre]],Tabla_Contabilidad[Id],Tabla_Contabilidad[Codigo_Tecnico],"",0,1)</f>
        <v>CONTABILIDAD</v>
      </c>
      <c r="J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2" t="s">
        <v>1339</v>
      </c>
      <c r="M5" s="4" t="s">
        <v>1798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4" t="s">
        <v>360</v>
      </c>
      <c r="U5" s="4" t="s">
        <v>360</v>
      </c>
      <c r="W5" s="4" t="s">
        <v>360</v>
      </c>
      <c r="Y5" s="4" t="s">
        <v>360</v>
      </c>
      <c r="AB5" s="4" t="s">
        <v>360</v>
      </c>
      <c r="AC5" s="2" t="str">
        <f>IF(OR(Tabla_Contabilidad[[#This Row],[ROL_JEFE_CONT_CONTA]]="*",Tabla_Contabilidad[[#This Row],[ROL_JEFE_CONT_CONTA_HOSP]]="*"),"*","")</f>
        <v>*</v>
      </c>
    </row>
    <row r="6" spans="1:30" x14ac:dyDescent="0.5">
      <c r="A6" s="2">
        <v>1</v>
      </c>
      <c r="B6" s="2">
        <v>1</v>
      </c>
      <c r="C6" s="2">
        <f>IF(Tabla_Contabilidad[[#This Row],[id_padre]]="",0,_xlfn.XLOOKUP(Tabla_Contabilidad[[#This Row],[id_padre]],Tabla_Contabilidad[Id],Tabla_Contabilidad[Nivel],0,0,1)+1)</f>
        <v>1</v>
      </c>
      <c r="D6" s="2" t="s">
        <v>92</v>
      </c>
      <c r="E6" s="2">
        <f>IF(Tabla_Contabilidad[[#This Row],[Id_anterior]]=1,ROW()-1,SUM(ROW()-1,Tabla_Contabilidad[[#This Row],[Id_anterior]]))</f>
        <v>5</v>
      </c>
      <c r="F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</v>
      </c>
      <c r="G6" s="9" t="str">
        <f>CLEAN(PROPER(Tabla_Contabilidad[[#This Row],[Nombre Opción]]))</f>
        <v>Mercado Público</v>
      </c>
      <c r="H6" s="9" t="s">
        <v>1735</v>
      </c>
      <c r="I6" s="9" t="str">
        <f>_xlfn.XLOOKUP(Tabla_Contabilidad[[#This Row],[id_padre]],Tabla_Contabilidad[Id],Tabla_Contabilidad[Codigo_Tecnico],"",0,1)</f>
        <v>CONTABILIDAD</v>
      </c>
      <c r="J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mercado-publico</v>
      </c>
      <c r="L6" s="2" t="s">
        <v>1399</v>
      </c>
      <c r="M6" s="4" t="s">
        <v>1798</v>
      </c>
      <c r="N6" s="4" t="s">
        <v>360</v>
      </c>
      <c r="O6" s="4" t="s">
        <v>360</v>
      </c>
      <c r="P6" s="4" t="s">
        <v>360</v>
      </c>
      <c r="Q6" s="4" t="s">
        <v>360</v>
      </c>
      <c r="T6" s="4" t="s">
        <v>360</v>
      </c>
      <c r="U6" s="4" t="s">
        <v>360</v>
      </c>
      <c r="W6" s="4" t="s">
        <v>360</v>
      </c>
      <c r="Y6" s="4" t="s">
        <v>360</v>
      </c>
      <c r="AB6" s="4" t="s">
        <v>360</v>
      </c>
      <c r="AC6" s="2" t="str">
        <f>IF(OR(Tabla_Contabilidad[[#This Row],[ROL_JEFE_CONT_CONTA]]="*",Tabla_Contabilidad[[#This Row],[ROL_JEFE_CONT_CONTA_HOSP]]="*"),"*","")</f>
        <v>*</v>
      </c>
    </row>
    <row r="7" spans="1:30" x14ac:dyDescent="0.5">
      <c r="A7" s="2">
        <v>1</v>
      </c>
      <c r="B7" s="2">
        <v>1</v>
      </c>
      <c r="C7" s="2">
        <f>IF(Tabla_Contabilidad[[#This Row],[id_padre]]="",0,_xlfn.XLOOKUP(Tabla_Contabilidad[[#This Row],[id_padre]],Tabla_Contabilidad[Id],Tabla_Contabilidad[Nivel],0,0,1)+1)</f>
        <v>1</v>
      </c>
      <c r="D7" s="2" t="s">
        <v>21</v>
      </c>
      <c r="E7" s="2">
        <f>IF(Tabla_Contabilidad[[#This Row],[Id_anterior]]=1,ROW()-1,SUM(ROW()-1,Tabla_Contabilidad[[#This Row],[Id_anterior]]))</f>
        <v>6</v>
      </c>
      <c r="F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</v>
      </c>
      <c r="G7" s="9" t="str">
        <f>CLEAN(PROPER(Tabla_Contabilidad[[#This Row],[Nombre Opción]]))</f>
        <v>Informes</v>
      </c>
      <c r="H7" s="9" t="s">
        <v>1735</v>
      </c>
      <c r="I7" s="9" t="str">
        <f>_xlfn.XLOOKUP(Tabla_Contabilidad[[#This Row],[id_padre]],Tabla_Contabilidad[Id],Tabla_Contabilidad[Codigo_Tecnico],"",0,1)</f>
        <v>CONTABILIDAD</v>
      </c>
      <c r="J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7" s="2" t="s">
        <v>1340</v>
      </c>
      <c r="M7" s="4" t="s">
        <v>1798</v>
      </c>
      <c r="N7" s="4" t="s">
        <v>360</v>
      </c>
      <c r="O7" s="4" t="s">
        <v>360</v>
      </c>
      <c r="P7" s="4" t="s">
        <v>360</v>
      </c>
      <c r="Q7" s="4" t="s">
        <v>360</v>
      </c>
      <c r="T7" s="4" t="s">
        <v>360</v>
      </c>
      <c r="U7" s="4" t="s">
        <v>360</v>
      </c>
      <c r="W7" s="4" t="s">
        <v>360</v>
      </c>
      <c r="Y7" s="4" t="s">
        <v>360</v>
      </c>
      <c r="AB7" s="4" t="s">
        <v>360</v>
      </c>
      <c r="AC7" s="2" t="str">
        <f>IF(OR(Tabla_Contabilidad[[#This Row],[ROL_JEFE_CONT_CONTA]]="*",Tabla_Contabilidad[[#This Row],[ROL_JEFE_CONT_CONTA_HOSP]]="*"),"*","")</f>
        <v>*</v>
      </c>
    </row>
    <row r="8" spans="1:30" x14ac:dyDescent="0.5">
      <c r="A8" s="2">
        <v>1</v>
      </c>
      <c r="B8" s="2">
        <v>1</v>
      </c>
      <c r="C8" s="2">
        <f>IF(Tabla_Contabilidad[[#This Row],[id_padre]]="",0,_xlfn.XLOOKUP(Tabla_Contabilidad[[#This Row],[id_padre]],Tabla_Contabilidad[Id],Tabla_Contabilidad[Nivel],0,0,1)+1)</f>
        <v>1</v>
      </c>
      <c r="D8" s="2" t="s">
        <v>165</v>
      </c>
      <c r="E8" s="2">
        <f>IF(Tabla_Contabilidad[[#This Row],[Id_anterior]]=1,ROW()-1,SUM(ROW()-1,Tabla_Contabilidad[[#This Row],[Id_anterior]]))</f>
        <v>7</v>
      </c>
      <c r="F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CONTABILIDAD_CIERRES</v>
      </c>
      <c r="G8" s="9" t="str">
        <f>CLEAN(PROPER(Tabla_Contabilidad[[#This Row],[Nombre Opción]]))</f>
        <v>Cierres</v>
      </c>
      <c r="H8" s="9" t="s">
        <v>1735</v>
      </c>
      <c r="I8" s="9" t="str">
        <f>_xlfn.XLOOKUP(Tabla_Contabilidad[[#This Row],[id_padre]],Tabla_Contabilidad[Id],Tabla_Contabilidad[Codigo_Tecnico],"",0,1)</f>
        <v>CONTABILIDAD</v>
      </c>
      <c r="J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/contabilidad/cierres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cierres</v>
      </c>
      <c r="L8" s="2" t="s">
        <v>1400</v>
      </c>
      <c r="M8" s="4" t="s">
        <v>1798</v>
      </c>
      <c r="N8" s="4" t="s">
        <v>360</v>
      </c>
      <c r="O8" s="4"/>
      <c r="Q8" s="4" t="s">
        <v>360</v>
      </c>
      <c r="T8" s="4" t="s">
        <v>360</v>
      </c>
      <c r="W8" s="4" t="s">
        <v>360</v>
      </c>
      <c r="Y8" s="4" t="s">
        <v>360</v>
      </c>
      <c r="AB8" s="4" t="s">
        <v>360</v>
      </c>
      <c r="AC8" s="2" t="str">
        <f>IF(OR(Tabla_Contabilidad[[#This Row],[ROL_JEFE_CONT_CONTA]]="*",Tabla_Contabilidad[[#This Row],[ROL_JEFE_CONT_CONTA_HOSP]]="*"),"*","")</f>
        <v>*</v>
      </c>
    </row>
    <row r="9" spans="1:30" x14ac:dyDescent="0.5">
      <c r="A9" s="2">
        <v>1</v>
      </c>
      <c r="B9" s="2">
        <v>2</v>
      </c>
      <c r="C9" s="2">
        <f>IF(Tabla_Contabilidad[[#This Row],[id_padre]]="",0,_xlfn.XLOOKUP(Tabla_Contabilidad[[#This Row],[id_padre]],Tabla_Contabilidad[Id],Tabla_Contabilidad[Nivel],0,0,1)+1)</f>
        <v>2</v>
      </c>
      <c r="D9" s="2" t="s">
        <v>25</v>
      </c>
      <c r="E9" s="2">
        <f>IF(Tabla_Contabilidad[[#This Row],[Id_anterior]]=1,ROW()-1,SUM(ROW()-1,Tabla_Contabilidad[[#This Row],[Id_anterior]]))</f>
        <v>8</v>
      </c>
      <c r="F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CONTABILIDAD_PARAMETROS_ENTIDADES_CONSOLIDADORAS</v>
      </c>
      <c r="G9" s="9" t="str">
        <f>CLEAN(PROPER(Tabla_Contabilidad[[#This Row],[Nombre Opción]]))</f>
        <v>Entidades Consolidadoras</v>
      </c>
      <c r="H9" s="9" t="s">
        <v>1735</v>
      </c>
      <c r="I9" s="9" t="str">
        <f>_xlfn.XLOOKUP(Tabla_Contabilidad[[#This Row],[id_padre]],Tabla_Contabilidad[Id],Tabla_Contabilidad[Codigo_Tecnico],"",0,1)</f>
        <v>CONTABILIDAD_PARAMETROS</v>
      </c>
      <c r="J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/contabilidad/parametros/entidades-consolidadoras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entidades-consolidadoras</v>
      </c>
      <c r="L9" s="2" t="s">
        <v>1401</v>
      </c>
      <c r="M9" s="4" t="s">
        <v>1798</v>
      </c>
      <c r="N9" s="4"/>
      <c r="O9" s="4"/>
      <c r="Q9" s="4" t="s">
        <v>360</v>
      </c>
      <c r="Y9" s="4" t="s">
        <v>360</v>
      </c>
      <c r="AB9" s="4" t="s">
        <v>360</v>
      </c>
      <c r="AC9" s="2" t="str">
        <f>IF(OR(Tabla_Contabilidad[[#This Row],[ROL_JEFE_CONT_CONTA]]="*",Tabla_Contabilidad[[#This Row],[ROL_JEFE_CONT_CONTA_HOSP]]="*"),"*","")</f>
        <v>*</v>
      </c>
    </row>
    <row r="10" spans="1:30" x14ac:dyDescent="0.5">
      <c r="A10" s="2">
        <v>1</v>
      </c>
      <c r="B10" s="2">
        <v>2</v>
      </c>
      <c r="C10" s="2">
        <f>IF(Tabla_Contabilidad[[#This Row],[id_padre]]="",0,_xlfn.XLOOKUP(Tabla_Contabilidad[[#This Row],[id_padre]],Tabla_Contabilidad[Id],Tabla_Contabilidad[Nivel],0,0,1)+1)</f>
        <v>2</v>
      </c>
      <c r="D10" s="2" t="s">
        <v>26</v>
      </c>
      <c r="E10" s="2">
        <f>IF(Tabla_Contabilidad[[#This Row],[Id_anterior]]=1,ROW()-1,SUM(ROW()-1,Tabla_Contabilidad[[#This Row],[Id_anterior]]))</f>
        <v>9</v>
      </c>
      <c r="F1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CONTABILIDAD_PARAMETROS_UNIDAD</v>
      </c>
      <c r="G10" s="9" t="str">
        <f>CLEAN(PROPER(Tabla_Contabilidad[[#This Row],[Nombre Opción]]))</f>
        <v>Unidad</v>
      </c>
      <c r="H10" s="9" t="s">
        <v>1735</v>
      </c>
      <c r="I10" s="9" t="str">
        <f>_xlfn.XLOOKUP(Tabla_Contabilidad[[#This Row],[id_padre]],Tabla_Contabilidad[Id],Tabla_Contabilidad[Codigo_Tecnico],"",0,1)</f>
        <v>CONTABILIDAD_PARAMETROS</v>
      </c>
      <c r="J1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/contabilidad/parametros/unidad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</v>
      </c>
      <c r="L10" s="2" t="s">
        <v>1341</v>
      </c>
      <c r="M10" s="4" t="s">
        <v>1798</v>
      </c>
      <c r="N10" s="4" t="s">
        <v>360</v>
      </c>
      <c r="O10" s="4"/>
      <c r="Q10" s="4" t="s">
        <v>360</v>
      </c>
      <c r="T10" s="4" t="s">
        <v>360</v>
      </c>
      <c r="W10" s="4" t="s">
        <v>360</v>
      </c>
      <c r="Y10" s="4" t="s">
        <v>360</v>
      </c>
      <c r="AB10" s="4" t="s">
        <v>360</v>
      </c>
      <c r="AC10" s="2" t="str">
        <f>IF(OR(Tabla_Contabilidad[[#This Row],[ROL_JEFE_CONT_CONTA]]="*",Tabla_Contabilidad[[#This Row],[ROL_JEFE_CONT_CONTA_HOSP]]="*"),"*","")</f>
        <v>*</v>
      </c>
    </row>
    <row r="11" spans="1:30" x14ac:dyDescent="0.5">
      <c r="A11" s="2">
        <v>1</v>
      </c>
      <c r="B11" s="2">
        <v>2</v>
      </c>
      <c r="C11" s="2">
        <f>IF(Tabla_Contabilidad[[#This Row],[id_padre]]="",0,_xlfn.XLOOKUP(Tabla_Contabilidad[[#This Row],[id_padre]],Tabla_Contabilidad[Id],Tabla_Contabilidad[Nivel],0,0,1)+1)</f>
        <v>2</v>
      </c>
      <c r="D11" s="2" t="s">
        <v>27</v>
      </c>
      <c r="E11" s="2">
        <f>IF(Tabla_Contabilidad[[#This Row],[Id_anterior]]=1,ROW()-1,SUM(ROW()-1,Tabla_Contabilidad[[#This Row],[Id_anterior]]))</f>
        <v>10</v>
      </c>
      <c r="F1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CONTABILIDAD_PARAMETROS_UNIDADES_INTERNAS</v>
      </c>
      <c r="G11" s="9" t="str">
        <f>CLEAN(PROPER(Tabla_Contabilidad[[#This Row],[Nombre Opción]]))</f>
        <v>Unidades Internas</v>
      </c>
      <c r="H11" s="9" t="s">
        <v>1735</v>
      </c>
      <c r="I11" s="9" t="str">
        <f>_xlfn.XLOOKUP(Tabla_Contabilidad[[#This Row],[id_padre]],Tabla_Contabilidad[Id],Tabla_Contabilidad[Codigo_Tecnico],"",0,1)</f>
        <v>CONTABILIDAD_PARAMETROS</v>
      </c>
      <c r="J1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/contabilidad/parametros/unidades-internas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unidades-internas</v>
      </c>
      <c r="L11" s="2" t="s">
        <v>1389</v>
      </c>
      <c r="M11" s="4" t="s">
        <v>1798</v>
      </c>
      <c r="N11" s="4"/>
      <c r="O11" s="4"/>
      <c r="Q11" s="4" t="s">
        <v>360</v>
      </c>
      <c r="W11" s="4" t="s">
        <v>360</v>
      </c>
      <c r="Y11" s="4" t="s">
        <v>360</v>
      </c>
      <c r="AB11" s="4" t="s">
        <v>360</v>
      </c>
      <c r="AC11" s="2" t="str">
        <f>IF(OR(Tabla_Contabilidad[[#This Row],[ROL_JEFE_CONT_CONTA]]="*",Tabla_Contabilidad[[#This Row],[ROL_JEFE_CONT_CONTA_HOSP]]="*"),"*","")</f>
        <v>*</v>
      </c>
    </row>
    <row r="12" spans="1:30" hidden="1" x14ac:dyDescent="0.5">
      <c r="A12" s="2">
        <v>1</v>
      </c>
      <c r="B12" s="2">
        <v>2</v>
      </c>
      <c r="C12" s="2">
        <f>IF(Tabla_Contabilidad[[#This Row],[id_padre]]="",0,_xlfn.XLOOKUP(Tabla_Contabilidad[[#This Row],[id_padre]],Tabla_Contabilidad[Id],Tabla_Contabilidad[Nivel],0,0,1)+1)</f>
        <v>2</v>
      </c>
      <c r="D12" s="2" t="s">
        <v>1323</v>
      </c>
      <c r="E12" s="2">
        <f>IF(Tabla_Contabilidad[[#This Row],[Id_anterior]]=1,ROW()-1,SUM(ROW()-1,Tabla_Contabilidad[[#This Row],[Id_anterior]]))</f>
        <v>11</v>
      </c>
      <c r="F1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CONTABILIDAD_PARAMETROS_BLOQUEO_CUADRATURA_CENTRAL</v>
      </c>
      <c r="G12" s="9" t="str">
        <f>CLEAN(PROPER(Tabla_Contabilidad[[#This Row],[Nombre Opción]]))</f>
        <v>Bloqueo Cuadratura Central</v>
      </c>
      <c r="H12" s="9" t="s">
        <v>1735</v>
      </c>
      <c r="I12" s="9" t="str">
        <f>_xlfn.XLOOKUP(Tabla_Contabilidad[[#This Row],[id_padre]],Tabla_Contabilidad[Id],Tabla_Contabilidad[Codigo_Tecnico],"",0,1)</f>
        <v>CONTABILIDAD_PARAMETROS</v>
      </c>
      <c r="J1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/contabilidad/parametros/bloqueo-cuadratura-central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bloqueo-cuadratura-central</v>
      </c>
      <c r="L12" s="2" t="s">
        <v>1342</v>
      </c>
      <c r="M12" s="4" t="s">
        <v>1798</v>
      </c>
      <c r="N12" s="4"/>
      <c r="O12" s="4"/>
      <c r="Q12" s="4" t="s">
        <v>360</v>
      </c>
      <c r="AB12" s="4" t="s">
        <v>360</v>
      </c>
      <c r="AC12" s="2" t="str">
        <f>IF(OR(Tabla_Contabilidad[[#This Row],[ROL_JEFE_CONT_CONTA]]="*",Tabla_Contabilidad[[#This Row],[ROL_JEFE_CONT_CONTA_HOSP]]="*"),"*","")</f>
        <v/>
      </c>
    </row>
    <row r="13" spans="1:30" hidden="1" x14ac:dyDescent="0.5">
      <c r="A13" s="2">
        <v>1</v>
      </c>
      <c r="B13" s="2">
        <v>2</v>
      </c>
      <c r="C13" s="2">
        <f>IF(Tabla_Contabilidad[[#This Row],[id_padre]]="",0,_xlfn.XLOOKUP(Tabla_Contabilidad[[#This Row],[id_padre]],Tabla_Contabilidad[Id],Tabla_Contabilidad[Nivel],0,0,1)+1)</f>
        <v>2</v>
      </c>
      <c r="D13" s="2" t="s">
        <v>28</v>
      </c>
      <c r="E13" s="2">
        <f>IF(Tabla_Contabilidad[[#This Row],[Id_anterior]]=1,ROW()-1,SUM(ROW()-1,Tabla_Contabilidad[[#This Row],[Id_anterior]]))</f>
        <v>12</v>
      </c>
      <c r="F1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CONTABILIDAD_PARAMETROS_ZONA</v>
      </c>
      <c r="G13" s="9" t="str">
        <f>CLEAN(PROPER(Tabla_Contabilidad[[#This Row],[Nombre Opción]]))</f>
        <v>Zona</v>
      </c>
      <c r="H13" s="9" t="s">
        <v>1735</v>
      </c>
      <c r="I13" s="9" t="str">
        <f>_xlfn.XLOOKUP(Tabla_Contabilidad[[#This Row],[id_padre]],Tabla_Contabilidad[Id],Tabla_Contabilidad[Codigo_Tecnico],"",0,1)</f>
        <v>CONTABILIDAD_PARAMETROS</v>
      </c>
      <c r="J1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/contabilidad/parametros/zona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zona</v>
      </c>
      <c r="L13" s="2" t="s">
        <v>1402</v>
      </c>
      <c r="M13" s="4" t="s">
        <v>1798</v>
      </c>
      <c r="N13" s="4"/>
      <c r="O13" s="4"/>
      <c r="Q13" s="4" t="s">
        <v>360</v>
      </c>
      <c r="AB13" s="4" t="s">
        <v>360</v>
      </c>
      <c r="AC13" s="2" t="str">
        <f>IF(OR(Tabla_Contabilidad[[#This Row],[ROL_JEFE_CONT_CONTA]]="*",Tabla_Contabilidad[[#This Row],[ROL_JEFE_CONT_CONTA_HOSP]]="*"),"*","")</f>
        <v/>
      </c>
    </row>
    <row r="14" spans="1:30" hidden="1" x14ac:dyDescent="0.5">
      <c r="A14" s="2">
        <v>1</v>
      </c>
      <c r="B14" s="2">
        <v>2</v>
      </c>
      <c r="C14" s="2">
        <f>IF(Tabla_Contabilidad[[#This Row],[id_padre]]="",0,_xlfn.XLOOKUP(Tabla_Contabilidad[[#This Row],[id_padre]],Tabla_Contabilidad[Id],Tabla_Contabilidad[Nivel],0,0,1)+1)</f>
        <v>2</v>
      </c>
      <c r="D14" s="2" t="s">
        <v>29</v>
      </c>
      <c r="E14" s="2">
        <f>IF(Tabla_Contabilidad[[#This Row],[Id_anterior]]=1,ROW()-1,SUM(ROW()-1,Tabla_Contabilidad[[#This Row],[Id_anterior]]))</f>
        <v>13</v>
      </c>
      <c r="F1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CONTABILIDAD_PARAMETROS_ALTA_REPARTICION</v>
      </c>
      <c r="G14" s="9" t="str">
        <f>CLEAN(PROPER(Tabla_Contabilidad[[#This Row],[Nombre Opción]]))</f>
        <v>Alta Repartición</v>
      </c>
      <c r="H14" s="9" t="s">
        <v>1735</v>
      </c>
      <c r="I14" s="9" t="str">
        <f>_xlfn.XLOOKUP(Tabla_Contabilidad[[#This Row],[id_padre]],Tabla_Contabilidad[Id],Tabla_Contabilidad[Codigo_Tecnico],"",0,1)</f>
        <v>CONTABILIDAD_PARAMETROS</v>
      </c>
      <c r="J1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/contabilidad/parametros/alta-reparticion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alta-reparticion</v>
      </c>
      <c r="L14" s="2" t="s">
        <v>1367</v>
      </c>
      <c r="M14" s="4" t="s">
        <v>1798</v>
      </c>
      <c r="N14" s="4"/>
      <c r="O14" s="4"/>
      <c r="Q14" s="4" t="s">
        <v>360</v>
      </c>
      <c r="AB14" s="4" t="s">
        <v>360</v>
      </c>
      <c r="AC14" s="2" t="str">
        <f>IF(OR(Tabla_Contabilidad[[#This Row],[ROL_JEFE_CONT_CONTA]]="*",Tabla_Contabilidad[[#This Row],[ROL_JEFE_CONT_CONTA_HOSP]]="*"),"*","")</f>
        <v/>
      </c>
    </row>
    <row r="15" spans="1:30" hidden="1" x14ac:dyDescent="0.5">
      <c r="A15" s="2">
        <v>1</v>
      </c>
      <c r="B15" s="2">
        <v>2</v>
      </c>
      <c r="C15" s="2">
        <f>IF(Tabla_Contabilidad[[#This Row],[id_padre]]="",0,_xlfn.XLOOKUP(Tabla_Contabilidad[[#This Row],[id_padre]],Tabla_Contabilidad[Id],Tabla_Contabilidad[Nivel],0,0,1)+1)</f>
        <v>2</v>
      </c>
      <c r="D15" s="2" t="s">
        <v>30</v>
      </c>
      <c r="E15" s="2">
        <f>IF(Tabla_Contabilidad[[#This Row],[Id_anterior]]=1,ROW()-1,SUM(ROW()-1,Tabla_Contabilidad[[#This Row],[Id_anterior]]))</f>
        <v>14</v>
      </c>
      <c r="F1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CONTABILIDAD_PARAMETROS_DEPENDENCIA</v>
      </c>
      <c r="G15" s="9" t="str">
        <f>CLEAN(PROPER(Tabla_Contabilidad[[#This Row],[Nombre Opción]]))</f>
        <v>Dependencia</v>
      </c>
      <c r="H15" s="9" t="s">
        <v>1735</v>
      </c>
      <c r="I15" s="9" t="str">
        <f>_xlfn.XLOOKUP(Tabla_Contabilidad[[#This Row],[id_padre]],Tabla_Contabilidad[Id],Tabla_Contabilidad[Codigo_Tecnico],"",0,1)</f>
        <v>CONTABILIDAD_PARAMETROS</v>
      </c>
      <c r="J1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/contabilidad/parametros/dependencia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dependencia</v>
      </c>
      <c r="L15" s="2" t="s">
        <v>1403</v>
      </c>
      <c r="M15" s="4" t="s">
        <v>1798</v>
      </c>
      <c r="N15" s="4"/>
      <c r="O15" s="4"/>
      <c r="Q15" s="4" t="s">
        <v>360</v>
      </c>
      <c r="AB15" s="4" t="s">
        <v>360</v>
      </c>
      <c r="AC15" s="2" t="str">
        <f>IF(OR(Tabla_Contabilidad[[#This Row],[ROL_JEFE_CONT_CONTA]]="*",Tabla_Contabilidad[[#This Row],[ROL_JEFE_CONT_CONTA_HOSP]]="*"),"*","")</f>
        <v/>
      </c>
    </row>
    <row r="16" spans="1:30" hidden="1" x14ac:dyDescent="0.5">
      <c r="A16" s="2">
        <v>1</v>
      </c>
      <c r="B16" s="2">
        <v>2</v>
      </c>
      <c r="C16" s="2">
        <f>IF(Tabla_Contabilidad[[#This Row],[id_padre]]="",0,_xlfn.XLOOKUP(Tabla_Contabilidad[[#This Row],[id_padre]],Tabla_Contabilidad[Id],Tabla_Contabilidad[Nivel],0,0,1)+1)</f>
        <v>2</v>
      </c>
      <c r="D16" s="2" t="s">
        <v>31</v>
      </c>
      <c r="E16" s="2">
        <f>IF(Tabla_Contabilidad[[#This Row],[Id_anterior]]=1,ROW()-1,SUM(ROW()-1,Tabla_Contabilidad[[#This Row],[Id_anterior]]))</f>
        <v>15</v>
      </c>
      <c r="F1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CONTABILIDAD_PARAMETROS_ORGANICA</v>
      </c>
      <c r="G16" s="9" t="str">
        <f>CLEAN(PROPER(Tabla_Contabilidad[[#This Row],[Nombre Opción]]))</f>
        <v>Organica</v>
      </c>
      <c r="H16" s="9" t="s">
        <v>1735</v>
      </c>
      <c r="I16" s="9" t="str">
        <f>_xlfn.XLOOKUP(Tabla_Contabilidad[[#This Row],[id_padre]],Tabla_Contabilidad[Id],Tabla_Contabilidad[Codigo_Tecnico],"",0,1)</f>
        <v>CONTABILIDAD_PARAMETROS</v>
      </c>
      <c r="J1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/contabilidad/parametros/organica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organica</v>
      </c>
      <c r="L16" s="2" t="s">
        <v>1404</v>
      </c>
      <c r="M16" s="4" t="s">
        <v>1798</v>
      </c>
      <c r="N16" s="4"/>
      <c r="O16" s="4"/>
      <c r="Q16" s="4" t="s">
        <v>360</v>
      </c>
      <c r="AB16" s="4" t="s">
        <v>360</v>
      </c>
      <c r="AC16" s="2" t="str">
        <f>IF(OR(Tabla_Contabilidad[[#This Row],[ROL_JEFE_CONT_CONTA]]="*",Tabla_Contabilidad[[#This Row],[ROL_JEFE_CONT_CONTA_HOSP]]="*"),"*","")</f>
        <v/>
      </c>
    </row>
    <row r="17" spans="1:29" hidden="1" x14ac:dyDescent="0.5">
      <c r="A17" s="2">
        <v>1</v>
      </c>
      <c r="B17" s="2">
        <v>2</v>
      </c>
      <c r="C17" s="2">
        <f>IF(Tabla_Contabilidad[[#This Row],[id_padre]]="",0,_xlfn.XLOOKUP(Tabla_Contabilidad[[#This Row],[id_padre]],Tabla_Contabilidad[Id],Tabla_Contabilidad[Nivel],0,0,1)+1)</f>
        <v>2</v>
      </c>
      <c r="D17" s="2" t="s">
        <v>32</v>
      </c>
      <c r="E17" s="2">
        <f>IF(Tabla_Contabilidad[[#This Row],[Id_anterior]]=1,ROW()-1,SUM(ROW()-1,Tabla_Contabilidad[[#This Row],[Id_anterior]]))</f>
        <v>16</v>
      </c>
      <c r="F1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CONTABILIDAD_PARAMETROS_PLAN_CUENTAS_POR_ENTIDAD</v>
      </c>
      <c r="G17" s="9" t="str">
        <f>CLEAN(PROPER(Tabla_Contabilidad[[#This Row],[Nombre Opción]]))</f>
        <v>Plan De Cuentas Por Entidad</v>
      </c>
      <c r="H17" s="9" t="s">
        <v>1735</v>
      </c>
      <c r="I17" s="9" t="str">
        <f>_xlfn.XLOOKUP(Tabla_Contabilidad[[#This Row],[id_padre]],Tabla_Contabilidad[Id],Tabla_Contabilidad[Codigo_Tecnico],"",0,1)</f>
        <v>CONTABILIDAD_PARAMETROS</v>
      </c>
      <c r="J1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/contabilidad/parametros/plan-cuentas-por-entidad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plan-cuentas-por-entidad</v>
      </c>
      <c r="L17" s="2" t="s">
        <v>1369</v>
      </c>
      <c r="M17" s="4" t="s">
        <v>1798</v>
      </c>
      <c r="N17" s="4"/>
      <c r="O17" s="4"/>
      <c r="Q17" s="4" t="s">
        <v>360</v>
      </c>
      <c r="AB17" s="4" t="s">
        <v>360</v>
      </c>
      <c r="AC17" s="2" t="str">
        <f>IF(OR(Tabla_Contabilidad[[#This Row],[ROL_JEFE_CONT_CONTA]]="*",Tabla_Contabilidad[[#This Row],[ROL_JEFE_CONT_CONTA_HOSP]]="*"),"*","")</f>
        <v/>
      </c>
    </row>
    <row r="18" spans="1:29" hidden="1" x14ac:dyDescent="0.5">
      <c r="A18" s="2">
        <v>1</v>
      </c>
      <c r="B18" s="2">
        <v>2</v>
      </c>
      <c r="C18" s="2">
        <f>IF(Tabla_Contabilidad[[#This Row],[id_padre]]="",0,_xlfn.XLOOKUP(Tabla_Contabilidad[[#This Row],[id_padre]],Tabla_Contabilidad[Id],Tabla_Contabilidad[Nivel],0,0,1)+1)</f>
        <v>2</v>
      </c>
      <c r="D18" s="2" t="s">
        <v>33</v>
      </c>
      <c r="E18" s="2">
        <f>IF(Tabla_Contabilidad[[#This Row],[Id_anterior]]=1,ROW()-1,SUM(ROW()-1,Tabla_Contabilidad[[#This Row],[Id_anterior]]))</f>
        <v>17</v>
      </c>
      <c r="F1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CONTABILIDAD_PARAMETROS_CUENTAS_POR_TIPO_DOCUMENTOS_CAJA</v>
      </c>
      <c r="G18" s="9" t="str">
        <f>CLEAN(PROPER(Tabla_Contabilidad[[#This Row],[Nombre Opción]]))</f>
        <v>Cuentas Por Tipo De Documentos – Caja</v>
      </c>
      <c r="H18" s="9" t="s">
        <v>1735</v>
      </c>
      <c r="I18" s="9" t="str">
        <f>_xlfn.XLOOKUP(Tabla_Contabilidad[[#This Row],[id_padre]],Tabla_Contabilidad[Id],Tabla_Contabilidad[Codigo_Tecnico],"",0,1)</f>
        <v>CONTABILIDAD_PARAMETROS</v>
      </c>
      <c r="J1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/contabilidad/parametros/cuentas-por-tipo-documentos-caja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cuentas-por-tipo-documentos-caja</v>
      </c>
      <c r="L18" s="2" t="s">
        <v>1364</v>
      </c>
      <c r="M18" s="4" t="s">
        <v>1798</v>
      </c>
      <c r="N18" s="4"/>
      <c r="O18" s="4"/>
      <c r="Q18" s="4" t="s">
        <v>360</v>
      </c>
      <c r="AB18" s="4" t="s">
        <v>360</v>
      </c>
      <c r="AC18" s="2" t="str">
        <f>IF(OR(Tabla_Contabilidad[[#This Row],[ROL_JEFE_CONT_CONTA]]="*",Tabla_Contabilidad[[#This Row],[ROL_JEFE_CONT_CONTA_HOSP]]="*"),"*","")</f>
        <v/>
      </c>
    </row>
    <row r="19" spans="1:29" hidden="1" x14ac:dyDescent="0.5">
      <c r="A19" s="2">
        <v>1</v>
      </c>
      <c r="B19" s="2">
        <v>2</v>
      </c>
      <c r="C19" s="2">
        <f>IF(Tabla_Contabilidad[[#This Row],[id_padre]]="",0,_xlfn.XLOOKUP(Tabla_Contabilidad[[#This Row],[id_padre]],Tabla_Contabilidad[Id],Tabla_Contabilidad[Nivel],0,0,1)+1)</f>
        <v>2</v>
      </c>
      <c r="D19" s="2" t="s">
        <v>34</v>
      </c>
      <c r="E19" s="2">
        <f>IF(Tabla_Contabilidad[[#This Row],[Id_anterior]]=1,ROW()-1,SUM(ROW()-1,Tabla_Contabilidad[[#This Row],[Id_anterior]]))</f>
        <v>18</v>
      </c>
      <c r="F1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CONTABILIDAD_PARAMETROS_CONTRATOS_UNIDADES</v>
      </c>
      <c r="G19" s="9" t="str">
        <f>CLEAN(PROPER(Tabla_Contabilidad[[#This Row],[Nombre Opción]]))</f>
        <v>Contratos Unidades</v>
      </c>
      <c r="H19" s="9" t="s">
        <v>1735</v>
      </c>
      <c r="I19" s="9" t="str">
        <f>_xlfn.XLOOKUP(Tabla_Contabilidad[[#This Row],[id_padre]],Tabla_Contabilidad[Id],Tabla_Contabilidad[Codigo_Tecnico],"",0,1)</f>
        <v>CONTABILIDAD_PARAMETROS</v>
      </c>
      <c r="J1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/contabilidad/parametros/contratos-unidades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contratos-unidades</v>
      </c>
      <c r="L19" s="2" t="s">
        <v>1405</v>
      </c>
      <c r="M19" s="4" t="s">
        <v>1798</v>
      </c>
      <c r="N19" s="4"/>
      <c r="O19" s="4"/>
      <c r="Q19" s="4" t="s">
        <v>360</v>
      </c>
      <c r="AB19" s="4" t="s">
        <v>360</v>
      </c>
      <c r="AC19" s="2" t="str">
        <f>IF(OR(Tabla_Contabilidad[[#This Row],[ROL_JEFE_CONT_CONTA]]="*",Tabla_Contabilidad[[#This Row],[ROL_JEFE_CONT_CONTA_HOSP]]="*"),"*","")</f>
        <v/>
      </c>
    </row>
    <row r="20" spans="1:29" hidden="1" x14ac:dyDescent="0.5">
      <c r="A20" s="2">
        <v>1</v>
      </c>
      <c r="B20" s="2">
        <v>2</v>
      </c>
      <c r="C20" s="2">
        <f>IF(Tabla_Contabilidad[[#This Row],[id_padre]]="",0,_xlfn.XLOOKUP(Tabla_Contabilidad[[#This Row],[id_padre]],Tabla_Contabilidad[Id],Tabla_Contabilidad[Nivel],0,0,1)+1)</f>
        <v>2</v>
      </c>
      <c r="D20" s="2" t="s">
        <v>35</v>
      </c>
      <c r="E20" s="2">
        <f>IF(Tabla_Contabilidad[[#This Row],[Id_anterior]]=1,ROW()-1,SUM(ROW()-1,Tabla_Contabilidad[[#This Row],[Id_anterior]]))</f>
        <v>19</v>
      </c>
      <c r="F2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CONTABILIDAD_PARAMETROS_MANTENCION_CODIGO_DIARIO</v>
      </c>
      <c r="G20" s="9" t="str">
        <f>CLEAN(PROPER(Tabla_Contabilidad[[#This Row],[Nombre Opción]]))</f>
        <v>Mantención Código Diario</v>
      </c>
      <c r="H20" s="9" t="s">
        <v>1735</v>
      </c>
      <c r="I20" s="9" t="str">
        <f>_xlfn.XLOOKUP(Tabla_Contabilidad[[#This Row],[id_padre]],Tabla_Contabilidad[Id],Tabla_Contabilidad[Codigo_Tecnico],"",0,1)</f>
        <v>CONTABILIDAD_PARAMETROS</v>
      </c>
      <c r="J2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/contabilidad/parametros/mantencion-codigo-diario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mantencion-codigo-diario</v>
      </c>
      <c r="L20" s="2" t="s">
        <v>1406</v>
      </c>
      <c r="M20" s="4" t="s">
        <v>1798</v>
      </c>
      <c r="N20" s="4"/>
      <c r="O20" s="4"/>
      <c r="Q20" s="4" t="s">
        <v>360</v>
      </c>
      <c r="AB20" s="4" t="s">
        <v>360</v>
      </c>
      <c r="AC20" s="2" t="str">
        <f>IF(OR(Tabla_Contabilidad[[#This Row],[ROL_JEFE_CONT_CONTA]]="*",Tabla_Contabilidad[[#This Row],[ROL_JEFE_CONT_CONTA_HOSP]]="*"),"*","")</f>
        <v/>
      </c>
    </row>
    <row r="21" spans="1:29" hidden="1" x14ac:dyDescent="0.5">
      <c r="A21" s="2">
        <v>1</v>
      </c>
      <c r="B21" s="2">
        <v>2</v>
      </c>
      <c r="C21" s="2">
        <f>IF(Tabla_Contabilidad[[#This Row],[id_padre]]="",0,_xlfn.XLOOKUP(Tabla_Contabilidad[[#This Row],[id_padre]],Tabla_Contabilidad[Id],Tabla_Contabilidad[Nivel],0,0,1)+1)</f>
        <v>2</v>
      </c>
      <c r="D21" s="2" t="s">
        <v>36</v>
      </c>
      <c r="E21" s="2">
        <f>IF(Tabla_Contabilidad[[#This Row],[Id_anterior]]=1,ROW()-1,SUM(ROW()-1,Tabla_Contabilidad[[#This Row],[Id_anterior]]))</f>
        <v>20</v>
      </c>
      <c r="F2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CONTABILIDAD_PARAMETROS_MANTENCION_NUMERO_CONTROL</v>
      </c>
      <c r="G21" s="9" t="str">
        <f>CLEAN(PROPER(Tabla_Contabilidad[[#This Row],[Nombre Opción]]))</f>
        <v>Mantención Numero Control</v>
      </c>
      <c r="H21" s="9" t="s">
        <v>1735</v>
      </c>
      <c r="I21" s="9" t="str">
        <f>_xlfn.XLOOKUP(Tabla_Contabilidad[[#This Row],[id_padre]],Tabla_Contabilidad[Id],Tabla_Contabilidad[Codigo_Tecnico],"",0,1)</f>
        <v>CONTABILIDAD_PARAMETROS</v>
      </c>
      <c r="J2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/contabilidad/parametros/mantencion-numero-control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mantencion-numero-control</v>
      </c>
      <c r="L21" s="2" t="s">
        <v>1392</v>
      </c>
      <c r="M21" s="4" t="s">
        <v>1798</v>
      </c>
      <c r="N21" s="4"/>
      <c r="O21" s="4"/>
      <c r="Q21" s="4" t="s">
        <v>360</v>
      </c>
      <c r="AB21" s="4" t="s">
        <v>360</v>
      </c>
      <c r="AC21" s="2" t="str">
        <f>IF(OR(Tabla_Contabilidad[[#This Row],[ROL_JEFE_CONT_CONTA]]="*",Tabla_Contabilidad[[#This Row],[ROL_JEFE_CONT_CONTA_HOSP]]="*"),"*","")</f>
        <v/>
      </c>
    </row>
    <row r="22" spans="1:29" hidden="1" x14ac:dyDescent="0.5">
      <c r="A22" s="2">
        <v>1</v>
      </c>
      <c r="B22" s="2">
        <v>2</v>
      </c>
      <c r="C22" s="2">
        <f>IF(Tabla_Contabilidad[[#This Row],[id_padre]]="",0,_xlfn.XLOOKUP(Tabla_Contabilidad[[#This Row],[id_padre]],Tabla_Contabilidad[Id],Tabla_Contabilidad[Nivel],0,0,1)+1)</f>
        <v>2</v>
      </c>
      <c r="D22" s="2" t="s">
        <v>37</v>
      </c>
      <c r="E22" s="2">
        <f>IF(Tabla_Contabilidad[[#This Row],[Id_anterior]]=1,ROW()-1,SUM(ROW()-1,Tabla_Contabilidad[[#This Row],[Id_anterior]]))</f>
        <v>21</v>
      </c>
      <c r="F2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CONTABILIDAD_PARAMETROS_MANTENCION_TIPO_ASIENTO</v>
      </c>
      <c r="G22" s="9" t="str">
        <f>CLEAN(PROPER(Tabla_Contabilidad[[#This Row],[Nombre Opción]]))</f>
        <v>Mantención Tipo Asiento</v>
      </c>
      <c r="H22" s="9" t="s">
        <v>1735</v>
      </c>
      <c r="I22" s="9" t="str">
        <f>_xlfn.XLOOKUP(Tabla_Contabilidad[[#This Row],[id_padre]],Tabla_Contabilidad[Id],Tabla_Contabilidad[Codigo_Tecnico],"",0,1)</f>
        <v>CONTABILIDAD_PARAMETROS</v>
      </c>
      <c r="J2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/contabilidad/parametros/mantencion-tipo-asiento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mantencion-tipo-asiento</v>
      </c>
      <c r="L22" s="2" t="s">
        <v>1407</v>
      </c>
      <c r="M22" s="4" t="s">
        <v>1798</v>
      </c>
      <c r="N22" s="4"/>
      <c r="O22" s="4"/>
      <c r="Q22" s="4" t="s">
        <v>360</v>
      </c>
      <c r="AB22" s="4" t="s">
        <v>360</v>
      </c>
      <c r="AC22" s="2" t="str">
        <f>IF(OR(Tabla_Contabilidad[[#This Row],[ROL_JEFE_CONT_CONTA]]="*",Tabla_Contabilidad[[#This Row],[ROL_JEFE_CONT_CONTA_HOSP]]="*"),"*","")</f>
        <v/>
      </c>
    </row>
    <row r="23" spans="1:29" hidden="1" x14ac:dyDescent="0.5">
      <c r="A23" s="2">
        <v>1</v>
      </c>
      <c r="B23" s="2">
        <v>2</v>
      </c>
      <c r="C23" s="2">
        <f>IF(Tabla_Contabilidad[[#This Row],[id_padre]]="",0,_xlfn.XLOOKUP(Tabla_Contabilidad[[#This Row],[id_padre]],Tabla_Contabilidad[Id],Tabla_Contabilidad[Nivel],0,0,1)+1)</f>
        <v>2</v>
      </c>
      <c r="D23" s="2" t="s">
        <v>39</v>
      </c>
      <c r="E23" s="2">
        <f>IF(Tabla_Contabilidad[[#This Row],[Id_anterior]]=1,ROW()-1,SUM(ROW()-1,Tabla_Contabilidad[[#This Row],[Id_anterior]]))</f>
        <v>22</v>
      </c>
      <c r="F2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CONTABILIDAD_PARAMETROS_HOMOLOGADOS</v>
      </c>
      <c r="G23" s="9" t="str">
        <f>CLEAN(PROPER(Tabla_Contabilidad[[#This Row],[Nombre Opción]]))</f>
        <v>Homologados</v>
      </c>
      <c r="H23" s="9" t="s">
        <v>1735</v>
      </c>
      <c r="I23" s="9" t="str">
        <f>_xlfn.XLOOKUP(Tabla_Contabilidad[[#This Row],[id_padre]],Tabla_Contabilidad[Id],Tabla_Contabilidad[Codigo_Tecnico],"",0,1)</f>
        <v>CONTABILIDAD_PARAMETROS</v>
      </c>
      <c r="J2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/contabilidad/parametros/homologados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homologados</v>
      </c>
      <c r="L23" s="2" t="s">
        <v>1408</v>
      </c>
      <c r="M23" s="4" t="s">
        <v>1798</v>
      </c>
      <c r="N23" s="4"/>
      <c r="O23" s="4"/>
      <c r="Q23" s="4" t="s">
        <v>360</v>
      </c>
      <c r="AB23" s="4" t="s">
        <v>360</v>
      </c>
      <c r="AC23" s="2" t="str">
        <f>IF(OR(Tabla_Contabilidad[[#This Row],[ROL_JEFE_CONT_CONTA]]="*",Tabla_Contabilidad[[#This Row],[ROL_JEFE_CONT_CONTA_HOSP]]="*"),"*","")</f>
        <v/>
      </c>
    </row>
    <row r="24" spans="1:29" hidden="1" x14ac:dyDescent="0.5">
      <c r="A24" s="2">
        <v>1</v>
      </c>
      <c r="B24" s="2">
        <v>22</v>
      </c>
      <c r="C24" s="2">
        <f>IF(Tabla_Contabilidad[[#This Row],[id_padre]]="",0,_xlfn.XLOOKUP(Tabla_Contabilidad[[#This Row],[id_padre]],Tabla_Contabilidad[Id],Tabla_Contabilidad[Nivel],0,0,1)+1)</f>
        <v>3</v>
      </c>
      <c r="D24" s="2" t="s">
        <v>40</v>
      </c>
      <c r="E24" s="2">
        <f>IF(Tabla_Contabilidad[[#This Row],[Id_anterior]]=1,ROW()-1,SUM(ROW()-1,Tabla_Contabilidad[[#This Row],[Id_anterior]]))</f>
        <v>23</v>
      </c>
      <c r="F2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CONTABILIDAD_PARAMETROS_HOMOLOGADOS_TIPO_COMPROMISOS</v>
      </c>
      <c r="G24" s="9" t="str">
        <f>CLEAN(PROPER(Tabla_Contabilidad[[#This Row],[Nombre Opción]]))</f>
        <v>Tipo Compromisos</v>
      </c>
      <c r="H24" s="9" t="s">
        <v>1735</v>
      </c>
      <c r="I24" s="9" t="str">
        <f>_xlfn.XLOOKUP(Tabla_Contabilidad[[#This Row],[id_padre]],Tabla_Contabilidad[Id],Tabla_Contabilidad[Codigo_Tecnico],"",0,1)</f>
        <v>CONTABILIDAD_PARAMETROS_HOMOLOGADOS</v>
      </c>
      <c r="J2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/contabilidad/parametros/homologados/tipo-compromisos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tipo-compromisos</v>
      </c>
      <c r="L24" s="2" t="s">
        <v>1409</v>
      </c>
      <c r="M24" s="4" t="s">
        <v>1798</v>
      </c>
      <c r="N24" s="4"/>
      <c r="O24" s="4"/>
      <c r="Q24" s="4" t="s">
        <v>360</v>
      </c>
      <c r="AB24" s="4" t="s">
        <v>360</v>
      </c>
      <c r="AC24" s="2" t="str">
        <f>IF(OR(Tabla_Contabilidad[[#This Row],[ROL_JEFE_CONT_CONTA]]="*",Tabla_Contabilidad[[#This Row],[ROL_JEFE_CONT_CONTA_HOSP]]="*"),"*","")</f>
        <v/>
      </c>
    </row>
    <row r="25" spans="1:29" hidden="1" x14ac:dyDescent="0.5">
      <c r="A25" s="2">
        <v>1</v>
      </c>
      <c r="B25" s="2">
        <v>22</v>
      </c>
      <c r="C25" s="2">
        <f>IF(Tabla_Contabilidad[[#This Row],[id_padre]]="",0,_xlfn.XLOOKUP(Tabla_Contabilidad[[#This Row],[id_padre]],Tabla_Contabilidad[Id],Tabla_Contabilidad[Nivel],0,0,1)+1)</f>
        <v>3</v>
      </c>
      <c r="D25" s="2" t="s">
        <v>41</v>
      </c>
      <c r="E25" s="2">
        <f>IF(Tabla_Contabilidad[[#This Row],[Id_anterior]]=1,ROW()-1,SUM(ROW()-1,Tabla_Contabilidad[[#This Row],[Id_anterior]]))</f>
        <v>24</v>
      </c>
      <c r="F2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CONTABILIDAD_PARAMETROS_HOMOLOGADOS_TIPO_DEVENGO_EFECTIVO</v>
      </c>
      <c r="G25" s="9" t="str">
        <f>CLEAN(PROPER(Tabla_Contabilidad[[#This Row],[Nombre Opción]]))</f>
        <v>Tipo Devengo Efectivo</v>
      </c>
      <c r="H25" s="9" t="s">
        <v>1735</v>
      </c>
      <c r="I25" s="9" t="str">
        <f>_xlfn.XLOOKUP(Tabla_Contabilidad[[#This Row],[id_padre]],Tabla_Contabilidad[Id],Tabla_Contabilidad[Codigo_Tecnico],"",0,1)</f>
        <v>CONTABILIDAD_PARAMETROS_HOMOLOGADOS</v>
      </c>
      <c r="J2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/contabilidad/parametros/homologados/tipo-devengo-efectivo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tipo-devengo-efectivo</v>
      </c>
      <c r="L25" s="2" t="s">
        <v>1353</v>
      </c>
      <c r="M25" s="4" t="s">
        <v>1798</v>
      </c>
      <c r="N25" s="4"/>
      <c r="O25" s="4"/>
      <c r="Q25" s="4" t="s">
        <v>360</v>
      </c>
      <c r="AB25" s="4" t="s">
        <v>360</v>
      </c>
      <c r="AC25" s="2" t="str">
        <f>IF(OR(Tabla_Contabilidad[[#This Row],[ROL_JEFE_CONT_CONTA]]="*",Tabla_Contabilidad[[#This Row],[ROL_JEFE_CONT_CONTA_HOSP]]="*"),"*","")</f>
        <v/>
      </c>
    </row>
    <row r="26" spans="1:29" hidden="1" x14ac:dyDescent="0.5">
      <c r="A26" s="2">
        <v>1</v>
      </c>
      <c r="B26" s="2">
        <v>22</v>
      </c>
      <c r="C26" s="2">
        <f>IF(Tabla_Contabilidad[[#This Row],[id_padre]]="",0,_xlfn.XLOOKUP(Tabla_Contabilidad[[#This Row],[id_padre]],Tabla_Contabilidad[Id],Tabla_Contabilidad[Nivel],0,0,1)+1)</f>
        <v>3</v>
      </c>
      <c r="D26" s="2" t="s">
        <v>42</v>
      </c>
      <c r="E26" s="2">
        <f>IF(Tabla_Contabilidad[[#This Row],[Id_anterior]]=1,ROW()-1,SUM(ROW()-1,Tabla_Contabilidad[[#This Row],[Id_anterior]]))</f>
        <v>25</v>
      </c>
      <c r="F2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CONTABILIDAD_PARAMETROS_HOMOLOGADOS_CARTERA_CONTABLE</v>
      </c>
      <c r="G26" s="9" t="str">
        <f>CLEAN(PROPER(Tabla_Contabilidad[[#This Row],[Nombre Opción]]))</f>
        <v>Cartera Contable</v>
      </c>
      <c r="H26" s="9" t="s">
        <v>1735</v>
      </c>
      <c r="I26" s="9" t="str">
        <f>_xlfn.XLOOKUP(Tabla_Contabilidad[[#This Row],[id_padre]],Tabla_Contabilidad[Id],Tabla_Contabilidad[Codigo_Tecnico],"",0,1)</f>
        <v>CONTABILIDAD_PARAMETROS_HOMOLOGADOS</v>
      </c>
      <c r="J2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/contabilidad/parametros/homologados/cartera-contable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cartera-contable</v>
      </c>
      <c r="L26" s="2" t="s">
        <v>1331</v>
      </c>
      <c r="M26" s="4" t="s">
        <v>1798</v>
      </c>
      <c r="N26" s="4"/>
      <c r="O26" s="4"/>
      <c r="Q26" s="4" t="s">
        <v>360</v>
      </c>
      <c r="AB26" s="4" t="s">
        <v>360</v>
      </c>
      <c r="AC26" s="2" t="str">
        <f>IF(OR(Tabla_Contabilidad[[#This Row],[ROL_JEFE_CONT_CONTA]]="*",Tabla_Contabilidad[[#This Row],[ROL_JEFE_CONT_CONTA_HOSP]]="*"),"*","")</f>
        <v/>
      </c>
    </row>
    <row r="27" spans="1:29" x14ac:dyDescent="0.5">
      <c r="A27" s="2">
        <v>1</v>
      </c>
      <c r="B27" s="2">
        <v>2</v>
      </c>
      <c r="C27" s="2">
        <f>IF(Tabla_Contabilidad[[#This Row],[id_padre]]="",0,_xlfn.XLOOKUP(Tabla_Contabilidad[[#This Row],[id_padre]],Tabla_Contabilidad[Id],Tabla_Contabilidad[Nivel],0,0,1)+1)</f>
        <v>2</v>
      </c>
      <c r="D27" s="2" t="s">
        <v>38</v>
      </c>
      <c r="E27" s="2">
        <f>IF(Tabla_Contabilidad[[#This Row],[Id_anterior]]=1,ROW()-1,SUM(ROW()-1,Tabla_Contabilidad[[#This Row],[Id_anterior]]))</f>
        <v>26</v>
      </c>
      <c r="F2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CONTABILIDAD_PARAMETROS_CUENTAS_CONTABLES_LICENCIAS</v>
      </c>
      <c r="G27" s="9" t="str">
        <f>CLEAN(PROPER(Tabla_Contabilidad[[#This Row],[Nombre Opción]]))</f>
        <v>Cuentas Contables Licencias</v>
      </c>
      <c r="H27" s="9" t="s">
        <v>1735</v>
      </c>
      <c r="I27" s="9" t="str">
        <f>_xlfn.XLOOKUP(Tabla_Contabilidad[[#This Row],[id_padre]],Tabla_Contabilidad[Id],Tabla_Contabilidad[Codigo_Tecnico],"",0,1)</f>
        <v>CONTABILIDAD_PARAMETROS</v>
      </c>
      <c r="J2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/contabilidad/parametros/cuentas-contables-licencias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cuentas-contables-licencias</v>
      </c>
      <c r="L27" s="2" t="s">
        <v>1410</v>
      </c>
      <c r="M27" s="4" t="s">
        <v>1798</v>
      </c>
      <c r="N27" s="4" t="s">
        <v>360</v>
      </c>
      <c r="O27" s="4"/>
      <c r="Q27" s="4" t="s">
        <v>360</v>
      </c>
      <c r="AA27" s="4" t="s">
        <v>360</v>
      </c>
      <c r="AB27" s="4" t="s">
        <v>360</v>
      </c>
      <c r="AC27" s="2" t="str">
        <f>IF(OR(Tabla_Contabilidad[[#This Row],[ROL_JEFE_CONT_CONTA]]="*",Tabla_Contabilidad[[#This Row],[ROL_JEFE_CONT_CONTA_HOSP]]="*"),"*","")</f>
        <v>*</v>
      </c>
    </row>
    <row r="28" spans="1:29" hidden="1" x14ac:dyDescent="0.5">
      <c r="A28" s="2">
        <v>1</v>
      </c>
      <c r="B28" s="2">
        <v>2</v>
      </c>
      <c r="C28" s="2">
        <f>IF(Tabla_Contabilidad[[#This Row],[id_padre]]="",0,_xlfn.XLOOKUP(Tabla_Contabilidad[[#This Row],[id_padre]],Tabla_Contabilidad[Id],Tabla_Contabilidad[Nivel],0,0,1)+1)</f>
        <v>2</v>
      </c>
      <c r="D28" s="2" t="s">
        <v>43</v>
      </c>
      <c r="E28" s="2">
        <f>IF(Tabla_Contabilidad[[#This Row],[Id_anterior]]=1,ROW()-1,SUM(ROW()-1,Tabla_Contabilidad[[#This Row],[Id_anterior]]))</f>
        <v>27</v>
      </c>
      <c r="F2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CONTABILIDAD_PARAMETROS_GRUPO_ANALITICOS</v>
      </c>
      <c r="G28" s="9" t="str">
        <f>CLEAN(PROPER(Tabla_Contabilidad[[#This Row],[Nombre Opción]]))</f>
        <v>Grupo De Analiticos</v>
      </c>
      <c r="H28" s="9" t="s">
        <v>1735</v>
      </c>
      <c r="I28" s="9" t="str">
        <f>_xlfn.XLOOKUP(Tabla_Contabilidad[[#This Row],[id_padre]],Tabla_Contabilidad[Id],Tabla_Contabilidad[Codigo_Tecnico],"",0,1)</f>
        <v>CONTABILIDAD_PARAMETROS</v>
      </c>
      <c r="J2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/contabilidad/parametros/grupo-analiticos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grupo-analiticos</v>
      </c>
      <c r="L28" s="2" t="s">
        <v>1411</v>
      </c>
      <c r="M28" s="4" t="s">
        <v>1798</v>
      </c>
      <c r="N28" s="4"/>
      <c r="O28" s="4"/>
      <c r="Q28" s="4" t="s">
        <v>360</v>
      </c>
      <c r="W28" s="4" t="s">
        <v>360</v>
      </c>
      <c r="AB28" s="4" t="s">
        <v>360</v>
      </c>
      <c r="AC28" s="2" t="str">
        <f>IF(OR(Tabla_Contabilidad[[#This Row],[ROL_JEFE_CONT_CONTA]]="*",Tabla_Contabilidad[[#This Row],[ROL_JEFE_CONT_CONTA_HOSP]]="*"),"*","")</f>
        <v/>
      </c>
    </row>
    <row r="29" spans="1:29" hidden="1" x14ac:dyDescent="0.5">
      <c r="A29" s="2">
        <v>1</v>
      </c>
      <c r="B29" s="2">
        <v>2</v>
      </c>
      <c r="C29" s="2">
        <f>IF(Tabla_Contabilidad[[#This Row],[id_padre]]="",0,_xlfn.XLOOKUP(Tabla_Contabilidad[[#This Row],[id_padre]],Tabla_Contabilidad[Id],Tabla_Contabilidad[Nivel],0,0,1)+1)</f>
        <v>2</v>
      </c>
      <c r="D29" s="2" t="s">
        <v>44</v>
      </c>
      <c r="E29" s="2">
        <f>IF(Tabla_Contabilidad[[#This Row],[Id_anterior]]=1,ROW()-1,SUM(ROW()-1,Tabla_Contabilidad[[#This Row],[Id_anterior]]))</f>
        <v>28</v>
      </c>
      <c r="F2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CONTABILIDAD_PARAMETROS_TIPOS_CUENTAS</v>
      </c>
      <c r="G29" s="9" t="str">
        <f>CLEAN(PROPER(Tabla_Contabilidad[[#This Row],[Nombre Opción]]))</f>
        <v>Tipos De Cuentas</v>
      </c>
      <c r="H29" s="9" t="s">
        <v>1735</v>
      </c>
      <c r="I29" s="9" t="str">
        <f>_xlfn.XLOOKUP(Tabla_Contabilidad[[#This Row],[id_padre]],Tabla_Contabilidad[Id],Tabla_Contabilidad[Codigo_Tecnico],"",0,1)</f>
        <v>CONTABILIDAD_PARAMETROS</v>
      </c>
      <c r="J2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/contabilidad/parametros/tipos-cuentas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tipos-cuentas</v>
      </c>
      <c r="L29" s="2" t="s">
        <v>1329</v>
      </c>
      <c r="M29" s="4" t="s">
        <v>1798</v>
      </c>
      <c r="N29" s="4"/>
      <c r="O29" s="4"/>
      <c r="Q29" s="4" t="s">
        <v>360</v>
      </c>
      <c r="W29" s="4" t="s">
        <v>360</v>
      </c>
      <c r="AB29" s="4" t="s">
        <v>360</v>
      </c>
      <c r="AC29" s="2" t="str">
        <f>IF(OR(Tabla_Contabilidad[[#This Row],[ROL_JEFE_CONT_CONTA]]="*",Tabla_Contabilidad[[#This Row],[ROL_JEFE_CONT_CONTA_HOSP]]="*"),"*","")</f>
        <v/>
      </c>
    </row>
    <row r="30" spans="1:29" hidden="1" x14ac:dyDescent="0.5">
      <c r="A30" s="2">
        <v>1</v>
      </c>
      <c r="B30" s="2">
        <v>2</v>
      </c>
      <c r="C30" s="2">
        <f>IF(Tabla_Contabilidad[[#This Row],[id_padre]]="",0,_xlfn.XLOOKUP(Tabla_Contabilidad[[#This Row],[id_padre]],Tabla_Contabilidad[Id],Tabla_Contabilidad[Nivel],0,0,1)+1)</f>
        <v>2</v>
      </c>
      <c r="D30" s="2" t="s">
        <v>45</v>
      </c>
      <c r="E30" s="2">
        <f>IF(Tabla_Contabilidad[[#This Row],[Id_anterior]]=1,ROW()-1,SUM(ROW()-1,Tabla_Contabilidad[[#This Row],[Id_anterior]]))</f>
        <v>29</v>
      </c>
      <c r="F3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CONTABILIDAD_PARAMETROS_TIPOS_BIENES</v>
      </c>
      <c r="G30" s="9" t="str">
        <f>CLEAN(PROPER(Tabla_Contabilidad[[#This Row],[Nombre Opción]]))</f>
        <v>Tipos De Bienes</v>
      </c>
      <c r="H30" s="9" t="s">
        <v>1735</v>
      </c>
      <c r="I30" s="9" t="str">
        <f>_xlfn.XLOOKUP(Tabla_Contabilidad[[#This Row],[id_padre]],Tabla_Contabilidad[Id],Tabla_Contabilidad[Codigo_Tecnico],"",0,1)</f>
        <v>CONTABILIDAD_PARAMETROS</v>
      </c>
      <c r="J3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/contabilidad/parametros/tipos-bienes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tipos-bienes</v>
      </c>
      <c r="L30" s="2" t="s">
        <v>1412</v>
      </c>
      <c r="M30" s="4" t="s">
        <v>1798</v>
      </c>
      <c r="N30" s="4"/>
      <c r="O30" s="4"/>
      <c r="Q30" s="4" t="s">
        <v>360</v>
      </c>
      <c r="W30" s="4" t="s">
        <v>360</v>
      </c>
      <c r="AB30" s="4" t="s">
        <v>360</v>
      </c>
      <c r="AC30" s="2" t="str">
        <f>IF(OR(Tabla_Contabilidad[[#This Row],[ROL_JEFE_CONT_CONTA]]="*",Tabla_Contabilidad[[#This Row],[ROL_JEFE_CONT_CONTA_HOSP]]="*"),"*","")</f>
        <v/>
      </c>
    </row>
    <row r="31" spans="1:29" hidden="1" x14ac:dyDescent="0.5">
      <c r="A31" s="2">
        <v>1</v>
      </c>
      <c r="B31" s="2">
        <v>2</v>
      </c>
      <c r="C31" s="2">
        <f>IF(Tabla_Contabilidad[[#This Row],[id_padre]]="",0,_xlfn.XLOOKUP(Tabla_Contabilidad[[#This Row],[id_padre]],Tabla_Contabilidad[Id],Tabla_Contabilidad[Nivel],0,0,1)+1)</f>
        <v>2</v>
      </c>
      <c r="D31" s="2" t="s">
        <v>46</v>
      </c>
      <c r="E31" s="2">
        <f>IF(Tabla_Contabilidad[[#This Row],[Id_anterior]]=1,ROW()-1,SUM(ROW()-1,Tabla_Contabilidad[[#This Row],[Id_anterior]]))</f>
        <v>30</v>
      </c>
      <c r="F3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CONTABILIDAD_PARAMETROS_CUENTAS_BIENES</v>
      </c>
      <c r="G31" s="9" t="str">
        <f>CLEAN(PROPER(Tabla_Contabilidad[[#This Row],[Nombre Opción]]))</f>
        <v>Cuentas De Bienes</v>
      </c>
      <c r="H31" s="9" t="s">
        <v>1735</v>
      </c>
      <c r="I31" s="9" t="str">
        <f>_xlfn.XLOOKUP(Tabla_Contabilidad[[#This Row],[id_padre]],Tabla_Contabilidad[Id],Tabla_Contabilidad[Codigo_Tecnico],"",0,1)</f>
        <v>CONTABILIDAD_PARAMETROS</v>
      </c>
      <c r="J3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/contabilidad/parametros/cuentas-bienes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cuentas-bienes</v>
      </c>
      <c r="L31" s="2" t="s">
        <v>1407</v>
      </c>
      <c r="M31" s="4" t="s">
        <v>1798</v>
      </c>
      <c r="N31" s="4"/>
      <c r="O31" s="4"/>
      <c r="Q31" s="4" t="s">
        <v>360</v>
      </c>
      <c r="W31" s="4" t="s">
        <v>360</v>
      </c>
      <c r="AB31" s="4" t="s">
        <v>360</v>
      </c>
      <c r="AC31" s="2" t="str">
        <f>IF(OR(Tabla_Contabilidad[[#This Row],[ROL_JEFE_CONT_CONTA]]="*",Tabla_Contabilidad[[#This Row],[ROL_JEFE_CONT_CONTA_HOSP]]="*"),"*","")</f>
        <v/>
      </c>
    </row>
    <row r="32" spans="1:29" hidden="1" x14ac:dyDescent="0.5">
      <c r="A32" s="2">
        <v>1</v>
      </c>
      <c r="B32" s="2">
        <v>2</v>
      </c>
      <c r="C32" s="2">
        <f>IF(Tabla_Contabilidad[[#This Row],[id_padre]]="",0,_xlfn.XLOOKUP(Tabla_Contabilidad[[#This Row],[id_padre]],Tabla_Contabilidad[Id],Tabla_Contabilidad[Nivel],0,0,1)+1)</f>
        <v>2</v>
      </c>
      <c r="D32" s="2" t="s">
        <v>47</v>
      </c>
      <c r="E32" s="2">
        <f>IF(Tabla_Contabilidad[[#This Row],[Id_anterior]]=1,ROW()-1,SUM(ROW()-1,Tabla_Contabilidad[[#This Row],[Id_anterior]]))</f>
        <v>31</v>
      </c>
      <c r="F3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CONTABILIDAD_PARAMETROS_VALOR_MONEDA_CAJA</v>
      </c>
      <c r="G32" s="9" t="str">
        <f>CLEAN(PROPER(Tabla_Contabilidad[[#This Row],[Nombre Opción]]))</f>
        <v>Valor Moneda (Caja)</v>
      </c>
      <c r="H32" s="9" t="s">
        <v>1735</v>
      </c>
      <c r="I32" s="9" t="str">
        <f>_xlfn.XLOOKUP(Tabla_Contabilidad[[#This Row],[id_padre]],Tabla_Contabilidad[Id],Tabla_Contabilidad[Codigo_Tecnico],"",0,1)</f>
        <v>CONTABILIDAD_PARAMETROS</v>
      </c>
      <c r="J3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/contabilidad/parametros/valor-moneda-caja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valor-moneda-caja</v>
      </c>
      <c r="L32" s="2" t="s">
        <v>1362</v>
      </c>
      <c r="M32" s="4" t="s">
        <v>1798</v>
      </c>
      <c r="N32" s="4"/>
      <c r="O32" s="4"/>
      <c r="Q32" s="4" t="s">
        <v>360</v>
      </c>
      <c r="W32" s="4" t="s">
        <v>360</v>
      </c>
      <c r="AB32" s="4" t="s">
        <v>360</v>
      </c>
      <c r="AC32" s="2" t="str">
        <f>IF(OR(Tabla_Contabilidad[[#This Row],[ROL_JEFE_CONT_CONTA]]="*",Tabla_Contabilidad[[#This Row],[ROL_JEFE_CONT_CONTA_HOSP]]="*"),"*","")</f>
        <v/>
      </c>
    </row>
    <row r="33" spans="1:29" hidden="1" x14ac:dyDescent="0.5">
      <c r="A33" s="2">
        <v>1</v>
      </c>
      <c r="B33" s="2">
        <v>2</v>
      </c>
      <c r="C33" s="2">
        <f>IF(Tabla_Contabilidad[[#This Row],[id_padre]]="",0,_xlfn.XLOOKUP(Tabla_Contabilidad[[#This Row],[id_padre]],Tabla_Contabilidad[Id],Tabla_Contabilidad[Nivel],0,0,1)+1)</f>
        <v>2</v>
      </c>
      <c r="D33" s="2" t="s">
        <v>48</v>
      </c>
      <c r="E33" s="2">
        <f>IF(Tabla_Contabilidad[[#This Row],[Id_anterior]]=1,ROW()-1,SUM(ROW()-1,Tabla_Contabilidad[[#This Row],[Id_anterior]]))</f>
        <v>32</v>
      </c>
      <c r="F3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CONTABILIDAD_PARAMETROS_UNIDAD_FOMENTO</v>
      </c>
      <c r="G33" s="9" t="str">
        <f>CLEAN(PROPER(Tabla_Contabilidad[[#This Row],[Nombre Opción]]))</f>
        <v>Unidad De Fomento</v>
      </c>
      <c r="H33" s="9" t="s">
        <v>1735</v>
      </c>
      <c r="I33" s="9" t="str">
        <f>_xlfn.XLOOKUP(Tabla_Contabilidad[[#This Row],[id_padre]],Tabla_Contabilidad[Id],Tabla_Contabilidad[Codigo_Tecnico],"",0,1)</f>
        <v>CONTABILIDAD_PARAMETROS</v>
      </c>
      <c r="J3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/contabilidad/parametros/unidad-fomento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unidad-fomento</v>
      </c>
      <c r="L33" s="2" t="s">
        <v>1413</v>
      </c>
      <c r="M33" s="4" t="s">
        <v>1798</v>
      </c>
      <c r="N33" s="4"/>
      <c r="O33" s="4"/>
      <c r="Q33" s="4" t="s">
        <v>360</v>
      </c>
      <c r="W33" s="4" t="s">
        <v>360</v>
      </c>
      <c r="AB33" s="4" t="s">
        <v>360</v>
      </c>
      <c r="AC33" s="2" t="str">
        <f>IF(OR(Tabla_Contabilidad[[#This Row],[ROL_JEFE_CONT_CONTA]]="*",Tabla_Contabilidad[[#This Row],[ROL_JEFE_CONT_CONTA_HOSP]]="*"),"*","")</f>
        <v/>
      </c>
    </row>
    <row r="34" spans="1:29" hidden="1" x14ac:dyDescent="0.5">
      <c r="A34" s="2">
        <v>1</v>
      </c>
      <c r="B34" s="2">
        <v>2</v>
      </c>
      <c r="C34" s="2">
        <f>IF(Tabla_Contabilidad[[#This Row],[id_padre]]="",0,_xlfn.XLOOKUP(Tabla_Contabilidad[[#This Row],[id_padre]],Tabla_Contabilidad[Id],Tabla_Contabilidad[Nivel],0,0,1)+1)</f>
        <v>2</v>
      </c>
      <c r="D34" s="2" t="s">
        <v>49</v>
      </c>
      <c r="E34" s="2">
        <f>IF(Tabla_Contabilidad[[#This Row],[Id_anterior]]=1,ROW()-1,SUM(ROW()-1,Tabla_Contabilidad[[#This Row],[Id_anterior]]))</f>
        <v>33</v>
      </c>
      <c r="F3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CONTABILIDAD_PARAMETROS_INDICE_PRECIO_AL_CONSUMIDOR</v>
      </c>
      <c r="G34" s="9" t="str">
        <f>CLEAN(PROPER(Tabla_Contabilidad[[#This Row],[Nombre Opción]]))</f>
        <v>Indice Precio Al Consumidor</v>
      </c>
      <c r="H34" s="9" t="s">
        <v>1735</v>
      </c>
      <c r="I34" s="9" t="str">
        <f>_xlfn.XLOOKUP(Tabla_Contabilidad[[#This Row],[id_padre]],Tabla_Contabilidad[Id],Tabla_Contabilidad[Codigo_Tecnico],"",0,1)</f>
        <v>CONTABILIDAD_PARAMETROS</v>
      </c>
      <c r="J3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/contabilidad/parametros/indice-precio-al-consumidor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indice-precio-al-consumidor</v>
      </c>
      <c r="L34" s="2" t="s">
        <v>1414</v>
      </c>
      <c r="M34" s="4" t="s">
        <v>1798</v>
      </c>
      <c r="N34" s="4"/>
      <c r="O34" s="4"/>
      <c r="Q34" s="4" t="s">
        <v>360</v>
      </c>
      <c r="W34" s="4" t="s">
        <v>360</v>
      </c>
      <c r="AB34" s="4" t="s">
        <v>360</v>
      </c>
      <c r="AC34" s="2" t="str">
        <f>IF(OR(Tabla_Contabilidad[[#This Row],[ROL_JEFE_CONT_CONTA]]="*",Tabla_Contabilidad[[#This Row],[ROL_JEFE_CONT_CONTA_HOSP]]="*"),"*","")</f>
        <v/>
      </c>
    </row>
    <row r="35" spans="1:29" hidden="1" x14ac:dyDescent="0.5">
      <c r="A35" s="2">
        <v>1</v>
      </c>
      <c r="B35" s="2">
        <v>2</v>
      </c>
      <c r="C35" s="2">
        <f>IF(Tabla_Contabilidad[[#This Row],[id_padre]]="",0,_xlfn.XLOOKUP(Tabla_Contabilidad[[#This Row],[id_padre]],Tabla_Contabilidad[Id],Tabla_Contabilidad[Nivel],0,0,1)+1)</f>
        <v>2</v>
      </c>
      <c r="D35" s="2" t="s">
        <v>50</v>
      </c>
      <c r="E35" s="2">
        <f>IF(Tabla_Contabilidad[[#This Row],[Id_anterior]]=1,ROW()-1,SUM(ROW()-1,Tabla_Contabilidad[[#This Row],[Id_anterior]]))</f>
        <v>34</v>
      </c>
      <c r="F3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CONTABILIDAD_PARAMETROS_UNIDAD_TRIBUTARIA_MENSUAL</v>
      </c>
      <c r="G35" s="9" t="str">
        <f>CLEAN(PROPER(Tabla_Contabilidad[[#This Row],[Nombre Opción]]))</f>
        <v>Unidad Tributaria Mensual</v>
      </c>
      <c r="H35" s="9" t="s">
        <v>1735</v>
      </c>
      <c r="I35" s="9" t="str">
        <f>_xlfn.XLOOKUP(Tabla_Contabilidad[[#This Row],[id_padre]],Tabla_Contabilidad[Id],Tabla_Contabilidad[Codigo_Tecnico],"",0,1)</f>
        <v>CONTABILIDAD_PARAMETROS</v>
      </c>
      <c r="J3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/contabilidad/parametros/unidad-tributaria-mensual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unidad-tributaria-mensual</v>
      </c>
      <c r="L35" s="2" t="s">
        <v>1415</v>
      </c>
      <c r="M35" s="4" t="s">
        <v>1798</v>
      </c>
      <c r="N35" s="4"/>
      <c r="O35" s="4"/>
      <c r="Q35" s="4" t="s">
        <v>360</v>
      </c>
      <c r="W35" s="4" t="s">
        <v>360</v>
      </c>
      <c r="AB35" s="4" t="s">
        <v>360</v>
      </c>
      <c r="AC35" s="2" t="str">
        <f>IF(OR(Tabla_Contabilidad[[#This Row],[ROL_JEFE_CONT_CONTA]]="*",Tabla_Contabilidad[[#This Row],[ROL_JEFE_CONT_CONTA_HOSP]]="*"),"*","")</f>
        <v/>
      </c>
    </row>
    <row r="36" spans="1:29" x14ac:dyDescent="0.5">
      <c r="A36" s="2">
        <v>1</v>
      </c>
      <c r="B36" s="2">
        <v>2</v>
      </c>
      <c r="C36" s="2">
        <f>IF(Tabla_Contabilidad[[#This Row],[id_padre]]="",0,_xlfn.XLOOKUP(Tabla_Contabilidad[[#This Row],[id_padre]],Tabla_Contabilidad[Id],Tabla_Contabilidad[Nivel],0,0,1)+1)</f>
        <v>2</v>
      </c>
      <c r="D36" s="2" t="s">
        <v>51</v>
      </c>
      <c r="E36" s="2">
        <f>IF(Tabla_Contabilidad[[#This Row],[Id_anterior]]=1,ROW()-1,SUM(ROW()-1,Tabla_Contabilidad[[#This Row],[Id_anterior]]))</f>
        <v>35</v>
      </c>
      <c r="F3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CONTABILIDAD_PARAMETROS_MANTENIMIENTO_EVENTOS_CONTABLES</v>
      </c>
      <c r="G36" s="9" t="str">
        <f>CLEAN(PROPER(Tabla_Contabilidad[[#This Row],[Nombre Opción]]))</f>
        <v>Mantenimiento Eventos Contables</v>
      </c>
      <c r="H36" s="9" t="s">
        <v>1735</v>
      </c>
      <c r="I36" s="9" t="str">
        <f>_xlfn.XLOOKUP(Tabla_Contabilidad[[#This Row],[id_padre]],Tabla_Contabilidad[Id],Tabla_Contabilidad[Codigo_Tecnico],"",0,1)</f>
        <v>CONTABILIDAD_PARAMETROS</v>
      </c>
      <c r="J3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/contabilidad/parametros/mantenimiento-eventos-contables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mantenimiento-eventos-contables</v>
      </c>
      <c r="L36" s="2" t="s">
        <v>1416</v>
      </c>
      <c r="M36" s="4" t="s">
        <v>1798</v>
      </c>
      <c r="N36" s="4" t="s">
        <v>360</v>
      </c>
      <c r="O36" s="4"/>
      <c r="Q36" s="4" t="s">
        <v>360</v>
      </c>
      <c r="W36" s="4" t="s">
        <v>360</v>
      </c>
      <c r="Y36" s="4" t="s">
        <v>360</v>
      </c>
      <c r="Z36" s="4" t="s">
        <v>360</v>
      </c>
      <c r="AB36" s="4" t="s">
        <v>360</v>
      </c>
      <c r="AC36" s="2" t="str">
        <f>IF(OR(Tabla_Contabilidad[[#This Row],[ROL_JEFE_CONT_CONTA]]="*",Tabla_Contabilidad[[#This Row],[ROL_JEFE_CONT_CONTA_HOSP]]="*"),"*","")</f>
        <v>*</v>
      </c>
    </row>
    <row r="37" spans="1:29" x14ac:dyDescent="0.5">
      <c r="A37" s="2">
        <v>1</v>
      </c>
      <c r="B37" s="2">
        <v>2</v>
      </c>
      <c r="C37" s="2">
        <f>IF(Tabla_Contabilidad[[#This Row],[id_padre]]="",0,_xlfn.XLOOKUP(Tabla_Contabilidad[[#This Row],[id_padre]],Tabla_Contabilidad[Id],Tabla_Contabilidad[Nivel],0,0,1)+1)</f>
        <v>2</v>
      </c>
      <c r="D37" s="2" t="s">
        <v>52</v>
      </c>
      <c r="E37" s="2">
        <f>IF(Tabla_Contabilidad[[#This Row],[Id_anterior]]=1,ROW()-1,SUM(ROW()-1,Tabla_Contabilidad[[#This Row],[Id_anterior]]))</f>
        <v>36</v>
      </c>
      <c r="F3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CONTABILIDAD_PARAMETROS_TIPOS_IMPUESTOS</v>
      </c>
      <c r="G37" s="9" t="str">
        <f>CLEAN(PROPER(Tabla_Contabilidad[[#This Row],[Nombre Opción]]))</f>
        <v>Tipos De Impuestos</v>
      </c>
      <c r="H37" s="9" t="s">
        <v>1735</v>
      </c>
      <c r="I37" s="9" t="str">
        <f>_xlfn.XLOOKUP(Tabla_Contabilidad[[#This Row],[id_padre]],Tabla_Contabilidad[Id],Tabla_Contabilidad[Codigo_Tecnico],"",0,1)</f>
        <v>CONTABILIDAD_PARAMETROS</v>
      </c>
      <c r="J3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/contabilidad/parametros/tipos-impuestos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tipos-impuestos</v>
      </c>
      <c r="L37" s="2" t="s">
        <v>1349</v>
      </c>
      <c r="M37" s="4" t="s">
        <v>1798</v>
      </c>
      <c r="N37" s="4" t="s">
        <v>360</v>
      </c>
      <c r="O37" s="4"/>
      <c r="Q37" s="4" t="s">
        <v>360</v>
      </c>
      <c r="W37" s="4" t="s">
        <v>360</v>
      </c>
      <c r="Y37" s="4" t="s">
        <v>360</v>
      </c>
      <c r="Z37" s="4" t="s">
        <v>360</v>
      </c>
      <c r="AB37" s="4" t="s">
        <v>360</v>
      </c>
      <c r="AC37" s="2" t="str">
        <f>IF(OR(Tabla_Contabilidad[[#This Row],[ROL_JEFE_CONT_CONTA]]="*",Tabla_Contabilidad[[#This Row],[ROL_JEFE_CONT_CONTA_HOSP]]="*"),"*","")</f>
        <v>*</v>
      </c>
    </row>
    <row r="38" spans="1:29" x14ac:dyDescent="0.5">
      <c r="A38" s="2">
        <v>1</v>
      </c>
      <c r="B38" s="2">
        <v>2</v>
      </c>
      <c r="C38" s="2">
        <f>IF(Tabla_Contabilidad[[#This Row],[id_padre]]="",0,_xlfn.XLOOKUP(Tabla_Contabilidad[[#This Row],[id_padre]],Tabla_Contabilidad[Id],Tabla_Contabilidad[Nivel],0,0,1)+1)</f>
        <v>2</v>
      </c>
      <c r="D38" s="2" t="s">
        <v>53</v>
      </c>
      <c r="E38" s="2">
        <f>IF(Tabla_Contabilidad[[#This Row],[Id_anterior]]=1,ROW()-1,SUM(ROW()-1,Tabla_Contabilidad[[#This Row],[Id_anterior]]))</f>
        <v>37</v>
      </c>
      <c r="F3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CONTABILIDAD_PARAMETROS_MONEDA</v>
      </c>
      <c r="G38" s="9" t="str">
        <f>CLEAN(PROPER(Tabla_Contabilidad[[#This Row],[Nombre Opción]]))</f>
        <v>Moneda</v>
      </c>
      <c r="H38" s="9" t="s">
        <v>1735</v>
      </c>
      <c r="I38" s="9" t="str">
        <f>_xlfn.XLOOKUP(Tabla_Contabilidad[[#This Row],[id_padre]],Tabla_Contabilidad[Id],Tabla_Contabilidad[Codigo_Tecnico],"",0,1)</f>
        <v>CONTABILIDAD_PARAMETROS</v>
      </c>
      <c r="J3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/contabilidad/parametros/moneda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moneda</v>
      </c>
      <c r="L38" s="2" t="s">
        <v>1417</v>
      </c>
      <c r="M38" s="4" t="s">
        <v>1798</v>
      </c>
      <c r="N38" s="4" t="s">
        <v>360</v>
      </c>
      <c r="O38" s="4"/>
      <c r="Q38" s="4" t="s">
        <v>360</v>
      </c>
      <c r="Y38" s="4" t="s">
        <v>360</v>
      </c>
      <c r="Z38" s="4" t="s">
        <v>360</v>
      </c>
      <c r="AB38" s="4" t="s">
        <v>360</v>
      </c>
      <c r="AC38" s="2" t="str">
        <f>IF(OR(Tabla_Contabilidad[[#This Row],[ROL_JEFE_CONT_CONTA]]="*",Tabla_Contabilidad[[#This Row],[ROL_JEFE_CONT_CONTA_HOSP]]="*"),"*","")</f>
        <v>*</v>
      </c>
    </row>
    <row r="39" spans="1:29" x14ac:dyDescent="0.5">
      <c r="A39" s="2">
        <v>1</v>
      </c>
      <c r="B39" s="2">
        <v>2</v>
      </c>
      <c r="C39" s="2">
        <f>IF(Tabla_Contabilidad[[#This Row],[id_padre]]="",0,_xlfn.XLOOKUP(Tabla_Contabilidad[[#This Row],[id_padre]],Tabla_Contabilidad[Id],Tabla_Contabilidad[Nivel],0,0,1)+1)</f>
        <v>2</v>
      </c>
      <c r="D39" s="2" t="s">
        <v>54</v>
      </c>
      <c r="E39" s="2">
        <f>IF(Tabla_Contabilidad[[#This Row],[Id_anterior]]=1,ROW()-1,SUM(ROW()-1,Tabla_Contabilidad[[#This Row],[Id_anterior]]))</f>
        <v>38</v>
      </c>
      <c r="F3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CONTABILIDAD_PARAMETROS_PLANTILLA_RESOUCION_PAGO_EXENTA</v>
      </c>
      <c r="G39" s="9" t="str">
        <f>CLEAN(PROPER(Tabla_Contabilidad[[#This Row],[Nombre Opción]]))</f>
        <v>Plantilla Resoución De Pago Exenta</v>
      </c>
      <c r="H39" s="9" t="s">
        <v>1735</v>
      </c>
      <c r="I39" s="9" t="str">
        <f>_xlfn.XLOOKUP(Tabla_Contabilidad[[#This Row],[id_padre]],Tabla_Contabilidad[Id],Tabla_Contabilidad[Codigo_Tecnico],"",0,1)</f>
        <v>CONTABILIDAD_PARAMETROS</v>
      </c>
      <c r="J3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/contabilidad/parametros/plantilla-resoucion-pago-exenta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plantilla-resoucion-pago-exenta</v>
      </c>
      <c r="L39" s="2" t="s">
        <v>1343</v>
      </c>
      <c r="M39" s="4" t="s">
        <v>1798</v>
      </c>
      <c r="N39" s="4" t="s">
        <v>360</v>
      </c>
      <c r="O39" s="4"/>
      <c r="Q39" s="4" t="s">
        <v>360</v>
      </c>
      <c r="R39" s="4" t="s">
        <v>360</v>
      </c>
      <c r="AB39" s="4" t="s">
        <v>360</v>
      </c>
      <c r="AC39" s="2" t="str">
        <f>IF(OR(Tabla_Contabilidad[[#This Row],[ROL_JEFE_CONT_CONTA]]="*",Tabla_Contabilidad[[#This Row],[ROL_JEFE_CONT_CONTA_HOSP]]="*"),"*","")</f>
        <v>*</v>
      </c>
    </row>
    <row r="40" spans="1:29" x14ac:dyDescent="0.5">
      <c r="A40" s="2">
        <v>1</v>
      </c>
      <c r="B40" s="2">
        <v>2</v>
      </c>
      <c r="C40" s="2">
        <f>IF(Tabla_Contabilidad[[#This Row],[id_padre]]="",0,_xlfn.XLOOKUP(Tabla_Contabilidad[[#This Row],[id_padre]],Tabla_Contabilidad[Id],Tabla_Contabilidad[Nivel],0,0,1)+1)</f>
        <v>2</v>
      </c>
      <c r="D40" s="2" t="s">
        <v>55</v>
      </c>
      <c r="E40" s="2">
        <f>IF(Tabla_Contabilidad[[#This Row],[Id_anterior]]=1,ROW()-1,SUM(ROW()-1,Tabla_Contabilidad[[#This Row],[Id_anterior]]))</f>
        <v>39</v>
      </c>
      <c r="F4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CONTABILIDAD_PARAMETROS_MANTENCION_PROVEEDORES</v>
      </c>
      <c r="G40" s="9" t="str">
        <f>CLEAN(PROPER(Tabla_Contabilidad[[#This Row],[Nombre Opción]]))</f>
        <v>Mantencion De Proveedores</v>
      </c>
      <c r="H40" s="9" t="s">
        <v>1735</v>
      </c>
      <c r="I40" s="9" t="str">
        <f>_xlfn.XLOOKUP(Tabla_Contabilidad[[#This Row],[id_padre]],Tabla_Contabilidad[Id],Tabla_Contabilidad[Codigo_Tecnico],"",0,1)</f>
        <v>CONTABILIDAD_PARAMETROS</v>
      </c>
      <c r="J4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/contabilidad/parametros/mantencion-proveedores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mantencion-proveedores</v>
      </c>
      <c r="L40" s="2" t="s">
        <v>1348</v>
      </c>
      <c r="M40" s="4" t="s">
        <v>1798</v>
      </c>
      <c r="N40" s="4" t="s">
        <v>360</v>
      </c>
      <c r="O40" s="4" t="s">
        <v>360</v>
      </c>
      <c r="Q40" s="4" t="s">
        <v>360</v>
      </c>
      <c r="T40" s="4" t="s">
        <v>360</v>
      </c>
      <c r="W40" s="4" t="s">
        <v>360</v>
      </c>
      <c r="Y40" s="4" t="s">
        <v>360</v>
      </c>
      <c r="Z40" s="4" t="s">
        <v>360</v>
      </c>
      <c r="AA40" s="4" t="s">
        <v>98</v>
      </c>
      <c r="AB40" s="4" t="s">
        <v>360</v>
      </c>
      <c r="AC40" s="2" t="str">
        <f>IF(OR(Tabla_Contabilidad[[#This Row],[ROL_JEFE_CONT_CONTA]]="*",Tabla_Contabilidad[[#This Row],[ROL_JEFE_CONT_CONTA_HOSP]]="*"),"*","")</f>
        <v>*</v>
      </c>
    </row>
    <row r="41" spans="1:29" x14ac:dyDescent="0.5">
      <c r="A41" s="2">
        <v>1</v>
      </c>
      <c r="B41" s="2">
        <v>2</v>
      </c>
      <c r="C41" s="2">
        <f>IF(Tabla_Contabilidad[[#This Row],[id_padre]]="",0,_xlfn.XLOOKUP(Tabla_Contabilidad[[#This Row],[id_padre]],Tabla_Contabilidad[Id],Tabla_Contabilidad[Nivel],0,0,1)+1)</f>
        <v>2</v>
      </c>
      <c r="D41" s="2" t="s">
        <v>56</v>
      </c>
      <c r="E41" s="2">
        <f>IF(Tabla_Contabilidad[[#This Row],[Id_anterior]]=1,ROW()-1,SUM(ROW()-1,Tabla_Contabilidad[[#This Row],[Id_anterior]]))</f>
        <v>40</v>
      </c>
      <c r="F4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CONTABILIDAD_PARAMETROS_MANTENCION_FINANCIADORES</v>
      </c>
      <c r="G41" s="9" t="str">
        <f>CLEAN(PROPER(Tabla_Contabilidad[[#This Row],[Nombre Opción]]))</f>
        <v>Mantencion De Financiadores</v>
      </c>
      <c r="H41" s="9" t="s">
        <v>1735</v>
      </c>
      <c r="I41" s="9" t="str">
        <f>_xlfn.XLOOKUP(Tabla_Contabilidad[[#This Row],[id_padre]],Tabla_Contabilidad[Id],Tabla_Contabilidad[Codigo_Tecnico],"",0,1)</f>
        <v>CONTABILIDAD_PARAMETROS</v>
      </c>
      <c r="J4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/contabilidad/parametros/mantencion-financiadores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mantencion-financiadores</v>
      </c>
      <c r="L41" s="2" t="s">
        <v>1371</v>
      </c>
      <c r="M41" s="4" t="s">
        <v>1798</v>
      </c>
      <c r="N41" s="4" t="s">
        <v>360</v>
      </c>
      <c r="O41" s="4" t="s">
        <v>360</v>
      </c>
      <c r="Q41" s="4" t="s">
        <v>360</v>
      </c>
      <c r="T41" s="4" t="s">
        <v>360</v>
      </c>
      <c r="Z41" s="4" t="s">
        <v>360</v>
      </c>
      <c r="AB41" s="4" t="s">
        <v>360</v>
      </c>
      <c r="AC41" s="2" t="str">
        <f>IF(OR(Tabla_Contabilidad[[#This Row],[ROL_JEFE_CONT_CONTA]]="*",Tabla_Contabilidad[[#This Row],[ROL_JEFE_CONT_CONTA_HOSP]]="*"),"*","")</f>
        <v>*</v>
      </c>
    </row>
    <row r="42" spans="1:29" hidden="1" x14ac:dyDescent="0.5">
      <c r="A42" s="2">
        <v>1</v>
      </c>
      <c r="B42" s="2">
        <v>2</v>
      </c>
      <c r="C42" s="2">
        <f>IF(Tabla_Contabilidad[[#This Row],[id_padre]]="",0,_xlfn.XLOOKUP(Tabla_Contabilidad[[#This Row],[id_padre]],Tabla_Contabilidad[Id],Tabla_Contabilidad[Nivel],0,0,1)+1)</f>
        <v>2</v>
      </c>
      <c r="D42" s="2" t="s">
        <v>57</v>
      </c>
      <c r="E42" s="2">
        <f>IF(Tabla_Contabilidad[[#This Row],[Id_anterior]]=1,ROW()-1,SUM(ROW()-1,Tabla_Contabilidad[[#This Row],[Id_anterior]]))</f>
        <v>41</v>
      </c>
      <c r="F4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CONTABILIDAD_PARAMETROS_IDENTIFICACION_LOS_MODULOS</v>
      </c>
      <c r="G42" s="9" t="str">
        <f>CLEAN(PROPER(Tabla_Contabilidad[[#This Row],[Nombre Opción]]))</f>
        <v>Identificacion De Los Módulos</v>
      </c>
      <c r="H42" s="9" t="s">
        <v>1735</v>
      </c>
      <c r="I42" s="9" t="str">
        <f>_xlfn.XLOOKUP(Tabla_Contabilidad[[#This Row],[id_padre]],Tabla_Contabilidad[Id],Tabla_Contabilidad[Codigo_Tecnico],"",0,1)</f>
        <v>CONTABILIDAD_PARAMETROS</v>
      </c>
      <c r="J4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/contabilidad/parametros/identificacion-los-modulos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identificacion-los-modulos</v>
      </c>
      <c r="L42" s="2" t="s">
        <v>1418</v>
      </c>
      <c r="M42" s="4" t="s">
        <v>1798</v>
      </c>
      <c r="N42" s="4"/>
      <c r="O42" s="4"/>
      <c r="Q42" s="4" t="s">
        <v>360</v>
      </c>
      <c r="AB42" s="4" t="s">
        <v>360</v>
      </c>
      <c r="AC42" s="2" t="str">
        <f>IF(OR(Tabla_Contabilidad[[#This Row],[ROL_JEFE_CONT_CONTA]]="*",Tabla_Contabilidad[[#This Row],[ROL_JEFE_CONT_CONTA_HOSP]]="*"),"*","")</f>
        <v/>
      </c>
    </row>
    <row r="43" spans="1:29" x14ac:dyDescent="0.5">
      <c r="A43" s="2">
        <v>1</v>
      </c>
      <c r="B43" s="2">
        <v>3</v>
      </c>
      <c r="C43" s="2">
        <f>IF(Tabla_Contabilidad[[#This Row],[id_padre]]="",0,_xlfn.XLOOKUP(Tabla_Contabilidad[[#This Row],[id_padre]],Tabla_Contabilidad[Id],Tabla_Contabilidad[Nivel],0,0,1)+1)</f>
        <v>2</v>
      </c>
      <c r="D43" s="2" t="s">
        <v>58</v>
      </c>
      <c r="E43" s="2">
        <f>IF(Tabla_Contabilidad[[#This Row],[Id_anterior]]=1,ROW()-1,SUM(ROW()-1,Tabla_Contabilidad[[#This Row],[Id_anterior]]))</f>
        <v>42</v>
      </c>
      <c r="F4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CONTABILIDAD_PROCESOS_ENTRADA_ASIENTOS_CONTABLES</v>
      </c>
      <c r="G43" s="9" t="str">
        <f>CLEAN(PROPER(Tabla_Contabilidad[[#This Row],[Nombre Opción]]))</f>
        <v>Entrada De Asientos Contables</v>
      </c>
      <c r="H43" s="9" t="s">
        <v>1735</v>
      </c>
      <c r="I43" s="9" t="str">
        <f>_xlfn.XLOOKUP(Tabla_Contabilidad[[#This Row],[id_padre]],Tabla_Contabilidad[Id],Tabla_Contabilidad[Codigo_Tecnico],"",0,1)</f>
        <v>CONTABILIDAD_PROCESOS</v>
      </c>
      <c r="J4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/contabilidad/procesos/entrada-asientos-contables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entrada-asientos-contables</v>
      </c>
      <c r="L43" s="2" t="s">
        <v>1419</v>
      </c>
      <c r="M43" s="4" t="s">
        <v>1798</v>
      </c>
      <c r="N43" s="4" t="s">
        <v>360</v>
      </c>
      <c r="O43" s="4" t="s">
        <v>360</v>
      </c>
      <c r="Q43" s="4" t="s">
        <v>360</v>
      </c>
      <c r="W43" s="4" t="s">
        <v>360</v>
      </c>
      <c r="Y43" s="4" t="s">
        <v>360</v>
      </c>
      <c r="AB43" s="4" t="s">
        <v>360</v>
      </c>
      <c r="AC43" s="2" t="str">
        <f>IF(OR(Tabla_Contabilidad[[#This Row],[ROL_JEFE_CONT_CONTA]]="*",Tabla_Contabilidad[[#This Row],[ROL_JEFE_CONT_CONTA_HOSP]]="*"),"*","")</f>
        <v>*</v>
      </c>
    </row>
    <row r="44" spans="1:29" x14ac:dyDescent="0.5">
      <c r="A44" s="2">
        <v>1</v>
      </c>
      <c r="B44" s="2">
        <v>3</v>
      </c>
      <c r="C44" s="2">
        <f>IF(Tabla_Contabilidad[[#This Row],[id_padre]]="",0,_xlfn.XLOOKUP(Tabla_Contabilidad[[#This Row],[id_padre]],Tabla_Contabilidad[Id],Tabla_Contabilidad[Nivel],0,0,1)+1)</f>
        <v>2</v>
      </c>
      <c r="D44" s="2" t="s">
        <v>59</v>
      </c>
      <c r="E44" s="2">
        <f>IF(Tabla_Contabilidad[[#This Row],[Id_anterior]]=1,ROW()-1,SUM(ROW()-1,Tabla_Contabilidad[[#This Row],[Id_anterior]]))</f>
        <v>43</v>
      </c>
      <c r="F4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CONTABILIDAD_PROCESOS_ACTUALIZACION_ASIENTOS_CONTABLES</v>
      </c>
      <c r="G44" s="9" t="str">
        <f>CLEAN(PROPER(Tabla_Contabilidad[[#This Row],[Nombre Opción]]))</f>
        <v>Actualización De Asientos Contables</v>
      </c>
      <c r="H44" s="9" t="s">
        <v>1735</v>
      </c>
      <c r="I44" s="9" t="str">
        <f>_xlfn.XLOOKUP(Tabla_Contabilidad[[#This Row],[id_padre]],Tabla_Contabilidad[Id],Tabla_Contabilidad[Codigo_Tecnico],"",0,1)</f>
        <v>CONTABILIDAD_PROCESOS</v>
      </c>
      <c r="J4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/contabilidad/procesos/actualizacion-asientos-contables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actualizacion-asientos-contables</v>
      </c>
      <c r="L44" s="2" t="s">
        <v>1420</v>
      </c>
      <c r="M44" s="4" t="s">
        <v>1798</v>
      </c>
      <c r="N44" s="4" t="s">
        <v>360</v>
      </c>
      <c r="O44" s="4"/>
      <c r="Q44" s="4" t="s">
        <v>360</v>
      </c>
      <c r="W44" s="4" t="s">
        <v>360</v>
      </c>
      <c r="Y44" s="4" t="s">
        <v>360</v>
      </c>
      <c r="AB44" s="4" t="s">
        <v>360</v>
      </c>
      <c r="AC44" s="2" t="str">
        <f>IF(OR(Tabla_Contabilidad[[#This Row],[ROL_JEFE_CONT_CONTA]]="*",Tabla_Contabilidad[[#This Row],[ROL_JEFE_CONT_CONTA_HOSP]]="*"),"*","")</f>
        <v>*</v>
      </c>
    </row>
    <row r="45" spans="1:29" x14ac:dyDescent="0.5">
      <c r="A45" s="2">
        <v>1</v>
      </c>
      <c r="B45" s="2">
        <v>3</v>
      </c>
      <c r="C45" s="2">
        <f>IF(Tabla_Contabilidad[[#This Row],[id_padre]]="",0,_xlfn.XLOOKUP(Tabla_Contabilidad[[#This Row],[id_padre]],Tabla_Contabilidad[Id],Tabla_Contabilidad[Nivel],0,0,1)+1)</f>
        <v>2</v>
      </c>
      <c r="D45" s="2" t="s">
        <v>60</v>
      </c>
      <c r="E45" s="2">
        <f>IF(Tabla_Contabilidad[[#This Row],[Id_anterior]]=1,ROW()-1,SUM(ROW()-1,Tabla_Contabilidad[[#This Row],[Id_anterior]]))</f>
        <v>44</v>
      </c>
      <c r="F4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CONTABILIDAD_PROCESOS_TRASPASA_ASIENTOS_EFECTIVOS_ILIAS</v>
      </c>
      <c r="G45" s="9" t="str">
        <f>CLEAN(PROPER(Tabla_Contabilidad[[#This Row],[Nombre Opción]]))</f>
        <v>Traspasa Asientos Efectivos Ilias</v>
      </c>
      <c r="H45" s="9" t="s">
        <v>1735</v>
      </c>
      <c r="I45" s="9" t="str">
        <f>_xlfn.XLOOKUP(Tabla_Contabilidad[[#This Row],[id_padre]],Tabla_Contabilidad[Id],Tabla_Contabilidad[Codigo_Tecnico],"",0,1)</f>
        <v>CONTABILIDAD_PROCESOS</v>
      </c>
      <c r="J4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/contabilidad/procesos/traspasa-asientos-efectivos-ilias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traspasa-asientos-efectivos-ilias</v>
      </c>
      <c r="L45" s="2" t="s">
        <v>1354</v>
      </c>
      <c r="M45" s="4" t="s">
        <v>1798</v>
      </c>
      <c r="N45" s="4" t="s">
        <v>360</v>
      </c>
      <c r="O45" s="4"/>
      <c r="Q45" s="4" t="s">
        <v>360</v>
      </c>
      <c r="W45" s="4" t="s">
        <v>360</v>
      </c>
      <c r="Y45" s="4" t="s">
        <v>360</v>
      </c>
      <c r="Z45" s="4" t="s">
        <v>360</v>
      </c>
      <c r="AB45" s="4" t="s">
        <v>360</v>
      </c>
      <c r="AC45" s="2" t="str">
        <f>IF(OR(Tabla_Contabilidad[[#This Row],[ROL_JEFE_CONT_CONTA]]="*",Tabla_Contabilidad[[#This Row],[ROL_JEFE_CONT_CONTA_HOSP]]="*"),"*","")</f>
        <v>*</v>
      </c>
    </row>
    <row r="46" spans="1:29" x14ac:dyDescent="0.5">
      <c r="A46" s="2">
        <v>1</v>
      </c>
      <c r="B46" s="2">
        <v>3</v>
      </c>
      <c r="C46" s="2">
        <f>IF(Tabla_Contabilidad[[#This Row],[id_padre]]="",0,_xlfn.XLOOKUP(Tabla_Contabilidad[[#This Row],[id_padre]],Tabla_Contabilidad[Id],Tabla_Contabilidad[Nivel],0,0,1)+1)</f>
        <v>2</v>
      </c>
      <c r="D46" s="2" t="s">
        <v>61</v>
      </c>
      <c r="E46" s="2">
        <f>IF(Tabla_Contabilidad[[#This Row],[Id_anterior]]=1,ROW()-1,SUM(ROW()-1,Tabla_Contabilidad[[#This Row],[Id_anterior]]))</f>
        <v>45</v>
      </c>
      <c r="F4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CONTABILIDAD_PROCESOS_ENTRADA_Y_MANTENIMIENTO_ANALITICOS</v>
      </c>
      <c r="G46" s="9" t="str">
        <f>CLEAN(PROPER(Tabla_Contabilidad[[#This Row],[Nombre Opción]]))</f>
        <v>Entrada Y Mantenimiento De Análiticos</v>
      </c>
      <c r="H46" s="9" t="s">
        <v>1735</v>
      </c>
      <c r="I46" s="9" t="str">
        <f>_xlfn.XLOOKUP(Tabla_Contabilidad[[#This Row],[id_padre]],Tabla_Contabilidad[Id],Tabla_Contabilidad[Codigo_Tecnico],"",0,1)</f>
        <v>CONTABILIDAD_PROCESOS</v>
      </c>
      <c r="J4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/contabilidad/procesos/entrada-y-mantenimiento-analiticos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entrada-y-mantenimiento-analiticos</v>
      </c>
      <c r="L46" s="2" t="s">
        <v>1421</v>
      </c>
      <c r="M46" s="4" t="s">
        <v>1798</v>
      </c>
      <c r="N46" s="4" t="s">
        <v>360</v>
      </c>
      <c r="O46" s="4"/>
      <c r="Q46" s="4"/>
      <c r="AB46" s="4" t="s">
        <v>360</v>
      </c>
      <c r="AC46" s="2" t="str">
        <f>IF(OR(Tabla_Contabilidad[[#This Row],[ROL_JEFE_CONT_CONTA]]="*",Tabla_Contabilidad[[#This Row],[ROL_JEFE_CONT_CONTA_HOSP]]="*"),"*","")</f>
        <v>*</v>
      </c>
    </row>
    <row r="47" spans="1:29" x14ac:dyDescent="0.5">
      <c r="A47" s="2">
        <v>1</v>
      </c>
      <c r="B47" s="2">
        <v>3</v>
      </c>
      <c r="C47" s="2">
        <f>IF(Tabla_Contabilidad[[#This Row],[id_padre]]="",0,_xlfn.XLOOKUP(Tabla_Contabilidad[[#This Row],[id_padre]],Tabla_Contabilidad[Id],Tabla_Contabilidad[Nivel],0,0,1)+1)</f>
        <v>2</v>
      </c>
      <c r="D47" s="2" t="s">
        <v>62</v>
      </c>
      <c r="E47" s="2">
        <f>IF(Tabla_Contabilidad[[#This Row],[Id_anterior]]=1,ROW()-1,SUM(ROW()-1,Tabla_Contabilidad[[#This Row],[Id_anterior]]))</f>
        <v>46</v>
      </c>
      <c r="F4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CONTABILIDAD_PROCESOS_FACTURACION_HOSPITAL</v>
      </c>
      <c r="G47" s="9" t="str">
        <f>CLEAN(PROPER(Tabla_Contabilidad[[#This Row],[Nombre Opción]]))</f>
        <v>Facturación Hospital</v>
      </c>
      <c r="H47" s="9" t="s">
        <v>1735</v>
      </c>
      <c r="I47" s="9" t="str">
        <f>_xlfn.XLOOKUP(Tabla_Contabilidad[[#This Row],[id_padre]],Tabla_Contabilidad[Id],Tabla_Contabilidad[Codigo_Tecnico],"",0,1)</f>
        <v>CONTABILIDAD_PROCESOS</v>
      </c>
      <c r="J4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/contabilidad/procesos/facturacion-hospital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facturacion-hospital</v>
      </c>
      <c r="L47" s="2" t="s">
        <v>1422</v>
      </c>
      <c r="M47" s="4" t="s">
        <v>1798</v>
      </c>
      <c r="N47" s="4" t="s">
        <v>360</v>
      </c>
      <c r="O47" s="4" t="s">
        <v>360</v>
      </c>
      <c r="Q47" s="4" t="s">
        <v>360</v>
      </c>
      <c r="T47" s="4" t="s">
        <v>360</v>
      </c>
      <c r="W47" s="4" t="s">
        <v>360</v>
      </c>
      <c r="Y47" s="4" t="s">
        <v>360</v>
      </c>
      <c r="AB47" s="4" t="s">
        <v>360</v>
      </c>
      <c r="AC47" s="2" t="str">
        <f>IF(OR(Tabla_Contabilidad[[#This Row],[ROL_JEFE_CONT_CONTA]]="*",Tabla_Contabilidad[[#This Row],[ROL_JEFE_CONT_CONTA_HOSP]]="*"),"*","")</f>
        <v>*</v>
      </c>
    </row>
    <row r="48" spans="1:29" x14ac:dyDescent="0.5">
      <c r="A48" s="2">
        <v>1</v>
      </c>
      <c r="B48" s="2">
        <v>46</v>
      </c>
      <c r="C48" s="2">
        <f>IF(Tabla_Contabilidad[[#This Row],[id_padre]]="",0,_xlfn.XLOOKUP(Tabla_Contabilidad[[#This Row],[id_padre]],Tabla_Contabilidad[Id],Tabla_Contabilidad[Nivel],0,0,1)+1)</f>
        <v>3</v>
      </c>
      <c r="D48" s="2" t="s">
        <v>69</v>
      </c>
      <c r="E48" s="2">
        <f>IF(Tabla_Contabilidad[[#This Row],[Id_anterior]]=1,ROW()-1,SUM(ROW()-1,Tabla_Contabilidad[[#This Row],[Id_anterior]]))</f>
        <v>47</v>
      </c>
      <c r="F4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CONTABILIDAD_PROCESOS_FACTURACION_HOSPITAL_VALIDA_ESCTRUCTURA_ARCHIVO_PLANO</v>
      </c>
      <c r="G48" s="9" t="str">
        <f>CLEAN(PROPER(Tabla_Contabilidad[[#This Row],[Nombre Opción]]))</f>
        <v>Valida Esctructura Archivo Plano</v>
      </c>
      <c r="H48" s="9" t="s">
        <v>1735</v>
      </c>
      <c r="I48" s="9" t="str">
        <f>_xlfn.XLOOKUP(Tabla_Contabilidad[[#This Row],[id_padre]],Tabla_Contabilidad[Id],Tabla_Contabilidad[Codigo_Tecnico],"",0,1)</f>
        <v>CONTABILIDAD_PROCESOS_FACTURACION_HOSPITAL</v>
      </c>
      <c r="J4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/contabilidad/procesos/facturacion-hospital/valida-esctructura-archivo-plano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valida-esctructura-archivo-plano</v>
      </c>
      <c r="L48" s="2" t="s">
        <v>1424</v>
      </c>
      <c r="M48" s="4" t="s">
        <v>1798</v>
      </c>
      <c r="N48" s="4" t="s">
        <v>360</v>
      </c>
      <c r="O48" s="4" t="s">
        <v>360</v>
      </c>
      <c r="Q48" s="4" t="s">
        <v>360</v>
      </c>
      <c r="T48" s="4" t="s">
        <v>360</v>
      </c>
      <c r="W48" s="4" t="s">
        <v>360</v>
      </c>
      <c r="Y48" s="4" t="s">
        <v>360</v>
      </c>
      <c r="AB48" s="4" t="s">
        <v>360</v>
      </c>
      <c r="AC48" s="2" t="str">
        <f>IF(OR(Tabla_Contabilidad[[#This Row],[ROL_JEFE_CONT_CONTA]]="*",Tabla_Contabilidad[[#This Row],[ROL_JEFE_CONT_CONTA_HOSP]]="*"),"*","")</f>
        <v>*</v>
      </c>
    </row>
    <row r="49" spans="1:29" x14ac:dyDescent="0.5">
      <c r="A49" s="2">
        <v>1</v>
      </c>
      <c r="B49" s="2">
        <v>46</v>
      </c>
      <c r="C49" s="2">
        <f>IF(Tabla_Contabilidad[[#This Row],[id_padre]]="",0,_xlfn.XLOOKUP(Tabla_Contabilidad[[#This Row],[id_padre]],Tabla_Contabilidad[Id],Tabla_Contabilidad[Nivel],0,0,1)+1)</f>
        <v>3</v>
      </c>
      <c r="D49" s="2" t="s">
        <v>70</v>
      </c>
      <c r="E49" s="2">
        <f>IF(Tabla_Contabilidad[[#This Row],[Id_anterior]]=1,ROW()-1,SUM(ROW()-1,Tabla_Contabilidad[[#This Row],[Id_anterior]]))</f>
        <v>48</v>
      </c>
      <c r="F4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CONTABILIDAD_PROCESOS_FACTURACION_HOSPITAL_PROCESA_ARCHIVO_PLANO</v>
      </c>
      <c r="G49" s="9" t="str">
        <f>CLEAN(PROPER(Tabla_Contabilidad[[#This Row],[Nombre Opción]]))</f>
        <v>Procesa Archivo Plano</v>
      </c>
      <c r="H49" s="9" t="s">
        <v>1735</v>
      </c>
      <c r="I49" s="9" t="str">
        <f>_xlfn.XLOOKUP(Tabla_Contabilidad[[#This Row],[id_padre]],Tabla_Contabilidad[Id],Tabla_Contabilidad[Codigo_Tecnico],"",0,1)</f>
        <v>CONTABILIDAD_PROCESOS_FACTURACION_HOSPITAL</v>
      </c>
      <c r="J4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/contabilidad/procesos/facturacion-hospital/procesa-archivo-plano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procesa-archivo-plano</v>
      </c>
      <c r="L49" s="2" t="s">
        <v>1425</v>
      </c>
      <c r="M49" s="4" t="s">
        <v>1798</v>
      </c>
      <c r="N49" s="4" t="s">
        <v>360</v>
      </c>
      <c r="O49" s="4" t="s">
        <v>360</v>
      </c>
      <c r="Q49" s="4" t="s">
        <v>360</v>
      </c>
      <c r="T49" s="4" t="s">
        <v>360</v>
      </c>
      <c r="W49" s="4" t="s">
        <v>360</v>
      </c>
      <c r="Y49" s="4" t="s">
        <v>360</v>
      </c>
      <c r="AB49" s="4" t="s">
        <v>360</v>
      </c>
      <c r="AC49" s="2" t="str">
        <f>IF(OR(Tabla_Contabilidad[[#This Row],[ROL_JEFE_CONT_CONTA]]="*",Tabla_Contabilidad[[#This Row],[ROL_JEFE_CONT_CONTA_HOSP]]="*"),"*","")</f>
        <v>*</v>
      </c>
    </row>
    <row r="50" spans="1:29" x14ac:dyDescent="0.5">
      <c r="A50" s="2">
        <v>1</v>
      </c>
      <c r="B50" s="2">
        <v>46</v>
      </c>
      <c r="C50" s="2">
        <f>IF(Tabla_Contabilidad[[#This Row],[id_padre]]="",0,_xlfn.XLOOKUP(Tabla_Contabilidad[[#This Row],[id_padre]],Tabla_Contabilidad[Id],Tabla_Contabilidad[Nivel],0,0,1)+1)</f>
        <v>3</v>
      </c>
      <c r="D50" s="2" t="s">
        <v>71</v>
      </c>
      <c r="E50" s="2">
        <f>IF(Tabla_Contabilidad[[#This Row],[Id_anterior]]=1,ROW()-1,SUM(ROW()-1,Tabla_Contabilidad[[#This Row],[Id_anterior]]))</f>
        <v>49</v>
      </c>
      <c r="F5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CONTABILIDAD_PROCESOS_FACTURACION_HOSPITAL_GENERA_ARCHIVO_PLANO_FACTURACION</v>
      </c>
      <c r="G50" s="9" t="str">
        <f>CLEAN(PROPER(Tabla_Contabilidad[[#This Row],[Nombre Opción]]))</f>
        <v>Genera Archivo Plano De Facturación</v>
      </c>
      <c r="H50" s="9" t="s">
        <v>1735</v>
      </c>
      <c r="I50" s="9" t="str">
        <f>_xlfn.XLOOKUP(Tabla_Contabilidad[[#This Row],[id_padre]],Tabla_Contabilidad[Id],Tabla_Contabilidad[Codigo_Tecnico],"",0,1)</f>
        <v>CONTABILIDAD_PROCESOS_FACTURACION_HOSPITAL</v>
      </c>
      <c r="J5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/contabilidad/procesos/facturacion-hospital/genera-archivo-plano-facturacion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genera-archivo-plano-facturacion</v>
      </c>
      <c r="L50" s="2" t="s">
        <v>1426</v>
      </c>
      <c r="M50" s="4" t="s">
        <v>1798</v>
      </c>
      <c r="N50" s="4" t="s">
        <v>360</v>
      </c>
      <c r="O50" s="4" t="s">
        <v>360</v>
      </c>
      <c r="Q50" s="4" t="s">
        <v>360</v>
      </c>
      <c r="T50" s="4" t="s">
        <v>360</v>
      </c>
      <c r="W50" s="4" t="s">
        <v>360</v>
      </c>
      <c r="Y50" s="4" t="s">
        <v>360</v>
      </c>
      <c r="AB50" s="4" t="s">
        <v>360</v>
      </c>
      <c r="AC50" s="2" t="str">
        <f>IF(OR(Tabla_Contabilidad[[#This Row],[ROL_JEFE_CONT_CONTA]]="*",Tabla_Contabilidad[[#This Row],[ROL_JEFE_CONT_CONTA_HOSP]]="*"),"*","")</f>
        <v>*</v>
      </c>
    </row>
    <row r="51" spans="1:29" x14ac:dyDescent="0.5">
      <c r="A51" s="2">
        <v>1</v>
      </c>
      <c r="B51" s="2">
        <v>3</v>
      </c>
      <c r="C51" s="2">
        <f>IF(Tabla_Contabilidad[[#This Row],[id_padre]]="",0,_xlfn.XLOOKUP(Tabla_Contabilidad[[#This Row],[id_padre]],Tabla_Contabilidad[Id],Tabla_Contabilidad[Nivel],0,0,1)+1)</f>
        <v>2</v>
      </c>
      <c r="D51" s="2" t="s">
        <v>63</v>
      </c>
      <c r="E51" s="2">
        <f>IF(Tabla_Contabilidad[[#This Row],[Id_anterior]]=1,ROW()-1,SUM(ROW()-1,Tabla_Contabilidad[[#This Row],[Id_anterior]]))</f>
        <v>50</v>
      </c>
      <c r="F5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</v>
      </c>
      <c r="G51" s="9" t="str">
        <f>CLEAN(PROPER(Tabla_Contabilidad[[#This Row],[Nombre Opción]]))</f>
        <v>Inversiones Y Colocaciones</v>
      </c>
      <c r="H51" s="9" t="s">
        <v>1735</v>
      </c>
      <c r="I51" s="9" t="str">
        <f>_xlfn.XLOOKUP(Tabla_Contabilidad[[#This Row],[id_padre]],Tabla_Contabilidad[Id],Tabla_Contabilidad[Codigo_Tecnico],"",0,1)</f>
        <v>CONTABILIDAD_PROCESOS</v>
      </c>
      <c r="J5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inversiones-y-colocaciones</v>
      </c>
      <c r="L51" s="2" t="s">
        <v>1427</v>
      </c>
      <c r="M51" s="4" t="s">
        <v>1798</v>
      </c>
      <c r="N51" s="4" t="s">
        <v>360</v>
      </c>
      <c r="O51" s="4" t="s">
        <v>360</v>
      </c>
      <c r="Q51" s="4" t="s">
        <v>360</v>
      </c>
      <c r="R51" s="4" t="s">
        <v>360</v>
      </c>
      <c r="T51" s="4" t="s">
        <v>360</v>
      </c>
      <c r="W51" s="4" t="s">
        <v>360</v>
      </c>
      <c r="Y51" s="4" t="s">
        <v>360</v>
      </c>
      <c r="Z51" s="4" t="s">
        <v>360</v>
      </c>
      <c r="AB51" s="4" t="s">
        <v>360</v>
      </c>
      <c r="AC51" s="2" t="str">
        <f>IF(OR(Tabla_Contabilidad[[#This Row],[ROL_JEFE_CONT_CONTA]]="*",Tabla_Contabilidad[[#This Row],[ROL_JEFE_CONT_CONTA_HOSP]]="*"),"*","")</f>
        <v>*</v>
      </c>
    </row>
    <row r="52" spans="1:29" x14ac:dyDescent="0.5">
      <c r="A52" s="2">
        <v>1</v>
      </c>
      <c r="B52" s="2">
        <v>50</v>
      </c>
      <c r="C52" s="2">
        <f>IF(Tabla_Contabilidad[[#This Row],[id_padre]]="",0,_xlfn.XLOOKUP(Tabla_Contabilidad[[#This Row],[id_padre]],Tabla_Contabilidad[Id],Tabla_Contabilidad[Nivel],0,0,1)+1)</f>
        <v>3</v>
      </c>
      <c r="D52" s="2" t="s">
        <v>72</v>
      </c>
      <c r="E52" s="2">
        <f>IF(Tabla_Contabilidad[[#This Row],[Id_anterior]]=1,ROW()-1,SUM(ROW()-1,Tabla_Contabilidad[[#This Row],[Id_anterior]]))</f>
        <v>51</v>
      </c>
      <c r="F5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CONTABILIDAD_PROCESOS_INVERSIONES_Y_COLOCACIONES_TOMA_COLOCACION</v>
      </c>
      <c r="G52" s="9" t="str">
        <f>CLEAN(PROPER(Tabla_Contabilidad[[#This Row],[Nombre Opción]]))</f>
        <v>Toma De Colocacion</v>
      </c>
      <c r="H52" s="9" t="s">
        <v>1735</v>
      </c>
      <c r="I52" s="9" t="str">
        <f>_xlfn.XLOOKUP(Tabla_Contabilidad[[#This Row],[id_padre]],Tabla_Contabilidad[Id],Tabla_Contabilidad[Codigo_Tecnico],"",0,1)</f>
        <v>CONTABILIDAD_PROCESOS_INVERSIONES_Y_COLOCACIONES</v>
      </c>
      <c r="J5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/contabilidad/procesos/inversiones-y-colocaciones/toma-colocacion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toma-colocacion</v>
      </c>
      <c r="L52" s="2" t="s">
        <v>1428</v>
      </c>
      <c r="M52" s="4" t="s">
        <v>1798</v>
      </c>
      <c r="N52" s="4" t="s">
        <v>360</v>
      </c>
      <c r="O52" s="4" t="s">
        <v>360</v>
      </c>
      <c r="Q52" s="4" t="s">
        <v>360</v>
      </c>
      <c r="R52" s="4" t="s">
        <v>360</v>
      </c>
      <c r="T52" s="4" t="s">
        <v>360</v>
      </c>
      <c r="W52" s="4" t="s">
        <v>360</v>
      </c>
      <c r="Y52" s="4" t="s">
        <v>360</v>
      </c>
      <c r="Z52" s="4" t="s">
        <v>360</v>
      </c>
      <c r="AB52" s="4" t="s">
        <v>360</v>
      </c>
      <c r="AC52" s="2" t="str">
        <f>IF(OR(Tabla_Contabilidad[[#This Row],[ROL_JEFE_CONT_CONTA]]="*",Tabla_Contabilidad[[#This Row],[ROL_JEFE_CONT_CONTA_HOSP]]="*"),"*","")</f>
        <v>*</v>
      </c>
    </row>
    <row r="53" spans="1:29" x14ac:dyDescent="0.5">
      <c r="A53" s="2">
        <v>1</v>
      </c>
      <c r="B53" s="2">
        <v>50</v>
      </c>
      <c r="C53" s="2">
        <f>IF(Tabla_Contabilidad[[#This Row],[id_padre]]="",0,_xlfn.XLOOKUP(Tabla_Contabilidad[[#This Row],[id_padre]],Tabla_Contabilidad[Id],Tabla_Contabilidad[Nivel],0,0,1)+1)</f>
        <v>3</v>
      </c>
      <c r="D53" s="2" t="s">
        <v>73</v>
      </c>
      <c r="E53" s="2">
        <f>IF(Tabla_Contabilidad[[#This Row],[Id_anterior]]=1,ROW()-1,SUM(ROW()-1,Tabla_Contabilidad[[#This Row],[Id_anterior]]))</f>
        <v>52</v>
      </c>
      <c r="F5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CONTABILIDAD_PROCESOS_INVERSIONES_Y_COLOCACIONES_CONFIRMA_BANCO</v>
      </c>
      <c r="G53" s="9" t="str">
        <f>CLEAN(PROPER(Tabla_Contabilidad[[#This Row],[Nombre Opción]]))</f>
        <v>Confirma Banco</v>
      </c>
      <c r="H53" s="9" t="s">
        <v>1735</v>
      </c>
      <c r="I53" s="9" t="str">
        <f>_xlfn.XLOOKUP(Tabla_Contabilidad[[#This Row],[id_padre]],Tabla_Contabilidad[Id],Tabla_Contabilidad[Codigo_Tecnico],"",0,1)</f>
        <v>CONTABILIDAD_PROCESOS_INVERSIONES_Y_COLOCACIONES</v>
      </c>
      <c r="J5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/contabilidad/procesos/inversiones-y-colocaciones/confirma-banco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confirma-banco</v>
      </c>
      <c r="L53" s="2" t="s">
        <v>1410</v>
      </c>
      <c r="M53" s="4" t="s">
        <v>1798</v>
      </c>
      <c r="N53" s="4" t="s">
        <v>360</v>
      </c>
      <c r="O53" s="4" t="s">
        <v>360</v>
      </c>
      <c r="Q53" s="4" t="s">
        <v>360</v>
      </c>
      <c r="R53" s="4" t="s">
        <v>360</v>
      </c>
      <c r="T53" s="4" t="s">
        <v>360</v>
      </c>
      <c r="W53" s="4" t="s">
        <v>360</v>
      </c>
      <c r="Y53" s="4" t="s">
        <v>360</v>
      </c>
      <c r="Z53" s="4" t="s">
        <v>360</v>
      </c>
      <c r="AB53" s="4" t="s">
        <v>360</v>
      </c>
      <c r="AC53" s="2" t="str">
        <f>IF(OR(Tabla_Contabilidad[[#This Row],[ROL_JEFE_CONT_CONTA]]="*",Tabla_Contabilidad[[#This Row],[ROL_JEFE_CONT_CONTA_HOSP]]="*"),"*","")</f>
        <v>*</v>
      </c>
    </row>
    <row r="54" spans="1:29" x14ac:dyDescent="0.5">
      <c r="A54" s="2">
        <v>1</v>
      </c>
      <c r="B54" s="2">
        <v>50</v>
      </c>
      <c r="C54" s="2">
        <f>IF(Tabla_Contabilidad[[#This Row],[id_padre]]="",0,_xlfn.XLOOKUP(Tabla_Contabilidad[[#This Row],[id_padre]],Tabla_Contabilidad[Id],Tabla_Contabilidad[Nivel],0,0,1)+1)</f>
        <v>3</v>
      </c>
      <c r="D54" s="2" t="s">
        <v>74</v>
      </c>
      <c r="E54" s="2">
        <f>IF(Tabla_Contabilidad[[#This Row],[Id_anterior]]=1,ROW()-1,SUM(ROW()-1,Tabla_Contabilidad[[#This Row],[Id_anterior]]))</f>
        <v>53</v>
      </c>
      <c r="F5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CONTABILIDAD_PROCESOS_INVERSIONES_Y_COLOCACIONES_ANULA_COLOCACION</v>
      </c>
      <c r="G54" s="9" t="str">
        <f>CLEAN(PROPER(Tabla_Contabilidad[[#This Row],[Nombre Opción]]))</f>
        <v>Anula Colocacion</v>
      </c>
      <c r="H54" s="9" t="s">
        <v>1735</v>
      </c>
      <c r="I54" s="9" t="str">
        <f>_xlfn.XLOOKUP(Tabla_Contabilidad[[#This Row],[id_padre]],Tabla_Contabilidad[Id],Tabla_Contabilidad[Codigo_Tecnico],"",0,1)</f>
        <v>CONTABILIDAD_PROCESOS_INVERSIONES_Y_COLOCACIONES</v>
      </c>
      <c r="J5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/contabilidad/procesos/inversiones-y-colocaciones/anula-colocacion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anula-colocacion</v>
      </c>
      <c r="L54" s="2" t="s">
        <v>1390</v>
      </c>
      <c r="M54" s="4" t="s">
        <v>1798</v>
      </c>
      <c r="N54" s="4" t="s">
        <v>360</v>
      </c>
      <c r="O54" s="4" t="s">
        <v>360</v>
      </c>
      <c r="Q54" s="4" t="s">
        <v>360</v>
      </c>
      <c r="R54" s="4" t="s">
        <v>360</v>
      </c>
      <c r="T54" s="4" t="s">
        <v>360</v>
      </c>
      <c r="W54" s="4" t="s">
        <v>360</v>
      </c>
      <c r="Y54" s="4" t="s">
        <v>360</v>
      </c>
      <c r="Z54" s="4" t="s">
        <v>360</v>
      </c>
      <c r="AB54" s="4" t="s">
        <v>360</v>
      </c>
      <c r="AC54" s="2" t="str">
        <f>IF(OR(Tabla_Contabilidad[[#This Row],[ROL_JEFE_CONT_CONTA]]="*",Tabla_Contabilidad[[#This Row],[ROL_JEFE_CONT_CONTA_HOSP]]="*"),"*","")</f>
        <v>*</v>
      </c>
    </row>
    <row r="55" spans="1:29" x14ac:dyDescent="0.5">
      <c r="A55" s="2">
        <v>1</v>
      </c>
      <c r="B55" s="2">
        <v>50</v>
      </c>
      <c r="C55" s="2">
        <f>IF(Tabla_Contabilidad[[#This Row],[id_padre]]="",0,_xlfn.XLOOKUP(Tabla_Contabilidad[[#This Row],[id_padre]],Tabla_Contabilidad[Id],Tabla_Contabilidad[Nivel],0,0,1)+1)</f>
        <v>3</v>
      </c>
      <c r="D55" s="2" t="s">
        <v>75</v>
      </c>
      <c r="E55" s="2">
        <f>IF(Tabla_Contabilidad[[#This Row],[Id_anterior]]=1,ROW()-1,SUM(ROW()-1,Tabla_Contabilidad[[#This Row],[Id_anterior]]))</f>
        <v>54</v>
      </c>
      <c r="F5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CONTABILIDAD_PROCESOS_INVERSIONES_Y_COLOCACIONES_RESCATA_Y_LIQUIDA_COLOCACION</v>
      </c>
      <c r="G55" s="9" t="str">
        <f>CLEAN(PROPER(Tabla_Contabilidad[[#This Row],[Nombre Opción]]))</f>
        <v>Rescata Y Liquida Colocación</v>
      </c>
      <c r="H55" s="9" t="s">
        <v>1735</v>
      </c>
      <c r="I55" s="9" t="str">
        <f>_xlfn.XLOOKUP(Tabla_Contabilidad[[#This Row],[id_padre]],Tabla_Contabilidad[Id],Tabla_Contabilidad[Codigo_Tecnico],"",0,1)</f>
        <v>CONTABILIDAD_PROCESOS_INVERSIONES_Y_COLOCACIONES</v>
      </c>
      <c r="J5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/contabilidad/procesos/inversiones-y-colocaciones/rescata-y-liquida-colocacion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rescata-y-liquida-colocacion</v>
      </c>
      <c r="L55" s="2" t="s">
        <v>1374</v>
      </c>
      <c r="M55" s="4" t="s">
        <v>1798</v>
      </c>
      <c r="N55" s="4" t="s">
        <v>360</v>
      </c>
      <c r="O55" s="4" t="s">
        <v>360</v>
      </c>
      <c r="Q55" s="4" t="s">
        <v>360</v>
      </c>
      <c r="R55" s="4" t="s">
        <v>360</v>
      </c>
      <c r="T55" s="4" t="s">
        <v>360</v>
      </c>
      <c r="W55" s="4" t="s">
        <v>360</v>
      </c>
      <c r="Y55" s="4" t="s">
        <v>360</v>
      </c>
      <c r="Z55" s="4" t="s">
        <v>360</v>
      </c>
      <c r="AB55" s="4" t="s">
        <v>360</v>
      </c>
      <c r="AC55" s="2" t="str">
        <f>IF(OR(Tabla_Contabilidad[[#This Row],[ROL_JEFE_CONT_CONTA]]="*",Tabla_Contabilidad[[#This Row],[ROL_JEFE_CONT_CONTA_HOSP]]="*"),"*","")</f>
        <v>*</v>
      </c>
    </row>
    <row r="56" spans="1:29" x14ac:dyDescent="0.5">
      <c r="A56" s="2">
        <v>1</v>
      </c>
      <c r="B56" s="2">
        <v>50</v>
      </c>
      <c r="C56" s="2">
        <f>IF(Tabla_Contabilidad[[#This Row],[id_padre]]="",0,_xlfn.XLOOKUP(Tabla_Contabilidad[[#This Row],[id_padre]],Tabla_Contabilidad[Id],Tabla_Contabilidad[Nivel],0,0,1)+1)</f>
        <v>3</v>
      </c>
      <c r="D56" s="2" t="s">
        <v>76</v>
      </c>
      <c r="E56" s="2">
        <f>IF(Tabla_Contabilidad[[#This Row],[Id_anterior]]=1,ROW()-1,SUM(ROW()-1,Tabla_Contabilidad[[#This Row],[Id_anterior]]))</f>
        <v>55</v>
      </c>
      <c r="F5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CONTABILIDAD_PROCESOS_INVERSIONES_Y_COLOCACIONES_RESCATA_INTERESES_Y_RENUEVA_COLOCACION</v>
      </c>
      <c r="G56" s="9" t="str">
        <f>CLEAN(PROPER(Tabla_Contabilidad[[#This Row],[Nombre Opción]]))</f>
        <v>Rescata Intereses Y Renueva Colocación</v>
      </c>
      <c r="H56" s="9" t="s">
        <v>1735</v>
      </c>
      <c r="I56" s="9" t="str">
        <f>_xlfn.XLOOKUP(Tabla_Contabilidad[[#This Row],[id_padre]],Tabla_Contabilidad[Id],Tabla_Contabilidad[Codigo_Tecnico],"",0,1)</f>
        <v>CONTABILIDAD_PROCESOS_INVERSIONES_Y_COLOCACIONES</v>
      </c>
      <c r="J5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/contabilidad/procesos/inversiones-y-colocaciones/rescata-intereses-y-renueva-colocacion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rescata-intereses-y-renueva-colocacion</v>
      </c>
      <c r="L56" s="2" t="s">
        <v>1429</v>
      </c>
      <c r="M56" s="4" t="s">
        <v>1798</v>
      </c>
      <c r="N56" s="4" t="s">
        <v>360</v>
      </c>
      <c r="O56" s="4" t="s">
        <v>360</v>
      </c>
      <c r="Q56" s="4" t="s">
        <v>360</v>
      </c>
      <c r="R56" s="4" t="s">
        <v>360</v>
      </c>
      <c r="T56" s="4" t="s">
        <v>360</v>
      </c>
      <c r="W56" s="4" t="s">
        <v>360</v>
      </c>
      <c r="Y56" s="4" t="s">
        <v>360</v>
      </c>
      <c r="Z56" s="4" t="s">
        <v>360</v>
      </c>
      <c r="AB56" s="4" t="s">
        <v>360</v>
      </c>
      <c r="AC56" s="2" t="str">
        <f>IF(OR(Tabla_Contabilidad[[#This Row],[ROL_JEFE_CONT_CONTA]]="*",Tabla_Contabilidad[[#This Row],[ROL_JEFE_CONT_CONTA_HOSP]]="*"),"*","")</f>
        <v>*</v>
      </c>
    </row>
    <row r="57" spans="1:29" x14ac:dyDescent="0.5">
      <c r="A57" s="2">
        <v>1</v>
      </c>
      <c r="B57" s="2">
        <v>50</v>
      </c>
      <c r="C57" s="2">
        <f>IF(Tabla_Contabilidad[[#This Row],[id_padre]]="",0,_xlfn.XLOOKUP(Tabla_Contabilidad[[#This Row],[id_padre]],Tabla_Contabilidad[Id],Tabla_Contabilidad[Nivel],0,0,1)+1)</f>
        <v>3</v>
      </c>
      <c r="D57" s="2" t="s">
        <v>77</v>
      </c>
      <c r="E57" s="2">
        <f>IF(Tabla_Contabilidad[[#This Row],[Id_anterior]]=1,ROW()-1,SUM(ROW()-1,Tabla_Contabilidad[[#This Row],[Id_anterior]]))</f>
        <v>56</v>
      </c>
      <c r="F5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CONTABILIDAD_PROCESOS_INVERSIONES_Y_COLOCACIONES_RENUEVA_COLOCACIONES_CON_INTERESES</v>
      </c>
      <c r="G57" s="9" t="str">
        <f>CLEAN(PROPER(Tabla_Contabilidad[[#This Row],[Nombre Opción]]))</f>
        <v>Renueva Colocaciones Con Intereses</v>
      </c>
      <c r="H57" s="9" t="s">
        <v>1735</v>
      </c>
      <c r="I57" s="9" t="str">
        <f>_xlfn.XLOOKUP(Tabla_Contabilidad[[#This Row],[id_padre]],Tabla_Contabilidad[Id],Tabla_Contabilidad[Codigo_Tecnico],"",0,1)</f>
        <v>CONTABILIDAD_PROCESOS_INVERSIONES_Y_COLOCACIONES</v>
      </c>
      <c r="J5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/contabilidad/procesos/inversiones-y-colocaciones/renueva-colocaciones-con-intereses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renueva-colocaciones-con-intereses</v>
      </c>
      <c r="L57" s="2" t="s">
        <v>1430</v>
      </c>
      <c r="M57" s="4" t="s">
        <v>1798</v>
      </c>
      <c r="N57" s="4" t="s">
        <v>360</v>
      </c>
      <c r="O57" s="4" t="s">
        <v>360</v>
      </c>
      <c r="Q57" s="4" t="s">
        <v>360</v>
      </c>
      <c r="R57" s="4" t="s">
        <v>360</v>
      </c>
      <c r="T57" s="4" t="s">
        <v>360</v>
      </c>
      <c r="W57" s="4" t="s">
        <v>360</v>
      </c>
      <c r="Y57" s="4" t="s">
        <v>360</v>
      </c>
      <c r="Z57" s="4" t="s">
        <v>360</v>
      </c>
      <c r="AB57" s="4" t="s">
        <v>360</v>
      </c>
      <c r="AC57" s="2" t="str">
        <f>IF(OR(Tabla_Contabilidad[[#This Row],[ROL_JEFE_CONT_CONTA]]="*",Tabla_Contabilidad[[#This Row],[ROL_JEFE_CONT_CONTA_HOSP]]="*"),"*","")</f>
        <v>*</v>
      </c>
    </row>
    <row r="58" spans="1:29" x14ac:dyDescent="0.5">
      <c r="A58" s="2">
        <v>1</v>
      </c>
      <c r="B58" s="2">
        <v>50</v>
      </c>
      <c r="C58" s="2">
        <f>IF(Tabla_Contabilidad[[#This Row],[id_padre]]="",0,_xlfn.XLOOKUP(Tabla_Contabilidad[[#This Row],[id_padre]],Tabla_Contabilidad[Id],Tabla_Contabilidad[Nivel],0,0,1)+1)</f>
        <v>3</v>
      </c>
      <c r="D58" s="2" t="s">
        <v>78</v>
      </c>
      <c r="E58" s="2">
        <f>IF(Tabla_Contabilidad[[#This Row],[Id_anterior]]=1,ROW()-1,SUM(ROW()-1,Tabla_Contabilidad[[#This Row],[Id_anterior]]))</f>
        <v>57</v>
      </c>
      <c r="F5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CONTABILIDAD_PROCESOS_INVERSIONES_Y_COLOCACIONES_RESCATA_PARCIAL_CON_DEPOSITO</v>
      </c>
      <c r="G58" s="9" t="str">
        <f>CLEAN(PROPER(Tabla_Contabilidad[[#This Row],[Nombre Opción]]))</f>
        <v>Rescata Parcial Con Deposito</v>
      </c>
      <c r="H58" s="9" t="s">
        <v>1735</v>
      </c>
      <c r="I58" s="9" t="str">
        <f>_xlfn.XLOOKUP(Tabla_Contabilidad[[#This Row],[id_padre]],Tabla_Contabilidad[Id],Tabla_Contabilidad[Codigo_Tecnico],"",0,1)</f>
        <v>CONTABILIDAD_PROCESOS_INVERSIONES_Y_COLOCACIONES</v>
      </c>
      <c r="J5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/contabilidad/procesos/inversiones-y-colocaciones/rescata-parcial-con-deposito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rescata-parcial-con-deposito</v>
      </c>
      <c r="L58" s="2" t="s">
        <v>1371</v>
      </c>
      <c r="M58" s="4" t="s">
        <v>1798</v>
      </c>
      <c r="N58" s="4" t="s">
        <v>360</v>
      </c>
      <c r="O58" s="4" t="s">
        <v>360</v>
      </c>
      <c r="Q58" s="4" t="s">
        <v>360</v>
      </c>
      <c r="R58" s="4" t="s">
        <v>360</v>
      </c>
      <c r="T58" s="4" t="s">
        <v>360</v>
      </c>
      <c r="W58" s="4" t="s">
        <v>360</v>
      </c>
      <c r="Y58" s="4" t="s">
        <v>360</v>
      </c>
      <c r="Z58" s="4" t="s">
        <v>360</v>
      </c>
      <c r="AB58" s="4" t="s">
        <v>360</v>
      </c>
      <c r="AC58" s="2" t="str">
        <f>IF(OR(Tabla_Contabilidad[[#This Row],[ROL_JEFE_CONT_CONTA]]="*",Tabla_Contabilidad[[#This Row],[ROL_JEFE_CONT_CONTA_HOSP]]="*"),"*","")</f>
        <v>*</v>
      </c>
    </row>
    <row r="59" spans="1:29" x14ac:dyDescent="0.5">
      <c r="A59" s="2">
        <v>1</v>
      </c>
      <c r="B59" s="2">
        <v>50</v>
      </c>
      <c r="C59" s="2">
        <f>IF(Tabla_Contabilidad[[#This Row],[id_padre]]="",0,_xlfn.XLOOKUP(Tabla_Contabilidad[[#This Row],[id_padre]],Tabla_Contabilidad[Id],Tabla_Contabilidad[Nivel],0,0,1)+1)</f>
        <v>3</v>
      </c>
      <c r="D59" s="2" t="s">
        <v>79</v>
      </c>
      <c r="E59" s="2">
        <f>IF(Tabla_Contabilidad[[#This Row],[Id_anterior]]=1,ROW()-1,SUM(ROW()-1,Tabla_Contabilidad[[#This Row],[Id_anterior]]))</f>
        <v>58</v>
      </c>
      <c r="F5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CONTABILIDAD_PROCESOS_INVERSIONES_Y_COLOCACIONES_RESCATA_PARCIAL_PARA_PAGO</v>
      </c>
      <c r="G59" s="9" t="str">
        <f>CLEAN(PROPER(Tabla_Contabilidad[[#This Row],[Nombre Opción]]))</f>
        <v>Rescata Parcial Para Pago</v>
      </c>
      <c r="H59" s="9" t="s">
        <v>1735</v>
      </c>
      <c r="I59" s="9" t="str">
        <f>_xlfn.XLOOKUP(Tabla_Contabilidad[[#This Row],[id_padre]],Tabla_Contabilidad[Id],Tabla_Contabilidad[Codigo_Tecnico],"",0,1)</f>
        <v>CONTABILIDAD_PROCESOS_INVERSIONES_Y_COLOCACIONES</v>
      </c>
      <c r="J5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/contabilidad/procesos/inversiones-y-colocaciones/rescata-parcial-para-pago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rescata-parcial-para-pago</v>
      </c>
      <c r="L59" s="2" t="s">
        <v>1353</v>
      </c>
      <c r="M59" s="4" t="s">
        <v>1798</v>
      </c>
      <c r="N59" s="4" t="s">
        <v>360</v>
      </c>
      <c r="O59" s="4"/>
      <c r="Q59" s="4" t="s">
        <v>360</v>
      </c>
      <c r="W59" s="4" t="s">
        <v>360</v>
      </c>
      <c r="Z59" s="4" t="s">
        <v>360</v>
      </c>
      <c r="AB59" s="4" t="s">
        <v>360</v>
      </c>
      <c r="AC59" s="2" t="str">
        <f>IF(OR(Tabla_Contabilidad[[#This Row],[ROL_JEFE_CONT_CONTA]]="*",Tabla_Contabilidad[[#This Row],[ROL_JEFE_CONT_CONTA_HOSP]]="*"),"*","")</f>
        <v>*</v>
      </c>
    </row>
    <row r="60" spans="1:29" x14ac:dyDescent="0.5">
      <c r="A60" s="2">
        <v>1</v>
      </c>
      <c r="B60" s="2">
        <v>4</v>
      </c>
      <c r="C60" s="2">
        <f>IF(Tabla_Contabilidad[[#This Row],[id_padre]]="",0,_xlfn.XLOOKUP(Tabla_Contabilidad[[#This Row],[id_padre]],Tabla_Contabilidad[Id],Tabla_Contabilidad[Nivel],0,0,1)+1)</f>
        <v>2</v>
      </c>
      <c r="D60" s="2" t="s">
        <v>65</v>
      </c>
      <c r="E60" s="2">
        <f>IF(Tabla_Contabilidad[[#This Row],[Id_anterior]]=1,ROW()-1,SUM(ROW()-1,Tabla_Contabilidad[[#This Row],[Id_anterior]]))</f>
        <v>59</v>
      </c>
      <c r="F6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CONTABILIDAD_CONSULTAS_CUADRATURA_SIGFE_POR_ENTIDAD</v>
      </c>
      <c r="G60" s="9" t="str">
        <f>CLEAN(PROPER(Tabla_Contabilidad[[#This Row],[Nombre Opción]]))</f>
        <v>Cuadratura Sigfe Por Entidad</v>
      </c>
      <c r="H60" s="9" t="s">
        <v>1735</v>
      </c>
      <c r="I60" s="9" t="str">
        <f>_xlfn.XLOOKUP(Tabla_Contabilidad[[#This Row],[id_padre]],Tabla_Contabilidad[Id],Tabla_Contabilidad[Codigo_Tecnico],"",0,1)</f>
        <v>CONTABILIDAD_CONSULTAS</v>
      </c>
      <c r="J6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/contabilidad/consultas/cuadratura-sigfe-por-entidad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cuadratura-sigfe-por-entidad</v>
      </c>
      <c r="L60" s="2" t="s">
        <v>1431</v>
      </c>
      <c r="M60" s="4" t="s">
        <v>1798</v>
      </c>
      <c r="N60" s="4" t="s">
        <v>360</v>
      </c>
      <c r="O60" s="4"/>
      <c r="Q60" s="4" t="s">
        <v>360</v>
      </c>
      <c r="W60" s="4" t="s">
        <v>360</v>
      </c>
      <c r="Y60" s="4" t="s">
        <v>360</v>
      </c>
      <c r="AB60" s="4" t="s">
        <v>360</v>
      </c>
      <c r="AC60" s="2" t="str">
        <f>IF(OR(Tabla_Contabilidad[[#This Row],[ROL_JEFE_CONT_CONTA]]="*",Tabla_Contabilidad[[#This Row],[ROL_JEFE_CONT_CONTA_HOSP]]="*"),"*","")</f>
        <v>*</v>
      </c>
    </row>
    <row r="61" spans="1:29" x14ac:dyDescent="0.5">
      <c r="A61" s="2">
        <v>1</v>
      </c>
      <c r="B61" s="2">
        <v>4</v>
      </c>
      <c r="C61" s="2">
        <f>IF(Tabla_Contabilidad[[#This Row],[id_padre]]="",0,_xlfn.XLOOKUP(Tabla_Contabilidad[[#This Row],[id_padre]],Tabla_Contabilidad[Id],Tabla_Contabilidad[Nivel],0,0,1)+1)</f>
        <v>2</v>
      </c>
      <c r="D61" s="2" t="s">
        <v>66</v>
      </c>
      <c r="E61" s="2">
        <f>IF(Tabla_Contabilidad[[#This Row],[Id_anterior]]=1,ROW()-1,SUM(ROW()-1,Tabla_Contabilidad[[#This Row],[Id_anterior]]))</f>
        <v>60</v>
      </c>
      <c r="F6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</v>
      </c>
      <c r="G61" s="9" t="str">
        <f>CLEAN(PROPER(Tabla_Contabilidad[[#This Row],[Nombre Opción]]))</f>
        <v>Por Unidad</v>
      </c>
      <c r="H61" s="9" t="s">
        <v>1735</v>
      </c>
      <c r="I61" s="9" t="str">
        <f>_xlfn.XLOOKUP(Tabla_Contabilidad[[#This Row],[id_padre]],Tabla_Contabilidad[Id],Tabla_Contabilidad[Codigo_Tecnico],"",0,1)</f>
        <v>CONTABILIDAD_CONSULTAS</v>
      </c>
      <c r="J6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</v>
      </c>
      <c r="L61" s="2" t="s">
        <v>1341</v>
      </c>
      <c r="M61" s="4" t="s">
        <v>1798</v>
      </c>
      <c r="N61" s="4" t="s">
        <v>360</v>
      </c>
      <c r="O61" s="4" t="s">
        <v>360</v>
      </c>
      <c r="P61" s="4" t="s">
        <v>360</v>
      </c>
      <c r="Q61" s="4" t="s">
        <v>360</v>
      </c>
      <c r="R61" s="4" t="s">
        <v>360</v>
      </c>
      <c r="S61" s="4" t="s">
        <v>360</v>
      </c>
      <c r="T61" s="4" t="s">
        <v>360</v>
      </c>
      <c r="U61" s="4" t="s">
        <v>360</v>
      </c>
      <c r="W61" s="4" t="s">
        <v>360</v>
      </c>
      <c r="Y61" s="4" t="s">
        <v>360</v>
      </c>
      <c r="Z61" s="4" t="s">
        <v>360</v>
      </c>
      <c r="AB61" s="4" t="s">
        <v>360</v>
      </c>
      <c r="AC61" s="2" t="str">
        <f>IF(OR(Tabla_Contabilidad[[#This Row],[ROL_JEFE_CONT_CONTA]]="*",Tabla_Contabilidad[[#This Row],[ROL_JEFE_CONT_CONTA_HOSP]]="*"),"*","")</f>
        <v>*</v>
      </c>
    </row>
    <row r="62" spans="1:29" x14ac:dyDescent="0.5">
      <c r="A62" s="2">
        <v>1</v>
      </c>
      <c r="B62" s="2">
        <v>60</v>
      </c>
      <c r="C62" s="2">
        <f>IF(Tabla_Contabilidad[[#This Row],[id_padre]]="",0,_xlfn.XLOOKUP(Tabla_Contabilidad[[#This Row],[id_padre]],Tabla_Contabilidad[Id],Tabla_Contabilidad[Nivel],0,0,1)+1)</f>
        <v>3</v>
      </c>
      <c r="D62" s="2" t="s">
        <v>80</v>
      </c>
      <c r="E62" s="2">
        <f>IF(Tabla_Contabilidad[[#This Row],[Id_anterior]]=1,ROW()-1,SUM(ROW()-1,Tabla_Contabilidad[[#This Row],[Id_anterior]]))</f>
        <v>61</v>
      </c>
      <c r="F6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CONTABILIDAD_CONSULTAS_POR_UNIDAD_SALDO_INICIAL_CAJA</v>
      </c>
      <c r="G62" s="9" t="str">
        <f>CLEAN(PROPER(Tabla_Contabilidad[[#This Row],[Nombre Opción]]))</f>
        <v>Saldo Inicial De Caja</v>
      </c>
      <c r="H62" s="9" t="s">
        <v>1735</v>
      </c>
      <c r="I62" s="9" t="str">
        <f>_xlfn.XLOOKUP(Tabla_Contabilidad[[#This Row],[id_padre]],Tabla_Contabilidad[Id],Tabla_Contabilidad[Codigo_Tecnico],"",0,1)</f>
        <v>CONTABILIDAD_CONSULTAS_POR_UNIDAD</v>
      </c>
      <c r="J6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/contabilidad/consultas/por-unidad/saldo-inicial-caja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saldo-inicial-caja</v>
      </c>
      <c r="L62" s="2" t="s">
        <v>1395</v>
      </c>
      <c r="M62" s="4" t="s">
        <v>1798</v>
      </c>
      <c r="N62" s="4" t="s">
        <v>360</v>
      </c>
      <c r="O62" s="4" t="s">
        <v>360</v>
      </c>
      <c r="P62" s="4" t="s">
        <v>360</v>
      </c>
      <c r="Q62" s="4" t="s">
        <v>360</v>
      </c>
      <c r="R62" s="4" t="s">
        <v>360</v>
      </c>
      <c r="S62" s="4" t="s">
        <v>360</v>
      </c>
      <c r="T62" s="4" t="s">
        <v>360</v>
      </c>
      <c r="W62" s="4" t="s">
        <v>360</v>
      </c>
      <c r="Y62" s="4" t="s">
        <v>360</v>
      </c>
      <c r="Z62" s="4" t="s">
        <v>360</v>
      </c>
      <c r="AB62" s="4" t="s">
        <v>360</v>
      </c>
      <c r="AC62" s="2" t="str">
        <f>IF(OR(Tabla_Contabilidad[[#This Row],[ROL_JEFE_CONT_CONTA]]="*",Tabla_Contabilidad[[#This Row],[ROL_JEFE_CONT_CONTA_HOSP]]="*"),"*","")</f>
        <v>*</v>
      </c>
    </row>
    <row r="63" spans="1:29" x14ac:dyDescent="0.5">
      <c r="A63" s="2">
        <v>1</v>
      </c>
      <c r="B63" s="2">
        <v>60</v>
      </c>
      <c r="C63" s="2">
        <f>IF(Tabla_Contabilidad[[#This Row],[id_padre]]="",0,_xlfn.XLOOKUP(Tabla_Contabilidad[[#This Row],[id_padre]],Tabla_Contabilidad[Id],Tabla_Contabilidad[Nivel],0,0,1)+1)</f>
        <v>3</v>
      </c>
      <c r="D63" s="2" t="s">
        <v>81</v>
      </c>
      <c r="E63" s="2">
        <f>IF(Tabla_Contabilidad[[#This Row],[Id_anterior]]=1,ROW()-1,SUM(ROW()-1,Tabla_Contabilidad[[#This Row],[Id_anterior]]))</f>
        <v>62</v>
      </c>
      <c r="F6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CONTABILIDAD_CONSULTAS_POR_UNIDAD_CUADRARTURA_MOVIMIENTO_FONDOS</v>
      </c>
      <c r="G63" s="9" t="str">
        <f>CLEAN(PROPER(Tabla_Contabilidad[[#This Row],[Nombre Opción]]))</f>
        <v>Cuadrartura Movimiento De Fondos</v>
      </c>
      <c r="H63" s="9" t="s">
        <v>1735</v>
      </c>
      <c r="I63" s="9" t="str">
        <f>_xlfn.XLOOKUP(Tabla_Contabilidad[[#This Row],[id_padre]],Tabla_Contabilidad[Id],Tabla_Contabilidad[Codigo_Tecnico],"",0,1)</f>
        <v>CONTABILIDAD_CONSULTAS_POR_UNIDAD</v>
      </c>
      <c r="J6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/contabilidad/consultas/por-unidad/cuadrartura-movimiento-fondos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cuadrartura-movimiento-fondos</v>
      </c>
      <c r="L63" s="2" t="s">
        <v>1408</v>
      </c>
      <c r="M63" s="4" t="s">
        <v>1798</v>
      </c>
      <c r="N63" s="4" t="s">
        <v>360</v>
      </c>
      <c r="O63" s="4" t="s">
        <v>360</v>
      </c>
      <c r="P63" s="4" t="s">
        <v>360</v>
      </c>
      <c r="Q63" s="4" t="s">
        <v>360</v>
      </c>
      <c r="R63" s="4" t="s">
        <v>360</v>
      </c>
      <c r="S63" s="4" t="s">
        <v>360</v>
      </c>
      <c r="T63" s="4" t="s">
        <v>360</v>
      </c>
      <c r="W63" s="4" t="s">
        <v>360</v>
      </c>
      <c r="Y63" s="4" t="s">
        <v>360</v>
      </c>
      <c r="Z63" s="4" t="s">
        <v>360</v>
      </c>
      <c r="AB63" s="4" t="s">
        <v>360</v>
      </c>
      <c r="AC63" s="2" t="str">
        <f>IF(OR(Tabla_Contabilidad[[#This Row],[ROL_JEFE_CONT_CONTA]]="*",Tabla_Contabilidad[[#This Row],[ROL_JEFE_CONT_CONTA_HOSP]]="*"),"*","")</f>
        <v>*</v>
      </c>
    </row>
    <row r="64" spans="1:29" x14ac:dyDescent="0.5">
      <c r="A64" s="2">
        <v>1</v>
      </c>
      <c r="B64" s="2">
        <v>60</v>
      </c>
      <c r="C64" s="2">
        <f>IF(Tabla_Contabilidad[[#This Row],[id_padre]]="",0,_xlfn.XLOOKUP(Tabla_Contabilidad[[#This Row],[id_padre]],Tabla_Contabilidad[Id],Tabla_Contabilidad[Nivel],0,0,1)+1)</f>
        <v>3</v>
      </c>
      <c r="D64" s="2" t="s">
        <v>82</v>
      </c>
      <c r="E64" s="2">
        <f>IF(Tabla_Contabilidad[[#This Row],[Id_anterior]]=1,ROW()-1,SUM(ROW()-1,Tabla_Contabilidad[[#This Row],[Id_anterior]]))</f>
        <v>63</v>
      </c>
      <c r="F6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CONTABILIDAD_CONSULTAS_POR_UNIDAD_BALANCE_COMPROBACION_Y_SALDOS_MES</v>
      </c>
      <c r="G64" s="9" t="str">
        <f>CLEAN(PROPER(Tabla_Contabilidad[[#This Row],[Nombre Opción]]))</f>
        <v>Balance Comprobación Y Saldos Del Mes</v>
      </c>
      <c r="H64" s="9" t="s">
        <v>1735</v>
      </c>
      <c r="I64" s="9" t="str">
        <f>_xlfn.XLOOKUP(Tabla_Contabilidad[[#This Row],[id_padre]],Tabla_Contabilidad[Id],Tabla_Contabilidad[Codigo_Tecnico],"",0,1)</f>
        <v>CONTABILIDAD_CONSULTAS_POR_UNIDAD</v>
      </c>
      <c r="J6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/contabilidad/consultas/por-unidad/balance-comprobacion-y-saldos-mes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balance-comprobacion-y-saldos-mes</v>
      </c>
      <c r="L64" s="2" t="s">
        <v>1386</v>
      </c>
      <c r="M64" s="4" t="s">
        <v>1798</v>
      </c>
      <c r="N64" s="4" t="s">
        <v>360</v>
      </c>
      <c r="O64" s="4" t="s">
        <v>360</v>
      </c>
      <c r="P64" s="4" t="s">
        <v>360</v>
      </c>
      <c r="Q64" s="4" t="s">
        <v>360</v>
      </c>
      <c r="R64" s="4" t="s">
        <v>360</v>
      </c>
      <c r="S64" s="4" t="s">
        <v>360</v>
      </c>
      <c r="T64" s="4" t="s">
        <v>360</v>
      </c>
      <c r="W64" s="4" t="s">
        <v>360</v>
      </c>
      <c r="Y64" s="4" t="s">
        <v>360</v>
      </c>
      <c r="Z64" s="4" t="s">
        <v>360</v>
      </c>
      <c r="AB64" s="4" t="s">
        <v>360</v>
      </c>
      <c r="AC64" s="2" t="str">
        <f>IF(OR(Tabla_Contabilidad[[#This Row],[ROL_JEFE_CONT_CONTA]]="*",Tabla_Contabilidad[[#This Row],[ROL_JEFE_CONT_CONTA_HOSP]]="*"),"*","")</f>
        <v>*</v>
      </c>
    </row>
    <row r="65" spans="1:29" x14ac:dyDescent="0.5">
      <c r="A65" s="2">
        <v>1</v>
      </c>
      <c r="B65" s="2">
        <v>60</v>
      </c>
      <c r="C65" s="2">
        <f>IF(Tabla_Contabilidad[[#This Row],[id_padre]]="",0,_xlfn.XLOOKUP(Tabla_Contabilidad[[#This Row],[id_padre]],Tabla_Contabilidad[Id],Tabla_Contabilidad[Nivel],0,0,1)+1)</f>
        <v>3</v>
      </c>
      <c r="D65" s="2" t="s">
        <v>83</v>
      </c>
      <c r="E65" s="2">
        <f>IF(Tabla_Contabilidad[[#This Row],[Id_anterior]]=1,ROW()-1,SUM(ROW()-1,Tabla_Contabilidad[[#This Row],[Id_anterior]]))</f>
        <v>64</v>
      </c>
      <c r="F6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CONTABILIDAD_CONSULTAS_POR_UNIDAD_LIBRO_MAYOR_MES</v>
      </c>
      <c r="G65" s="9" t="str">
        <f>CLEAN(PROPER(Tabla_Contabilidad[[#This Row],[Nombre Opción]]))</f>
        <v>Libro Mayor Del Mes</v>
      </c>
      <c r="H65" s="9" t="s">
        <v>1735</v>
      </c>
      <c r="I65" s="9" t="str">
        <f>_xlfn.XLOOKUP(Tabla_Contabilidad[[#This Row],[id_padre]],Tabla_Contabilidad[Id],Tabla_Contabilidad[Codigo_Tecnico],"",0,1)</f>
        <v>CONTABILIDAD_CONSULTAS_POR_UNIDAD</v>
      </c>
      <c r="J6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/contabilidad/consultas/por-unidad/libro-mayor-mes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libro-mayor-mes</v>
      </c>
      <c r="L65" s="2" t="s">
        <v>1432</v>
      </c>
      <c r="M65" s="4" t="s">
        <v>1798</v>
      </c>
      <c r="N65" s="4" t="s">
        <v>360</v>
      </c>
      <c r="O65" s="4" t="s">
        <v>360</v>
      </c>
      <c r="P65" s="4" t="s">
        <v>360</v>
      </c>
      <c r="Q65" s="4" t="s">
        <v>360</v>
      </c>
      <c r="R65" s="4" t="s">
        <v>360</v>
      </c>
      <c r="S65" s="4" t="s">
        <v>360</v>
      </c>
      <c r="T65" s="4" t="s">
        <v>360</v>
      </c>
      <c r="W65" s="4" t="s">
        <v>360</v>
      </c>
      <c r="Y65" s="4" t="s">
        <v>360</v>
      </c>
      <c r="Z65" s="4" t="s">
        <v>360</v>
      </c>
      <c r="AB65" s="4" t="s">
        <v>360</v>
      </c>
      <c r="AC65" s="2" t="str">
        <f>IF(OR(Tabla_Contabilidad[[#This Row],[ROL_JEFE_CONT_CONTA]]="*",Tabla_Contabilidad[[#This Row],[ROL_JEFE_CONT_CONTA_HOSP]]="*"),"*","")</f>
        <v>*</v>
      </c>
    </row>
    <row r="66" spans="1:29" x14ac:dyDescent="0.5">
      <c r="A66" s="2">
        <v>1</v>
      </c>
      <c r="B66" s="2">
        <v>60</v>
      </c>
      <c r="C66" s="2">
        <f>IF(Tabla_Contabilidad[[#This Row],[id_padre]]="",0,_xlfn.XLOOKUP(Tabla_Contabilidad[[#This Row],[id_padre]],Tabla_Contabilidad[Id],Tabla_Contabilidad[Nivel],0,0,1)+1)</f>
        <v>3</v>
      </c>
      <c r="D66" s="2" t="s">
        <v>84</v>
      </c>
      <c r="E66" s="2">
        <f>IF(Tabla_Contabilidad[[#This Row],[Id_anterior]]=1,ROW()-1,SUM(ROW()-1,Tabla_Contabilidad[[#This Row],[Id_anterior]]))</f>
        <v>65</v>
      </c>
      <c r="F6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CONTABILIDAD_CONSULTAS_POR_UNIDAD_CUENTAS_COMPLEMENTARIAS_MES</v>
      </c>
      <c r="G66" s="9" t="str">
        <f>CLEAN(PROPER(Tabla_Contabilidad[[#This Row],[Nombre Opción]]))</f>
        <v>Cuentas Complementarias Del Mes</v>
      </c>
      <c r="H66" s="9" t="s">
        <v>1735</v>
      </c>
      <c r="I66" s="9" t="str">
        <f>_xlfn.XLOOKUP(Tabla_Contabilidad[[#This Row],[id_padre]],Tabla_Contabilidad[Id],Tabla_Contabilidad[Codigo_Tecnico],"",0,1)</f>
        <v>CONTABILIDAD_CONSULTAS_POR_UNIDAD</v>
      </c>
      <c r="J6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/contabilidad/consultas/por-unidad/cuentas-complementarias-mes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cuentas-complementarias-mes</v>
      </c>
      <c r="L66" s="2" t="s">
        <v>1433</v>
      </c>
      <c r="M66" s="4" t="s">
        <v>1798</v>
      </c>
      <c r="N66" s="4" t="s">
        <v>360</v>
      </c>
      <c r="O66" s="4" t="s">
        <v>360</v>
      </c>
      <c r="P66" s="4" t="s">
        <v>360</v>
      </c>
      <c r="Q66" s="4" t="s">
        <v>360</v>
      </c>
      <c r="R66" s="4" t="s">
        <v>360</v>
      </c>
      <c r="S66" s="4" t="s">
        <v>360</v>
      </c>
      <c r="T66" s="4" t="s">
        <v>360</v>
      </c>
      <c r="W66" s="4" t="s">
        <v>360</v>
      </c>
      <c r="Y66" s="4" t="s">
        <v>360</v>
      </c>
      <c r="Z66" s="4" t="s">
        <v>360</v>
      </c>
      <c r="AB66" s="4" t="s">
        <v>360</v>
      </c>
      <c r="AC66" s="2" t="str">
        <f>IF(OR(Tabla_Contabilidad[[#This Row],[ROL_JEFE_CONT_CONTA]]="*",Tabla_Contabilidad[[#This Row],[ROL_JEFE_CONT_CONTA_HOSP]]="*"),"*","")</f>
        <v>*</v>
      </c>
    </row>
    <row r="67" spans="1:29" x14ac:dyDescent="0.5">
      <c r="A67" s="2">
        <v>1</v>
      </c>
      <c r="B67" s="2">
        <v>60</v>
      </c>
      <c r="C67" s="2">
        <f>IF(Tabla_Contabilidad[[#This Row],[id_padre]]="",0,_xlfn.XLOOKUP(Tabla_Contabilidad[[#This Row],[id_padre]],Tabla_Contabilidad[Id],Tabla_Contabilidad[Nivel],0,0,1)+1)</f>
        <v>3</v>
      </c>
      <c r="D67" s="2" t="s">
        <v>85</v>
      </c>
      <c r="E67" s="2">
        <f>IF(Tabla_Contabilidad[[#This Row],[Id_anterior]]=1,ROW()-1,SUM(ROW()-1,Tabla_Contabilidad[[#This Row],[Id_anterior]]))</f>
        <v>66</v>
      </c>
      <c r="F6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CONTABILIDAD_CONSULTAS_POR_UNIDAD_MOVIMIENTOS_FONDOS_MES</v>
      </c>
      <c r="G67" s="9" t="str">
        <f>CLEAN(PROPER(Tabla_Contabilidad[[#This Row],[Nombre Opción]]))</f>
        <v>Movimientos De Fondos Del Mes</v>
      </c>
      <c r="H67" s="9" t="s">
        <v>1735</v>
      </c>
      <c r="I67" s="9" t="str">
        <f>_xlfn.XLOOKUP(Tabla_Contabilidad[[#This Row],[id_padre]],Tabla_Contabilidad[Id],Tabla_Contabilidad[Codigo_Tecnico],"",0,1)</f>
        <v>CONTABILIDAD_CONSULTAS_POR_UNIDAD</v>
      </c>
      <c r="J6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/contabilidad/consultas/por-unidad/movimientos-fondos-mes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movimientos-fondos-mes</v>
      </c>
      <c r="L67" s="2" t="s">
        <v>1379</v>
      </c>
      <c r="M67" s="4" t="s">
        <v>1798</v>
      </c>
      <c r="N67" s="4" t="s">
        <v>360</v>
      </c>
      <c r="O67" s="4" t="s">
        <v>360</v>
      </c>
      <c r="P67" s="4" t="s">
        <v>360</v>
      </c>
      <c r="Q67" s="4" t="s">
        <v>360</v>
      </c>
      <c r="R67" s="4" t="s">
        <v>360</v>
      </c>
      <c r="S67" s="4" t="s">
        <v>360</v>
      </c>
      <c r="T67" s="4" t="s">
        <v>360</v>
      </c>
      <c r="W67" s="4" t="s">
        <v>360</v>
      </c>
      <c r="Y67" s="4" t="s">
        <v>360</v>
      </c>
      <c r="Z67" s="4" t="s">
        <v>360</v>
      </c>
      <c r="AB67" s="4" t="s">
        <v>360</v>
      </c>
      <c r="AC67" s="2" t="str">
        <f>IF(OR(Tabla_Contabilidad[[#This Row],[ROL_JEFE_CONT_CONTA]]="*",Tabla_Contabilidad[[#This Row],[ROL_JEFE_CONT_CONTA_HOSP]]="*"),"*","")</f>
        <v>*</v>
      </c>
    </row>
    <row r="68" spans="1:29" x14ac:dyDescent="0.5">
      <c r="A68" s="2">
        <v>1</v>
      </c>
      <c r="B68" s="2">
        <v>60</v>
      </c>
      <c r="C68" s="2">
        <f>IF(Tabla_Contabilidad[[#This Row],[id_padre]]="",0,_xlfn.XLOOKUP(Tabla_Contabilidad[[#This Row],[id_padre]],Tabla_Contabilidad[Id],Tabla_Contabilidad[Nivel],0,0,1)+1)</f>
        <v>3</v>
      </c>
      <c r="D68" s="2" t="s">
        <v>86</v>
      </c>
      <c r="E68" s="2">
        <f>IF(Tabla_Contabilidad[[#This Row],[Id_anterior]]=1,ROW()-1,SUM(ROW()-1,Tabla_Contabilidad[[#This Row],[Id_anterior]]))</f>
        <v>67</v>
      </c>
      <c r="F6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CONTABILIDAD_CONSULTAS_POR_UNIDAD_SALDOS_CUENTAS</v>
      </c>
      <c r="G68" s="9" t="str">
        <f>CLEAN(PROPER(Tabla_Contabilidad[[#This Row],[Nombre Opción]]))</f>
        <v>Saldos De Cuentas</v>
      </c>
      <c r="H68" s="9" t="s">
        <v>1735</v>
      </c>
      <c r="I68" s="9" t="str">
        <f>_xlfn.XLOOKUP(Tabla_Contabilidad[[#This Row],[id_padre]],Tabla_Contabilidad[Id],Tabla_Contabilidad[Codigo_Tecnico],"",0,1)</f>
        <v>CONTABILIDAD_CONSULTAS_POR_UNIDAD</v>
      </c>
      <c r="J6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/contabilidad/consultas/por-unidad/saldos-cuentas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saldos-cuentas</v>
      </c>
      <c r="L68" s="2" t="s">
        <v>1415</v>
      </c>
      <c r="M68" s="4" t="s">
        <v>1798</v>
      </c>
      <c r="N68" s="4" t="s">
        <v>360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T68" s="4" t="s">
        <v>360</v>
      </c>
      <c r="W68" s="4" t="s">
        <v>360</v>
      </c>
      <c r="Y68" s="4" t="s">
        <v>360</v>
      </c>
      <c r="Z68" s="4" t="s">
        <v>360</v>
      </c>
      <c r="AB68" s="4" t="s">
        <v>360</v>
      </c>
      <c r="AC68" s="2" t="str">
        <f>IF(OR(Tabla_Contabilidad[[#This Row],[ROL_JEFE_CONT_CONTA]]="*",Tabla_Contabilidad[[#This Row],[ROL_JEFE_CONT_CONTA_HOSP]]="*"),"*","")</f>
        <v>*</v>
      </c>
    </row>
    <row r="69" spans="1:29" x14ac:dyDescent="0.5">
      <c r="A69" s="2">
        <v>1</v>
      </c>
      <c r="B69" s="2">
        <v>60</v>
      </c>
      <c r="C69" s="2">
        <f>IF(Tabla_Contabilidad[[#This Row],[id_padre]]="",0,_xlfn.XLOOKUP(Tabla_Contabilidad[[#This Row],[id_padre]],Tabla_Contabilidad[Id],Tabla_Contabilidad[Nivel],0,0,1)+1)</f>
        <v>3</v>
      </c>
      <c r="D69" s="2" t="s">
        <v>87</v>
      </c>
      <c r="E69" s="2">
        <f>IF(Tabla_Contabilidad[[#This Row],[Id_anterior]]=1,ROW()-1,SUM(ROW()-1,Tabla_Contabilidad[[#This Row],[Id_anterior]]))</f>
        <v>68</v>
      </c>
      <c r="F6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CONTABILIDAD_CONSULTAS_POR_UNIDAD_CUADRATURA_UNIDAD_CUENTAS_GASTO</v>
      </c>
      <c r="G69" s="9" t="str">
        <f>CLEAN(PROPER(Tabla_Contabilidad[[#This Row],[Nombre Opción]]))</f>
        <v>Cuadratura Unidad / Cuentas De Gasto</v>
      </c>
      <c r="H69" s="9" t="s">
        <v>1735</v>
      </c>
      <c r="I69" s="9" t="str">
        <f>_xlfn.XLOOKUP(Tabla_Contabilidad[[#This Row],[id_padre]],Tabla_Contabilidad[Id],Tabla_Contabilidad[Codigo_Tecnico],"",0,1)</f>
        <v>CONTABILIDAD_CONSULTAS_POR_UNIDAD</v>
      </c>
      <c r="J6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/contabilidad/consultas/por-unidad/cuadratura-unidad-cuentas-gasto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cuadratura-unidad-cuentas-gasto</v>
      </c>
      <c r="L69" s="2" t="s">
        <v>1345</v>
      </c>
      <c r="M69" s="4" t="s">
        <v>1798</v>
      </c>
      <c r="N69" s="4" t="s">
        <v>360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T69" s="4" t="s">
        <v>360</v>
      </c>
      <c r="W69" s="4" t="s">
        <v>360</v>
      </c>
      <c r="Y69" s="4" t="s">
        <v>360</v>
      </c>
      <c r="Z69" s="4" t="s">
        <v>360</v>
      </c>
      <c r="AB69" s="4" t="s">
        <v>360</v>
      </c>
      <c r="AC69" s="2" t="str">
        <f>IF(OR(Tabla_Contabilidad[[#This Row],[ROL_JEFE_CONT_CONTA]]="*",Tabla_Contabilidad[[#This Row],[ROL_JEFE_CONT_CONTA_HOSP]]="*"),"*","")</f>
        <v>*</v>
      </c>
    </row>
    <row r="70" spans="1:29" x14ac:dyDescent="0.5">
      <c r="A70" s="2">
        <v>1</v>
      </c>
      <c r="B70" s="2">
        <v>60</v>
      </c>
      <c r="C70" s="2">
        <f>IF(Tabla_Contabilidad[[#This Row],[id_padre]]="",0,_xlfn.XLOOKUP(Tabla_Contabilidad[[#This Row],[id_padre]],Tabla_Contabilidad[Id],Tabla_Contabilidad[Nivel],0,0,1)+1)</f>
        <v>3</v>
      </c>
      <c r="D70" s="2" t="s">
        <v>88</v>
      </c>
      <c r="E70" s="2">
        <f>IF(Tabla_Contabilidad[[#This Row],[Id_anterior]]=1,ROW()-1,SUM(ROW()-1,Tabla_Contabilidad[[#This Row],[Id_anterior]]))</f>
        <v>69</v>
      </c>
      <c r="F7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CONTABILIDAD_CONSULTAS_POR_UNIDAD_CUADRATURA_UNIDAD_CUENTAS_INGRESOS</v>
      </c>
      <c r="G70" s="9" t="str">
        <f>CLEAN(PROPER(Tabla_Contabilidad[[#This Row],[Nombre Opción]]))</f>
        <v>Cuadratura Unidad / Cuentas De Ingresos</v>
      </c>
      <c r="H70" s="9" t="s">
        <v>1735</v>
      </c>
      <c r="I70" s="9" t="str">
        <f>_xlfn.XLOOKUP(Tabla_Contabilidad[[#This Row],[id_padre]],Tabla_Contabilidad[Id],Tabla_Contabilidad[Codigo_Tecnico],"",0,1)</f>
        <v>CONTABILIDAD_CONSULTAS_POR_UNIDAD</v>
      </c>
      <c r="J7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/contabilidad/consultas/por-unidad/cuadratura-unidad-cuentas-ingresos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cuadratura-unidad-cuentas-ingresos</v>
      </c>
      <c r="L70" s="2" t="s">
        <v>1434</v>
      </c>
      <c r="M70" s="4" t="s">
        <v>1798</v>
      </c>
      <c r="N70" s="4" t="s">
        <v>360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T70" s="4" t="s">
        <v>360</v>
      </c>
      <c r="W70" s="4" t="s">
        <v>360</v>
      </c>
      <c r="Y70" s="4" t="s">
        <v>360</v>
      </c>
      <c r="Z70" s="4" t="s">
        <v>360</v>
      </c>
      <c r="AB70" s="4" t="s">
        <v>360</v>
      </c>
      <c r="AC70" s="2" t="str">
        <f>IF(OR(Tabla_Contabilidad[[#This Row],[ROL_JEFE_CONT_CONTA]]="*",Tabla_Contabilidad[[#This Row],[ROL_JEFE_CONT_CONTA_HOSP]]="*"),"*","")</f>
        <v>*</v>
      </c>
    </row>
    <row r="71" spans="1:29" x14ac:dyDescent="0.5">
      <c r="A71" s="2">
        <v>1</v>
      </c>
      <c r="B71" s="2">
        <v>60</v>
      </c>
      <c r="C71" s="2">
        <f>IF(Tabla_Contabilidad[[#This Row],[id_padre]]="",0,_xlfn.XLOOKUP(Tabla_Contabilidad[[#This Row],[id_padre]],Tabla_Contabilidad[Id],Tabla_Contabilidad[Nivel],0,0,1)+1)</f>
        <v>3</v>
      </c>
      <c r="D71" s="2" t="s">
        <v>68</v>
      </c>
      <c r="E71" s="2">
        <f>IF(Tabla_Contabilidad[[#This Row],[Id_anterior]]=1,ROW()-1,SUM(ROW()-1,Tabla_Contabilidad[[#This Row],[Id_anterior]]))</f>
        <v>70</v>
      </c>
      <c r="F7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CONTABILIDAD_CONSULTAS_POR_UNIDAD_COMPROMISOS_POR_UNIDAD</v>
      </c>
      <c r="G71" s="9" t="str">
        <f>CLEAN(PROPER(Tabla_Contabilidad[[#This Row],[Nombre Opción]]))</f>
        <v>Compromisos Por Unidad</v>
      </c>
      <c r="H71" s="9" t="s">
        <v>1735</v>
      </c>
      <c r="I71" s="9" t="str">
        <f>_xlfn.XLOOKUP(Tabla_Contabilidad[[#This Row],[id_padre]],Tabla_Contabilidad[Id],Tabla_Contabilidad[Codigo_Tecnico],"",0,1)</f>
        <v>CONTABILIDAD_CONSULTAS_POR_UNIDAD</v>
      </c>
      <c r="J7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/contabilidad/consultas/por-unidad/compromisos-por-unidad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compromisos-por-unidad</v>
      </c>
      <c r="L71" s="2" t="s">
        <v>1409</v>
      </c>
      <c r="M71" s="4" t="s">
        <v>1798</v>
      </c>
      <c r="N71" s="4" t="s">
        <v>360</v>
      </c>
      <c r="O71" s="4" t="s">
        <v>360</v>
      </c>
      <c r="P71" s="4" t="s">
        <v>360</v>
      </c>
      <c r="Q71" s="4" t="s">
        <v>360</v>
      </c>
      <c r="R71" s="4" t="s">
        <v>360</v>
      </c>
      <c r="S71" s="4" t="s">
        <v>360</v>
      </c>
      <c r="T71" s="4" t="s">
        <v>360</v>
      </c>
      <c r="W71" s="4" t="s">
        <v>360</v>
      </c>
      <c r="Y71" s="4" t="s">
        <v>360</v>
      </c>
      <c r="Z71" s="4" t="s">
        <v>360</v>
      </c>
      <c r="AB71" s="4" t="s">
        <v>360</v>
      </c>
      <c r="AC71" s="2" t="str">
        <f>IF(OR(Tabla_Contabilidad[[#This Row],[ROL_JEFE_CONT_CONTA]]="*",Tabla_Contabilidad[[#This Row],[ROL_JEFE_CONT_CONTA_HOSP]]="*"),"*","")</f>
        <v>*</v>
      </c>
    </row>
    <row r="72" spans="1:29" x14ac:dyDescent="0.5">
      <c r="A72" s="2">
        <v>1</v>
      </c>
      <c r="B72" s="2">
        <v>70</v>
      </c>
      <c r="C72" s="2">
        <f>IF(Tabla_Contabilidad[[#This Row],[id_padre]]="",0,_xlfn.XLOOKUP(Tabla_Contabilidad[[#This Row],[id_padre]],Tabla_Contabilidad[Id],Tabla_Contabilidad[Nivel],0,0,1)+1)</f>
        <v>4</v>
      </c>
      <c r="D72" s="2" t="s">
        <v>93</v>
      </c>
      <c r="E72" s="2">
        <f>IF(Tabla_Contabilidad[[#This Row],[Id_anterior]]=1,ROW()-1,SUM(ROW()-1,Tabla_Contabilidad[[#This Row],[Id_anterior]]))</f>
        <v>71</v>
      </c>
      <c r="F7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CONTABILIDAD_CONSULTAS_POR_UNIDAD_COMPROMISOS_POR_UNIDAD_DE_INGRESOS_POR_CUENTA</v>
      </c>
      <c r="G72" s="9" t="str">
        <f>CLEAN(PROPER(Tabla_Contabilidad[[#This Row],[Nombre Opción]]))</f>
        <v>De Ingresos Por Cuenta</v>
      </c>
      <c r="H72" s="9" t="s">
        <v>1735</v>
      </c>
      <c r="I72" s="9" t="str">
        <f>_xlfn.XLOOKUP(Tabla_Contabilidad[[#This Row],[id_padre]],Tabla_Contabilidad[Id],Tabla_Contabilidad[Codigo_Tecnico],"",0,1)</f>
        <v>CONTABILIDAD_CONSULTAS_POR_UNIDAD_COMPROMISOS_POR_UNIDAD</v>
      </c>
      <c r="J7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/contabilidad/consultas/por-unidad/compromisos-por-unidad/de-ingresos-por-cuenta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de-ingresos-por-cuenta</v>
      </c>
      <c r="L72" s="2" t="s">
        <v>1365</v>
      </c>
      <c r="M72" s="4" t="s">
        <v>1798</v>
      </c>
      <c r="N72" s="4" t="s">
        <v>360</v>
      </c>
      <c r="O72" s="4" t="s">
        <v>360</v>
      </c>
      <c r="P72" s="4" t="s">
        <v>360</v>
      </c>
      <c r="Q72" s="4" t="s">
        <v>360</v>
      </c>
      <c r="R72" s="4" t="s">
        <v>360</v>
      </c>
      <c r="S72" s="4" t="s">
        <v>360</v>
      </c>
      <c r="T72" s="4" t="s">
        <v>360</v>
      </c>
      <c r="W72" s="4" t="s">
        <v>360</v>
      </c>
      <c r="Y72" s="4" t="s">
        <v>360</v>
      </c>
      <c r="Z72" s="4" t="s">
        <v>360</v>
      </c>
      <c r="AB72" s="4" t="s">
        <v>360</v>
      </c>
      <c r="AC72" s="2" t="str">
        <f>IF(OR(Tabla_Contabilidad[[#This Row],[ROL_JEFE_CONT_CONTA]]="*",Tabla_Contabilidad[[#This Row],[ROL_JEFE_CONT_CONTA_HOSP]]="*"),"*","")</f>
        <v>*</v>
      </c>
    </row>
    <row r="73" spans="1:29" x14ac:dyDescent="0.5">
      <c r="A73" s="2">
        <v>1</v>
      </c>
      <c r="B73" s="2">
        <v>70</v>
      </c>
      <c r="C73" s="2">
        <f>IF(Tabla_Contabilidad[[#This Row],[id_padre]]="",0,_xlfn.XLOOKUP(Tabla_Contabilidad[[#This Row],[id_padre]],Tabla_Contabilidad[Id],Tabla_Contabilidad[Nivel],0,0,1)+1)</f>
        <v>4</v>
      </c>
      <c r="D73" s="2" t="s">
        <v>94</v>
      </c>
      <c r="E73" s="2">
        <f>IF(Tabla_Contabilidad[[#This Row],[Id_anterior]]=1,ROW()-1,SUM(ROW()-1,Tabla_Contabilidad[[#This Row],[Id_anterior]]))</f>
        <v>72</v>
      </c>
      <c r="F7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CONTABILIDAD_CONSULTAS_POR_UNIDAD_COMPROMISOS_POR_UNIDAD_DE_GASTOS_POR_CUENTA</v>
      </c>
      <c r="G73" s="9" t="str">
        <f>CLEAN(PROPER(Tabla_Contabilidad[[#This Row],[Nombre Opción]]))</f>
        <v>De Gastos Por Cuenta</v>
      </c>
      <c r="H73" s="9" t="s">
        <v>1735</v>
      </c>
      <c r="I73" s="9" t="str">
        <f>_xlfn.XLOOKUP(Tabla_Contabilidad[[#This Row],[id_padre]],Tabla_Contabilidad[Id],Tabla_Contabilidad[Codigo_Tecnico],"",0,1)</f>
        <v>CONTABILIDAD_CONSULTAS_POR_UNIDAD_COMPROMISOS_POR_UNIDAD</v>
      </c>
      <c r="J7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/contabilidad/consultas/por-unidad/compromisos-por-unidad/de-gastos-por-cuenta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de-gastos-por-cuenta</v>
      </c>
      <c r="L73" s="2" t="s">
        <v>1435</v>
      </c>
      <c r="M73" s="4" t="s">
        <v>1798</v>
      </c>
      <c r="N73" s="4" t="s">
        <v>360</v>
      </c>
      <c r="O73" s="4" t="s">
        <v>360</v>
      </c>
      <c r="P73" s="4" t="s">
        <v>360</v>
      </c>
      <c r="Q73" s="4" t="s">
        <v>360</v>
      </c>
      <c r="R73" s="4" t="s">
        <v>360</v>
      </c>
      <c r="S73" s="4" t="s">
        <v>360</v>
      </c>
      <c r="T73" s="4" t="s">
        <v>360</v>
      </c>
      <c r="W73" s="4" t="s">
        <v>360</v>
      </c>
      <c r="Y73" s="4" t="s">
        <v>360</v>
      </c>
      <c r="Z73" s="4" t="s">
        <v>360</v>
      </c>
      <c r="AB73" s="4" t="s">
        <v>360</v>
      </c>
      <c r="AC73" s="2" t="str">
        <f>IF(OR(Tabla_Contabilidad[[#This Row],[ROL_JEFE_CONT_CONTA]]="*",Tabla_Contabilidad[[#This Row],[ROL_JEFE_CONT_CONTA_HOSP]]="*"),"*","")</f>
        <v>*</v>
      </c>
    </row>
    <row r="74" spans="1:29" x14ac:dyDescent="0.5">
      <c r="A74" s="2">
        <v>1</v>
      </c>
      <c r="B74" s="2">
        <v>60</v>
      </c>
      <c r="C74" s="2">
        <f>IF(Tabla_Contabilidad[[#This Row],[id_padre]]="",0,_xlfn.XLOOKUP(Tabla_Contabilidad[[#This Row],[id_padre]],Tabla_Contabilidad[Id],Tabla_Contabilidad[Nivel],0,0,1)+1)</f>
        <v>3</v>
      </c>
      <c r="D74" s="2" t="s">
        <v>89</v>
      </c>
      <c r="E74" s="2">
        <f>IF(Tabla_Contabilidad[[#This Row],[Id_anterior]]=1,ROW()-1,SUM(ROW()-1,Tabla_Contabilidad[[#This Row],[Id_anterior]]))</f>
        <v>73</v>
      </c>
      <c r="F7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CONTABILIDAD_CONSULTAS_POR_UNIDAD_SALDOS_POR_FECHAS</v>
      </c>
      <c r="G74" s="9" t="str">
        <f>CLEAN(PROPER(Tabla_Contabilidad[[#This Row],[Nombre Opción]]))</f>
        <v>Saldos Por Fechas</v>
      </c>
      <c r="H74" s="9" t="s">
        <v>1735</v>
      </c>
      <c r="I74" s="9" t="str">
        <f>_xlfn.XLOOKUP(Tabla_Contabilidad[[#This Row],[id_padre]],Tabla_Contabilidad[Id],Tabla_Contabilidad[Codigo_Tecnico],"",0,1)</f>
        <v>CONTABILIDAD_CONSULTAS_POR_UNIDAD</v>
      </c>
      <c r="J7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/contabilidad/consultas/por-unidad/saldos-por-fechas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saldos-por-fechas</v>
      </c>
      <c r="L74" s="2" t="s">
        <v>1436</v>
      </c>
      <c r="M74" s="4" t="s">
        <v>1798</v>
      </c>
      <c r="N74" s="4" t="s">
        <v>360</v>
      </c>
      <c r="O74" s="4" t="s">
        <v>360</v>
      </c>
      <c r="P74" s="4" t="s">
        <v>360</v>
      </c>
      <c r="Q74" s="4" t="s">
        <v>360</v>
      </c>
      <c r="R74" s="4" t="s">
        <v>360</v>
      </c>
      <c r="S74" s="4" t="s">
        <v>360</v>
      </c>
      <c r="T74" s="4" t="s">
        <v>360</v>
      </c>
      <c r="W74" s="4" t="s">
        <v>360</v>
      </c>
      <c r="Y74" s="4" t="s">
        <v>360</v>
      </c>
      <c r="Z74" s="4" t="s">
        <v>360</v>
      </c>
      <c r="AB74" s="4" t="s">
        <v>360</v>
      </c>
      <c r="AC74" s="2" t="str">
        <f>IF(OR(Tabla_Contabilidad[[#This Row],[ROL_JEFE_CONT_CONTA]]="*",Tabla_Contabilidad[[#This Row],[ROL_JEFE_CONT_CONTA_HOSP]]="*"),"*","")</f>
        <v>*</v>
      </c>
    </row>
    <row r="75" spans="1:29" x14ac:dyDescent="0.5">
      <c r="A75" s="2">
        <v>1</v>
      </c>
      <c r="B75" s="2">
        <v>60</v>
      </c>
      <c r="C75" s="2">
        <f>IF(Tabla_Contabilidad[[#This Row],[id_padre]]="",0,_xlfn.XLOOKUP(Tabla_Contabilidad[[#This Row],[id_padre]],Tabla_Contabilidad[Id],Tabla_Contabilidad[Nivel],0,0,1)+1)</f>
        <v>3</v>
      </c>
      <c r="D75" s="2" t="s">
        <v>90</v>
      </c>
      <c r="E75" s="2">
        <f>IF(Tabla_Contabilidad[[#This Row],[Id_anterior]]=1,ROW()-1,SUM(ROW()-1,Tabla_Contabilidad[[#This Row],[Id_anterior]]))</f>
        <v>74</v>
      </c>
      <c r="F7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CONTABILIDAD_CONSULTAS_POR_UNIDAD_DE_MOVIMIENTOS</v>
      </c>
      <c r="G75" s="9" t="str">
        <f>CLEAN(PROPER(Tabla_Contabilidad[[#This Row],[Nombre Opción]]))</f>
        <v>De Movimientos</v>
      </c>
      <c r="H75" s="9" t="s">
        <v>1735</v>
      </c>
      <c r="I75" s="9" t="str">
        <f>_xlfn.XLOOKUP(Tabla_Contabilidad[[#This Row],[id_padre]],Tabla_Contabilidad[Id],Tabla_Contabilidad[Codigo_Tecnico],"",0,1)</f>
        <v>CONTABILIDAD_CONSULTAS_POR_UNIDAD</v>
      </c>
      <c r="J7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/contabilidad/consultas/por-unidad/de-movimientos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de-movimientos</v>
      </c>
      <c r="L75" s="2" t="s">
        <v>1437</v>
      </c>
      <c r="M75" s="4" t="s">
        <v>1798</v>
      </c>
      <c r="N75" s="4" t="s">
        <v>360</v>
      </c>
      <c r="O75" s="4" t="s">
        <v>360</v>
      </c>
      <c r="P75" s="4" t="s">
        <v>360</v>
      </c>
      <c r="Q75" s="4" t="s">
        <v>360</v>
      </c>
      <c r="R75" s="4" t="s">
        <v>360</v>
      </c>
      <c r="S75" s="4" t="s">
        <v>360</v>
      </c>
      <c r="T75" s="4" t="s">
        <v>360</v>
      </c>
      <c r="W75" s="4" t="s">
        <v>360</v>
      </c>
      <c r="Y75" s="4" t="s">
        <v>360</v>
      </c>
      <c r="Z75" s="4" t="s">
        <v>360</v>
      </c>
      <c r="AB75" s="4" t="s">
        <v>360</v>
      </c>
      <c r="AC75" s="2" t="str">
        <f>IF(OR(Tabla_Contabilidad[[#This Row],[ROL_JEFE_CONT_CONTA]]="*",Tabla_Contabilidad[[#This Row],[ROL_JEFE_CONT_CONTA_HOSP]]="*"),"*","")</f>
        <v>*</v>
      </c>
    </row>
    <row r="76" spans="1:29" x14ac:dyDescent="0.5">
      <c r="A76" s="2">
        <v>1</v>
      </c>
      <c r="B76" s="2">
        <v>60</v>
      </c>
      <c r="C76" s="2">
        <f>IF(Tabla_Contabilidad[[#This Row],[id_padre]]="",0,_xlfn.XLOOKUP(Tabla_Contabilidad[[#This Row],[id_padre]],Tabla_Contabilidad[Id],Tabla_Contabilidad[Nivel],0,0,1)+1)</f>
        <v>3</v>
      </c>
      <c r="D76" s="2" t="s">
        <v>91</v>
      </c>
      <c r="E76" s="2">
        <f>IF(Tabla_Contabilidad[[#This Row],[Id_anterior]]=1,ROW()-1,SUM(ROW()-1,Tabla_Contabilidad[[#This Row],[Id_anterior]]))</f>
        <v>75</v>
      </c>
      <c r="F7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CONTABILIDAD_CONSULTAS_POR_UNIDAD_MOVIMIENTOS_POR_NRO_CONTROL_PAGOS_EFECTUADOS_POR_RUT</v>
      </c>
      <c r="G76" s="9" t="str">
        <f>CLEAN(PROPER(Tabla_Contabilidad[[#This Row],[Nombre Opción]]))</f>
        <v>Movimientos Por Nro Control Pagos Efectuados Por Rut</v>
      </c>
      <c r="H76" s="9" t="s">
        <v>1735</v>
      </c>
      <c r="I76" s="9" t="str">
        <f>_xlfn.XLOOKUP(Tabla_Contabilidad[[#This Row],[id_padre]],Tabla_Contabilidad[Id],Tabla_Contabilidad[Codigo_Tecnico],"",0,1)</f>
        <v>CONTABILIDAD_CONSULTAS_POR_UNIDAD</v>
      </c>
      <c r="J7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/contabilidad/consultas/por-unidad/movimientos-por-nro-control-pagos-efectuados-por-rut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movimientos-por-nro-control-pagos-efectuados-por-rut</v>
      </c>
      <c r="L76" s="2" t="s">
        <v>1378</v>
      </c>
      <c r="M76" s="4" t="s">
        <v>1798</v>
      </c>
      <c r="N76" s="4" t="s">
        <v>360</v>
      </c>
      <c r="O76" s="4" t="s">
        <v>360</v>
      </c>
      <c r="P76" s="4" t="s">
        <v>360</v>
      </c>
      <c r="Q76" s="4" t="s">
        <v>360</v>
      </c>
      <c r="T76" s="4" t="s">
        <v>360</v>
      </c>
      <c r="W76" s="4" t="s">
        <v>360</v>
      </c>
      <c r="Y76" s="4" t="s">
        <v>360</v>
      </c>
      <c r="AB76" s="4" t="s">
        <v>360</v>
      </c>
      <c r="AC76" s="2" t="str">
        <f>IF(OR(Tabla_Contabilidad[[#This Row],[ROL_JEFE_CONT_CONTA]]="*",Tabla_Contabilidad[[#This Row],[ROL_JEFE_CONT_CONTA_HOSP]]="*"),"*","")</f>
        <v>*</v>
      </c>
    </row>
    <row r="77" spans="1:29" x14ac:dyDescent="0.5">
      <c r="A77" s="2">
        <v>1</v>
      </c>
      <c r="B77" s="2">
        <v>60</v>
      </c>
      <c r="C77" s="2">
        <f>IF(Tabla_Contabilidad[[#This Row],[id_padre]]="",0,_xlfn.XLOOKUP(Tabla_Contabilidad[[#This Row],[id_padre]],Tabla_Contabilidad[Id],Tabla_Contabilidad[Nivel],0,0,1)+1)</f>
        <v>3</v>
      </c>
      <c r="D77" s="2" t="s">
        <v>32</v>
      </c>
      <c r="E77" s="2">
        <f>IF(Tabla_Contabilidad[[#This Row],[Id_anterior]]=1,ROW()-1,SUM(ROW()-1,Tabla_Contabilidad[[#This Row],[Id_anterior]]))</f>
        <v>76</v>
      </c>
      <c r="F7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CONTABILIDAD_CONSULTAS_POR_UNIDAD_PLAN_CUENTAS_POR_ENTIDAD</v>
      </c>
      <c r="G77" s="9" t="str">
        <f>CLEAN(PROPER(Tabla_Contabilidad[[#This Row],[Nombre Opción]]))</f>
        <v>Plan De Cuentas Por Entidad</v>
      </c>
      <c r="H77" s="9" t="s">
        <v>1735</v>
      </c>
      <c r="I77" s="9" t="str">
        <f>_xlfn.XLOOKUP(Tabla_Contabilidad[[#This Row],[id_padre]],Tabla_Contabilidad[Id],Tabla_Contabilidad[Codigo_Tecnico],"",0,1)</f>
        <v>CONTABILIDAD_CONSULTAS_POR_UNIDAD</v>
      </c>
      <c r="J7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/contabilidad/consultas/por-unidad/plan-cuentas-por-entidad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plan-cuentas-por-entidad</v>
      </c>
      <c r="L77" s="2" t="s">
        <v>1369</v>
      </c>
      <c r="M77" s="4" t="s">
        <v>1798</v>
      </c>
      <c r="N77" s="4" t="s">
        <v>360</v>
      </c>
      <c r="O77" s="4" t="s">
        <v>360</v>
      </c>
      <c r="P77" s="4" t="s">
        <v>360</v>
      </c>
      <c r="Q77" s="4" t="s">
        <v>360</v>
      </c>
      <c r="T77" s="4" t="s">
        <v>360</v>
      </c>
      <c r="W77" s="4" t="s">
        <v>360</v>
      </c>
      <c r="Y77" s="4" t="s">
        <v>360</v>
      </c>
      <c r="AB77" s="4" t="s">
        <v>360</v>
      </c>
      <c r="AC77" s="2" t="str">
        <f>IF(OR(Tabla_Contabilidad[[#This Row],[ROL_JEFE_CONT_CONTA]]="*",Tabla_Contabilidad[[#This Row],[ROL_JEFE_CONT_CONTA_HOSP]]="*"),"*","")</f>
        <v>*</v>
      </c>
    </row>
    <row r="78" spans="1:29" x14ac:dyDescent="0.5">
      <c r="A78" s="2">
        <v>1</v>
      </c>
      <c r="B78" s="2">
        <v>60</v>
      </c>
      <c r="C78" s="2">
        <f>IF(Tabla_Contabilidad[[#This Row],[id_padre]]="",0,_xlfn.XLOOKUP(Tabla_Contabilidad[[#This Row],[id_padre]],Tabla_Contabilidad[Id],Tabla_Contabilidad[Nivel],0,0,1)+1)</f>
        <v>3</v>
      </c>
      <c r="D78" s="2" t="s">
        <v>95</v>
      </c>
      <c r="E78" s="2">
        <f>IF(Tabla_Contabilidad[[#This Row],[Id_anterior]]=1,ROW()-1,SUM(ROW()-1,Tabla_Contabilidad[[#This Row],[Id_anterior]]))</f>
        <v>77</v>
      </c>
      <c r="F7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CONTABILIDAD_CONSULTAS_POR_UNIDAD_ASIENTOS</v>
      </c>
      <c r="G78" s="9" t="str">
        <f>CLEAN(PROPER(Tabla_Contabilidad[[#This Row],[Nombre Opción]]))</f>
        <v>Asientos</v>
      </c>
      <c r="H78" s="9" t="s">
        <v>1735</v>
      </c>
      <c r="I78" s="9" t="str">
        <f>_xlfn.XLOOKUP(Tabla_Contabilidad[[#This Row],[id_padre]],Tabla_Contabilidad[Id],Tabla_Contabilidad[Codigo_Tecnico],"",0,1)</f>
        <v>CONTABILIDAD_CONSULTAS_POR_UNIDAD</v>
      </c>
      <c r="J7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/contabilidad/consultas/por-unidad/asientos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asientos</v>
      </c>
      <c r="L78" s="2" t="s">
        <v>1364</v>
      </c>
      <c r="M78" s="4" t="s">
        <v>1798</v>
      </c>
      <c r="N78" s="4" t="s">
        <v>360</v>
      </c>
      <c r="O78" s="4" t="s">
        <v>360</v>
      </c>
      <c r="P78" s="4" t="s">
        <v>360</v>
      </c>
      <c r="Q78" s="4" t="s">
        <v>360</v>
      </c>
      <c r="R78" s="4" t="s">
        <v>360</v>
      </c>
      <c r="S78" s="4" t="s">
        <v>360</v>
      </c>
      <c r="T78" s="4" t="s">
        <v>360</v>
      </c>
      <c r="U78" s="4" t="s">
        <v>360</v>
      </c>
      <c r="V78" s="4" t="s">
        <v>360</v>
      </c>
      <c r="W78" s="4" t="s">
        <v>360</v>
      </c>
      <c r="X78" s="4" t="s">
        <v>360</v>
      </c>
      <c r="Y78" s="4" t="s">
        <v>360</v>
      </c>
      <c r="Z78" s="4" t="s">
        <v>360</v>
      </c>
      <c r="AB78" s="4" t="s">
        <v>360</v>
      </c>
      <c r="AC78" s="2" t="str">
        <f>IF(OR(Tabla_Contabilidad[[#This Row],[ROL_JEFE_CONT_CONTA]]="*",Tabla_Contabilidad[[#This Row],[ROL_JEFE_CONT_CONTA_HOSP]]="*"),"*","")</f>
        <v>*</v>
      </c>
    </row>
    <row r="79" spans="1:29" x14ac:dyDescent="0.5">
      <c r="A79" s="2">
        <v>1</v>
      </c>
      <c r="B79" s="2">
        <v>77</v>
      </c>
      <c r="C79" s="2">
        <f>IF(Tabla_Contabilidad[[#This Row],[id_padre]]="",0,_xlfn.XLOOKUP(Tabla_Contabilidad[[#This Row],[id_padre]],Tabla_Contabilidad[Id],Tabla_Contabilidad[Nivel],0,0,1)+1)</f>
        <v>4</v>
      </c>
      <c r="D79" s="2" t="s">
        <v>96</v>
      </c>
      <c r="E79" s="2">
        <f>IF(Tabla_Contabilidad[[#This Row],[Id_anterior]]=1,ROW()-1,SUM(ROW()-1,Tabla_Contabilidad[[#This Row],[Id_anterior]]))</f>
        <v>78</v>
      </c>
      <c r="F7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CONTABILIDAD_CONSULTAS_POR_UNIDAD_ASIENTOS_ACTUALIZADOS_MES_PROCESO</v>
      </c>
      <c r="G79" s="9" t="str">
        <f>CLEAN(PROPER(Tabla_Contabilidad[[#This Row],[Nombre Opción]]))</f>
        <v>Actualizados Del Mes En Proceso</v>
      </c>
      <c r="H79" s="9" t="s">
        <v>1735</v>
      </c>
      <c r="I79" s="9" t="str">
        <f>_xlfn.XLOOKUP(Tabla_Contabilidad[[#This Row],[id_padre]],Tabla_Contabilidad[Id],Tabla_Contabilidad[Codigo_Tecnico],"",0,1)</f>
        <v>CONTABILIDAD_CONSULTAS_POR_UNIDAD_ASIENTOS</v>
      </c>
      <c r="J7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/contabilidad/consultas/por-unidad/asientos/actualizados-mes-proceso</v>
      </c>
      <c r="K7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actualizados-mes-proceso</v>
      </c>
      <c r="L79" s="2" t="s">
        <v>1420</v>
      </c>
      <c r="M79" s="4" t="s">
        <v>1798</v>
      </c>
      <c r="N79" s="4" t="s">
        <v>360</v>
      </c>
      <c r="O79" s="4" t="s">
        <v>360</v>
      </c>
      <c r="P79" s="4" t="s">
        <v>360</v>
      </c>
      <c r="Q79" s="4" t="s">
        <v>360</v>
      </c>
      <c r="R79" s="4" t="s">
        <v>360</v>
      </c>
      <c r="S79" s="4" t="s">
        <v>360</v>
      </c>
      <c r="T79" s="4" t="s">
        <v>360</v>
      </c>
      <c r="U79" s="4" t="s">
        <v>360</v>
      </c>
      <c r="V79" s="4" t="s">
        <v>360</v>
      </c>
      <c r="W79" s="4" t="s">
        <v>360</v>
      </c>
      <c r="X79" s="4" t="s">
        <v>360</v>
      </c>
      <c r="Y79" s="4" t="s">
        <v>360</v>
      </c>
      <c r="Z79" s="4" t="s">
        <v>360</v>
      </c>
      <c r="AB79" s="4" t="s">
        <v>360</v>
      </c>
      <c r="AC79" s="2" t="str">
        <f>IF(OR(Tabla_Contabilidad[[#This Row],[ROL_JEFE_CONT_CONTA]]="*",Tabla_Contabilidad[[#This Row],[ROL_JEFE_CONT_CONTA_HOSP]]="*"),"*","")</f>
        <v>*</v>
      </c>
    </row>
    <row r="80" spans="1:29" x14ac:dyDescent="0.5">
      <c r="A80" s="2">
        <v>1</v>
      </c>
      <c r="B80" s="2">
        <v>77</v>
      </c>
      <c r="C80" s="2">
        <f>IF(Tabla_Contabilidad[[#This Row],[id_padre]]="",0,_xlfn.XLOOKUP(Tabla_Contabilidad[[#This Row],[id_padre]],Tabla_Contabilidad[Id],Tabla_Contabilidad[Nivel],0,0,1)+1)</f>
        <v>4</v>
      </c>
      <c r="D80" s="2" t="s">
        <v>97</v>
      </c>
      <c r="E80" s="2">
        <f>IF(Tabla_Contabilidad[[#This Row],[Id_anterior]]=1,ROW()-1,SUM(ROW()-1,Tabla_Contabilidad[[#This Row],[Id_anterior]]))</f>
        <v>79</v>
      </c>
      <c r="F8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CONTABILIDAD_CONSULTAS_POR_UNIDAD_ASIENTOS_ASIENTO_CONTABLE</v>
      </c>
      <c r="G80" s="9" t="str">
        <f>CLEAN(PROPER(Tabla_Contabilidad[[#This Row],[Nombre Opción]]))</f>
        <v>Asiento Contable</v>
      </c>
      <c r="H80" s="9" t="s">
        <v>1735</v>
      </c>
      <c r="I80" s="9" t="str">
        <f>_xlfn.XLOOKUP(Tabla_Contabilidad[[#This Row],[id_padre]],Tabla_Contabilidad[Id],Tabla_Contabilidad[Codigo_Tecnico],"",0,1)</f>
        <v>CONTABILIDAD_CONSULTAS_POR_UNIDAD_ASIENTOS</v>
      </c>
      <c r="J8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/contabilidad/consultas/por-unidad/asientos/asiento-contable</v>
      </c>
      <c r="K8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asiento-contable</v>
      </c>
      <c r="L80" s="2" t="s">
        <v>1343</v>
      </c>
      <c r="M80" s="4" t="s">
        <v>1798</v>
      </c>
      <c r="N80" s="4" t="s">
        <v>360</v>
      </c>
      <c r="O80" s="4" t="s">
        <v>360</v>
      </c>
      <c r="P80" s="4" t="s">
        <v>360</v>
      </c>
      <c r="Q80" s="4" t="s">
        <v>360</v>
      </c>
      <c r="R80" s="4" t="s">
        <v>360</v>
      </c>
      <c r="S80" s="4" t="s">
        <v>360</v>
      </c>
      <c r="T80" s="4" t="s">
        <v>360</v>
      </c>
      <c r="U80" s="4" t="s">
        <v>360</v>
      </c>
      <c r="V80" s="4" t="s">
        <v>360</v>
      </c>
      <c r="W80" s="4" t="s">
        <v>360</v>
      </c>
      <c r="X80" s="4" t="s">
        <v>360</v>
      </c>
      <c r="Y80" s="4" t="s">
        <v>360</v>
      </c>
      <c r="Z80" s="4" t="s">
        <v>360</v>
      </c>
      <c r="AB80" s="4" t="s">
        <v>360</v>
      </c>
      <c r="AC80" s="2" t="str">
        <f>IF(OR(Tabla_Contabilidad[[#This Row],[ROL_JEFE_CONT_CONTA]]="*",Tabla_Contabilidad[[#This Row],[ROL_JEFE_CONT_CONTA_HOSP]]="*"),"*","")</f>
        <v>*</v>
      </c>
    </row>
    <row r="81" spans="1:29" x14ac:dyDescent="0.5">
      <c r="A81" s="2">
        <v>1</v>
      </c>
      <c r="B81" s="2">
        <v>60</v>
      </c>
      <c r="C81" s="2">
        <f>IF(Tabla_Contabilidad[[#This Row],[id_padre]]="",0,_xlfn.XLOOKUP(Tabla_Contabilidad[[#This Row],[id_padre]],Tabla_Contabilidad[Id],Tabla_Contabilidad[Nivel],0,0,1)+1)</f>
        <v>3</v>
      </c>
      <c r="D81" s="2" t="s">
        <v>100</v>
      </c>
      <c r="E81" s="2">
        <f>IF(Tabla_Contabilidad[[#This Row],[Id_anterior]]=1,ROW()-1,SUM(ROW()-1,Tabla_Contabilidad[[#This Row],[Id_anterior]]))</f>
        <v>80</v>
      </c>
      <c r="F8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CONTABILIDAD_CONSULTAS_POR_UNIDAD_ANALITICOS</v>
      </c>
      <c r="G81" s="9" t="str">
        <f>CLEAN(PROPER(Tabla_Contabilidad[[#This Row],[Nombre Opción]]))</f>
        <v>Analiticos</v>
      </c>
      <c r="H81" s="9" t="s">
        <v>1735</v>
      </c>
      <c r="I81" s="9" t="str">
        <f>_xlfn.XLOOKUP(Tabla_Contabilidad[[#This Row],[id_padre]],Tabla_Contabilidad[Id],Tabla_Contabilidad[Codigo_Tecnico],"",0,1)</f>
        <v>CONTABILIDAD_CONSULTAS_POR_UNIDAD</v>
      </c>
      <c r="J8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/contabilidad/consultas/por-unidad/analiticos</v>
      </c>
      <c r="K8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</v>
      </c>
      <c r="L81" s="2" t="s">
        <v>1421</v>
      </c>
      <c r="M81" s="4" t="s">
        <v>1798</v>
      </c>
      <c r="N81" s="4" t="s">
        <v>360</v>
      </c>
      <c r="O81" s="4" t="s">
        <v>360</v>
      </c>
      <c r="P81" s="4" t="s">
        <v>360</v>
      </c>
      <c r="Q81" s="4" t="s">
        <v>360</v>
      </c>
      <c r="R81" s="4" t="s">
        <v>360</v>
      </c>
      <c r="S81" s="4" t="s">
        <v>360</v>
      </c>
      <c r="T81" s="4" t="s">
        <v>360</v>
      </c>
      <c r="U81" s="4" t="s">
        <v>360</v>
      </c>
      <c r="V81" s="4" t="s">
        <v>360</v>
      </c>
      <c r="W81" s="4" t="s">
        <v>360</v>
      </c>
      <c r="X81" s="4" t="s">
        <v>360</v>
      </c>
      <c r="Y81" s="4" t="s">
        <v>360</v>
      </c>
      <c r="Z81" s="4" t="s">
        <v>360</v>
      </c>
      <c r="AB81" s="4" t="s">
        <v>360</v>
      </c>
      <c r="AC81" s="2" t="str">
        <f>IF(OR(Tabla_Contabilidad[[#This Row],[ROL_JEFE_CONT_CONTA]]="*",Tabla_Contabilidad[[#This Row],[ROL_JEFE_CONT_CONTA_HOSP]]="*"),"*","")</f>
        <v>*</v>
      </c>
    </row>
    <row r="82" spans="1:29" x14ac:dyDescent="0.5">
      <c r="A82" s="2">
        <v>1</v>
      </c>
      <c r="B82" s="2">
        <v>80</v>
      </c>
      <c r="C82" s="2">
        <f>IF(Tabla_Contabilidad[[#This Row],[id_padre]]="",0,_xlfn.XLOOKUP(Tabla_Contabilidad[[#This Row],[id_padre]],Tabla_Contabilidad[Id],Tabla_Contabilidad[Nivel],0,0,1)+1)</f>
        <v>4</v>
      </c>
      <c r="D82" s="2" t="s">
        <v>99</v>
      </c>
      <c r="E82" s="2">
        <f>IF(Tabla_Contabilidad[[#This Row],[Id_anterior]]=1,ROW()-1,SUM(ROW()-1,Tabla_Contabilidad[[#This Row],[Id_anterior]]))</f>
        <v>81</v>
      </c>
      <c r="F8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CONTABILIDAD_CONSULTAS_POR_UNIDAD_ANALITICOS_ANALITICOS_CUENTAS</v>
      </c>
      <c r="G82" s="9" t="str">
        <f>CLEAN(PROPER(Tabla_Contabilidad[[#This Row],[Nombre Opción]]))</f>
        <v>Analiticos De Cuentas</v>
      </c>
      <c r="H82" s="9" t="s">
        <v>1735</v>
      </c>
      <c r="I82" s="9" t="str">
        <f>_xlfn.XLOOKUP(Tabla_Contabilidad[[#This Row],[id_padre]],Tabla_Contabilidad[Id],Tabla_Contabilidad[Codigo_Tecnico],"",0,1)</f>
        <v>CONTABILIDAD_CONSULTAS_POR_UNIDAD_ANALITICOS</v>
      </c>
      <c r="J8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/contabilidad/consultas/por-unidad/analiticos/analiticos-cuentas</v>
      </c>
      <c r="K8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analiticos-cuentas</v>
      </c>
      <c r="L82" s="2" t="s">
        <v>1411</v>
      </c>
      <c r="M82" s="4" t="s">
        <v>1798</v>
      </c>
      <c r="N82" s="4" t="s">
        <v>360</v>
      </c>
      <c r="O82" s="4" t="s">
        <v>360</v>
      </c>
      <c r="P82" s="4" t="s">
        <v>360</v>
      </c>
      <c r="Q82" s="4" t="s">
        <v>360</v>
      </c>
      <c r="R82" s="4" t="s">
        <v>360</v>
      </c>
      <c r="S82" s="4" t="s">
        <v>360</v>
      </c>
      <c r="T82" s="4" t="s">
        <v>360</v>
      </c>
      <c r="U82" s="4" t="s">
        <v>360</v>
      </c>
      <c r="V82" s="4" t="s">
        <v>360</v>
      </c>
      <c r="W82" s="4" t="s">
        <v>360</v>
      </c>
      <c r="X82" s="4" t="s">
        <v>360</v>
      </c>
      <c r="Y82" s="4" t="s">
        <v>360</v>
      </c>
      <c r="Z82" s="4" t="s">
        <v>360</v>
      </c>
      <c r="AB82" s="4" t="s">
        <v>360</v>
      </c>
      <c r="AC82" s="2" t="str">
        <f>IF(OR(Tabla_Contabilidad[[#This Row],[ROL_JEFE_CONT_CONTA]]="*",Tabla_Contabilidad[[#This Row],[ROL_JEFE_CONT_CONTA_HOSP]]="*"),"*","")</f>
        <v>*</v>
      </c>
    </row>
    <row r="83" spans="1:29" x14ac:dyDescent="0.5">
      <c r="A83" s="2">
        <v>1</v>
      </c>
      <c r="B83" s="2">
        <v>80</v>
      </c>
      <c r="C83" s="2">
        <f>IF(Tabla_Contabilidad[[#This Row],[id_padre]]="",0,_xlfn.XLOOKUP(Tabla_Contabilidad[[#This Row],[id_padre]],Tabla_Contabilidad[Id],Tabla_Contabilidad[Nivel],0,0,1)+1)</f>
        <v>4</v>
      </c>
      <c r="D83" s="2" t="s">
        <v>101</v>
      </c>
      <c r="E83" s="2">
        <f>IF(Tabla_Contabilidad[[#This Row],[Id_anterior]]=1,ROW()-1,SUM(ROW()-1,Tabla_Contabilidad[[#This Row],[Id_anterior]]))</f>
        <v>82</v>
      </c>
      <c r="F8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CONTABILIDAD_CONSULTAS_POR_UNIDAD_ANALITICOS_ANALITICOS_DETALLE_ANALITICOS</v>
      </c>
      <c r="G83" s="9" t="str">
        <f>CLEAN(PROPER(Tabla_Contabilidad[[#This Row],[Nombre Opción]]))</f>
        <v>Analiticos Detalle De Analiticos</v>
      </c>
      <c r="H83" s="9" t="s">
        <v>1735</v>
      </c>
      <c r="I83" s="9" t="str">
        <f>_xlfn.XLOOKUP(Tabla_Contabilidad[[#This Row],[id_padre]],Tabla_Contabilidad[Id],Tabla_Contabilidad[Codigo_Tecnico],"",0,1)</f>
        <v>CONTABILIDAD_CONSULTAS_POR_UNIDAD_ANALITICOS</v>
      </c>
      <c r="J8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/contabilidad/consultas/por-unidad/analiticos/analiticos-detalle-analiticos</v>
      </c>
      <c r="K8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analiticos-detalle-analiticos</v>
      </c>
      <c r="L83" s="2" t="s">
        <v>1438</v>
      </c>
      <c r="M83" s="4" t="s">
        <v>1798</v>
      </c>
      <c r="N83" s="4" t="s">
        <v>360</v>
      </c>
      <c r="O83" s="4" t="s">
        <v>360</v>
      </c>
      <c r="P83" s="4" t="s">
        <v>360</v>
      </c>
      <c r="Q83" s="4" t="s">
        <v>360</v>
      </c>
      <c r="R83" s="4" t="s">
        <v>360</v>
      </c>
      <c r="S83" s="4" t="s">
        <v>360</v>
      </c>
      <c r="T83" s="4" t="s">
        <v>360</v>
      </c>
      <c r="U83" s="4" t="s">
        <v>360</v>
      </c>
      <c r="V83" s="4" t="s">
        <v>360</v>
      </c>
      <c r="W83" s="4" t="s">
        <v>360</v>
      </c>
      <c r="X83" s="4" t="s">
        <v>360</v>
      </c>
      <c r="Y83" s="4" t="s">
        <v>360</v>
      </c>
      <c r="Z83" s="4" t="s">
        <v>360</v>
      </c>
      <c r="AB83" s="4" t="s">
        <v>360</v>
      </c>
      <c r="AC83" s="2" t="str">
        <f>IF(OR(Tabla_Contabilidad[[#This Row],[ROL_JEFE_CONT_CONTA]]="*",Tabla_Contabilidad[[#This Row],[ROL_JEFE_CONT_CONTA_HOSP]]="*"),"*","")</f>
        <v>*</v>
      </c>
    </row>
    <row r="84" spans="1:29" hidden="1" x14ac:dyDescent="0.5">
      <c r="A84" s="2">
        <v>1</v>
      </c>
      <c r="B84" s="2">
        <v>76</v>
      </c>
      <c r="C84" s="2">
        <f>IF(Tabla_Contabilidad[[#This Row],[id_padre]]="",0,_xlfn.XLOOKUP(Tabla_Contabilidad[[#This Row],[id_padre]],Tabla_Contabilidad[Id],Tabla_Contabilidad[Nivel],0,0,1)+1)</f>
        <v>4</v>
      </c>
      <c r="D84" s="2">
        <v>2015</v>
      </c>
      <c r="E84" s="2">
        <f>IF(Tabla_Contabilidad[[#This Row],[Id_anterior]]=1,ROW()-1,SUM(ROW()-1,Tabla_Contabilidad[[#This Row],[Id_anterior]]))</f>
        <v>83</v>
      </c>
      <c r="F8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CONTABILIDAD_CONSULTAS_POR_UNIDAD_PLAN_CUENTAS_POR_ENTIDAD_2015</v>
      </c>
      <c r="G84" s="9" t="str">
        <f>CLEAN(PROPER(Tabla_Contabilidad[[#This Row],[Nombre Opción]]))</f>
        <v>2015</v>
      </c>
      <c r="H84" s="9" t="s">
        <v>1735</v>
      </c>
      <c r="I84" s="9" t="str">
        <f>_xlfn.XLOOKUP(Tabla_Contabilidad[[#This Row],[id_padre]],Tabla_Contabilidad[Id],Tabla_Contabilidad[Codigo_Tecnico],"",0,1)</f>
        <v>CONTABILIDAD_CONSULTAS_POR_UNIDAD_PLAN_CUENTAS_POR_ENTIDAD</v>
      </c>
      <c r="J8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/contabilidad/consultas/por-unidad/plan-cuentas-por-entidad/2015</v>
      </c>
      <c r="K8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2015</v>
      </c>
      <c r="L84" s="2" t="s">
        <v>1439</v>
      </c>
      <c r="M84" s="4" t="s">
        <v>1798</v>
      </c>
      <c r="N84" s="4"/>
      <c r="O84" s="4"/>
      <c r="Q84" s="4" t="s">
        <v>360</v>
      </c>
      <c r="AB84" s="4" t="s">
        <v>360</v>
      </c>
      <c r="AC84" s="2" t="str">
        <f>IF(OR(Tabla_Contabilidad[[#This Row],[ROL_JEFE_CONT_CONTA]]="*",Tabla_Contabilidad[[#This Row],[ROL_JEFE_CONT_CONTA_HOSP]]="*"),"*","")</f>
        <v/>
      </c>
    </row>
    <row r="85" spans="1:29" x14ac:dyDescent="0.5">
      <c r="A85" s="2">
        <v>1</v>
      </c>
      <c r="B85" s="2">
        <v>4</v>
      </c>
      <c r="C85" s="2">
        <f>IF(Tabla_Contabilidad[[#This Row],[id_padre]]="",0,_xlfn.XLOOKUP(Tabla_Contabilidad[[#This Row],[id_padre]],Tabla_Contabilidad[Id],Tabla_Contabilidad[Nivel],0,0,1)+1)</f>
        <v>2</v>
      </c>
      <c r="D85" s="2" t="s">
        <v>102</v>
      </c>
      <c r="E85" s="2">
        <f>IF(Tabla_Contabilidad[[#This Row],[Id_anterior]]=1,ROW()-1,SUM(ROW()-1,Tabla_Contabilidad[[#This Row],[Id_anterior]]))</f>
        <v>84</v>
      </c>
      <c r="F8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CONTABILIDAD_CONSULTAS_DESVIACION_CAJA</v>
      </c>
      <c r="G85" s="9" t="str">
        <f>CLEAN(PROPER(Tabla_Contabilidad[[#This Row],[Nombre Opción]]))</f>
        <v>Desviación Caja</v>
      </c>
      <c r="H85" s="9" t="s">
        <v>1735</v>
      </c>
      <c r="I85" s="9" t="str">
        <f>_xlfn.XLOOKUP(Tabla_Contabilidad[[#This Row],[id_padre]],Tabla_Contabilidad[Id],Tabla_Contabilidad[Codigo_Tecnico],"",0,1)</f>
        <v>CONTABILIDAD_CONSULTAS</v>
      </c>
      <c r="J8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/contabilidad/consultas/desviacion-caja</v>
      </c>
      <c r="K8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desviacion-caja</v>
      </c>
      <c r="L85" s="2" t="s">
        <v>1440</v>
      </c>
      <c r="M85" s="4" t="s">
        <v>1798</v>
      </c>
      <c r="N85" s="4" t="s">
        <v>360</v>
      </c>
      <c r="O85" s="4"/>
      <c r="Q85" s="4" t="s">
        <v>360</v>
      </c>
      <c r="R85" s="4" t="s">
        <v>360</v>
      </c>
      <c r="T85" s="4" t="s">
        <v>360</v>
      </c>
      <c r="Y85" s="4" t="s">
        <v>360</v>
      </c>
      <c r="AB85" s="4" t="s">
        <v>360</v>
      </c>
      <c r="AC85" s="2" t="str">
        <f>IF(OR(Tabla_Contabilidad[[#This Row],[ROL_JEFE_CONT_CONTA]]="*",Tabla_Contabilidad[[#This Row],[ROL_JEFE_CONT_CONTA_HOSP]]="*"),"*","")</f>
        <v>*</v>
      </c>
    </row>
    <row r="86" spans="1:29" x14ac:dyDescent="0.5">
      <c r="A86" s="2">
        <v>1</v>
      </c>
      <c r="B86" s="2">
        <v>4</v>
      </c>
      <c r="C86" s="2">
        <f>IF(Tabla_Contabilidad[[#This Row],[id_padre]]="",0,_xlfn.XLOOKUP(Tabla_Contabilidad[[#This Row],[id_padre]],Tabla_Contabilidad[Id],Tabla_Contabilidad[Nivel],0,0,1)+1)</f>
        <v>2</v>
      </c>
      <c r="D86" s="2" t="s">
        <v>129</v>
      </c>
      <c r="E86" s="2">
        <f>IF(Tabla_Contabilidad[[#This Row],[Id_anterior]]=1,ROW()-1,SUM(ROW()-1,Tabla_Contabilidad[[#This Row],[Id_anterior]]))</f>
        <v>85</v>
      </c>
      <c r="F8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</v>
      </c>
      <c r="G86" s="9" t="str">
        <f>CLEAN(PROPER(Tabla_Contabilidad[[#This Row],[Nombre Opción]]))</f>
        <v>Por Unidad Interna</v>
      </c>
      <c r="H86" s="9" t="s">
        <v>1735</v>
      </c>
      <c r="I86" s="9" t="str">
        <f>_xlfn.XLOOKUP(Tabla_Contabilidad[[#This Row],[id_padre]],Tabla_Contabilidad[Id],Tabla_Contabilidad[Codigo_Tecnico],"",0,1)</f>
        <v>CONTABILIDAD_CONSULTAS</v>
      </c>
      <c r="J8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</v>
      </c>
      <c r="K8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por-unidad-interna</v>
      </c>
      <c r="L86" s="2" t="s">
        <v>1389</v>
      </c>
      <c r="M86" s="4" t="s">
        <v>1798</v>
      </c>
      <c r="N86" s="4" t="s">
        <v>360</v>
      </c>
      <c r="O86" s="4" t="s">
        <v>360</v>
      </c>
      <c r="P86" s="4" t="s">
        <v>360</v>
      </c>
      <c r="Q86" s="4" t="s">
        <v>360</v>
      </c>
      <c r="R86" s="4" t="s">
        <v>360</v>
      </c>
      <c r="S86" s="4" t="s">
        <v>360</v>
      </c>
      <c r="T86" s="4" t="s">
        <v>360</v>
      </c>
      <c r="W86" s="4" t="s">
        <v>360</v>
      </c>
      <c r="Y86" s="4" t="s">
        <v>360</v>
      </c>
      <c r="AB86" s="4" t="s">
        <v>360</v>
      </c>
      <c r="AC86" s="2" t="str">
        <f>IF(OR(Tabla_Contabilidad[[#This Row],[ROL_JEFE_CONT_CONTA]]="*",Tabla_Contabilidad[[#This Row],[ROL_JEFE_CONT_CONTA_HOSP]]="*"),"*","")</f>
        <v>*</v>
      </c>
    </row>
    <row r="87" spans="1:29" x14ac:dyDescent="0.5">
      <c r="A87" s="2">
        <v>1</v>
      </c>
      <c r="B87" s="2">
        <v>85</v>
      </c>
      <c r="C87" s="2">
        <f>IF(Tabla_Contabilidad[[#This Row],[id_padre]]="",0,_xlfn.XLOOKUP(Tabla_Contabilidad[[#This Row],[id_padre]],Tabla_Contabilidad[Id],Tabla_Contabilidad[Nivel],0,0,1)+1)</f>
        <v>3</v>
      </c>
      <c r="D87" s="2" t="s">
        <v>103</v>
      </c>
      <c r="E87" s="2">
        <f>IF(Tabla_Contabilidad[[#This Row],[Id_anterior]]=1,ROW()-1,SUM(ROW()-1,Tabla_Contabilidad[[#This Row],[Id_anterior]]))</f>
        <v>86</v>
      </c>
      <c r="F8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CONTABILIDAD_CONSULTAS_POR_UNIDAD_INTERNA_CUADRATURA_MOVIMIENTO_FONDOS_MES</v>
      </c>
      <c r="G87" s="9" t="str">
        <f>CLEAN(PROPER(Tabla_Contabilidad[[#This Row],[Nombre Opción]]))</f>
        <v>Cuadratura Movimiento De Fondos Del Mes</v>
      </c>
      <c r="H87" s="9" t="s">
        <v>1735</v>
      </c>
      <c r="I87" s="9" t="str">
        <f>_xlfn.XLOOKUP(Tabla_Contabilidad[[#This Row],[id_padre]],Tabla_Contabilidad[Id],Tabla_Contabilidad[Codigo_Tecnico],"",0,1)</f>
        <v>CONTABILIDAD_CONSULTAS_POR_UNIDAD_INTERNA</v>
      </c>
      <c r="J8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/contabilidad/consultas/por-unidad-interna/cuadratura-movimiento-fondos-mes</v>
      </c>
      <c r="K8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cuadratura-movimiento-fondos-mes</v>
      </c>
      <c r="L87" s="2" t="s">
        <v>1408</v>
      </c>
      <c r="M87" s="4" t="s">
        <v>1798</v>
      </c>
      <c r="N87" s="4" t="s">
        <v>360</v>
      </c>
      <c r="O87" s="4" t="s">
        <v>360</v>
      </c>
      <c r="P87" s="4" t="s">
        <v>360</v>
      </c>
      <c r="Q87" s="4" t="s">
        <v>360</v>
      </c>
      <c r="R87" s="4" t="s">
        <v>360</v>
      </c>
      <c r="S87" s="4" t="s">
        <v>360</v>
      </c>
      <c r="T87" s="4" t="s">
        <v>360</v>
      </c>
      <c r="W87" s="4" t="s">
        <v>360</v>
      </c>
      <c r="Y87" s="4" t="s">
        <v>360</v>
      </c>
      <c r="AB87" s="4" t="s">
        <v>360</v>
      </c>
      <c r="AC87" s="2" t="str">
        <f>IF(OR(Tabla_Contabilidad[[#This Row],[ROL_JEFE_CONT_CONTA]]="*",Tabla_Contabilidad[[#This Row],[ROL_JEFE_CONT_CONTA_HOSP]]="*"),"*","")</f>
        <v>*</v>
      </c>
    </row>
    <row r="88" spans="1:29" x14ac:dyDescent="0.5">
      <c r="A88" s="2">
        <v>1</v>
      </c>
      <c r="B88" s="2">
        <v>85</v>
      </c>
      <c r="C88" s="2">
        <f>IF(Tabla_Contabilidad[[#This Row],[id_padre]]="",0,_xlfn.XLOOKUP(Tabla_Contabilidad[[#This Row],[id_padre]],Tabla_Contabilidad[Id],Tabla_Contabilidad[Nivel],0,0,1)+1)</f>
        <v>3</v>
      </c>
      <c r="D88" s="2" t="s">
        <v>82</v>
      </c>
      <c r="E88" s="2">
        <f>IF(Tabla_Contabilidad[[#This Row],[Id_anterior]]=1,ROW()-1,SUM(ROW()-1,Tabla_Contabilidad[[#This Row],[Id_anterior]]))</f>
        <v>87</v>
      </c>
      <c r="F8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CONTABILIDAD_CONSULTAS_POR_UNIDAD_INTERNA_BALANCE_COMPROBACION_Y_SALDOS_MES</v>
      </c>
      <c r="G88" s="9" t="str">
        <f>CLEAN(PROPER(Tabla_Contabilidad[[#This Row],[Nombre Opción]]))</f>
        <v>Balance Comprobación Y Saldos Del Mes</v>
      </c>
      <c r="H88" s="9" t="s">
        <v>1735</v>
      </c>
      <c r="I88" s="9" t="str">
        <f>_xlfn.XLOOKUP(Tabla_Contabilidad[[#This Row],[id_padre]],Tabla_Contabilidad[Id],Tabla_Contabilidad[Codigo_Tecnico],"",0,1)</f>
        <v>CONTABILIDAD_CONSULTAS_POR_UNIDAD_INTERNA</v>
      </c>
      <c r="J8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/contabilidad/consultas/por-unidad-interna/balance-comprobacion-y-saldos-mes</v>
      </c>
      <c r="K8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balance-comprobacion-y-saldos-mes</v>
      </c>
      <c r="L88" s="2" t="s">
        <v>1386</v>
      </c>
      <c r="M88" s="4" t="s">
        <v>1798</v>
      </c>
      <c r="N88" s="4" t="s">
        <v>360</v>
      </c>
      <c r="O88" s="4" t="s">
        <v>360</v>
      </c>
      <c r="P88" s="4" t="s">
        <v>360</v>
      </c>
      <c r="Q88" s="4" t="s">
        <v>360</v>
      </c>
      <c r="R88" s="4" t="s">
        <v>360</v>
      </c>
      <c r="S88" s="4" t="s">
        <v>360</v>
      </c>
      <c r="T88" s="4" t="s">
        <v>360</v>
      </c>
      <c r="W88" s="4" t="s">
        <v>360</v>
      </c>
      <c r="Y88" s="4" t="s">
        <v>360</v>
      </c>
      <c r="AB88" s="4" t="s">
        <v>360</v>
      </c>
      <c r="AC88" s="2" t="str">
        <f>IF(OR(Tabla_Contabilidad[[#This Row],[ROL_JEFE_CONT_CONTA]]="*",Tabla_Contabilidad[[#This Row],[ROL_JEFE_CONT_CONTA_HOSP]]="*"),"*","")</f>
        <v>*</v>
      </c>
    </row>
    <row r="89" spans="1:29" x14ac:dyDescent="0.5">
      <c r="A89" s="2">
        <v>1</v>
      </c>
      <c r="B89" s="2">
        <v>85</v>
      </c>
      <c r="C89" s="2">
        <f>IF(Tabla_Contabilidad[[#This Row],[id_padre]]="",0,_xlfn.XLOOKUP(Tabla_Contabilidad[[#This Row],[id_padre]],Tabla_Contabilidad[Id],Tabla_Contabilidad[Nivel],0,0,1)+1)</f>
        <v>3</v>
      </c>
      <c r="D89" s="2" t="s">
        <v>83</v>
      </c>
      <c r="E89" s="2">
        <f>IF(Tabla_Contabilidad[[#This Row],[Id_anterior]]=1,ROW()-1,SUM(ROW()-1,Tabla_Contabilidad[[#This Row],[Id_anterior]]))</f>
        <v>88</v>
      </c>
      <c r="F8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CONTABILIDAD_CONSULTAS_POR_UNIDAD_INTERNA_LIBRO_MAYOR_MES</v>
      </c>
      <c r="G89" s="9" t="str">
        <f>CLEAN(PROPER(Tabla_Contabilidad[[#This Row],[Nombre Opción]]))</f>
        <v>Libro Mayor Del Mes</v>
      </c>
      <c r="H89" s="9" t="s">
        <v>1735</v>
      </c>
      <c r="I89" s="9" t="str">
        <f>_xlfn.XLOOKUP(Tabla_Contabilidad[[#This Row],[id_padre]],Tabla_Contabilidad[Id],Tabla_Contabilidad[Codigo_Tecnico],"",0,1)</f>
        <v>CONTABILIDAD_CONSULTAS_POR_UNIDAD_INTERNA</v>
      </c>
      <c r="J8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/contabilidad/consultas/por-unidad-interna/libro-mayor-mes</v>
      </c>
      <c r="K8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libro-mayor-mes</v>
      </c>
      <c r="L89" s="2" t="s">
        <v>1432</v>
      </c>
      <c r="M89" s="4" t="s">
        <v>1798</v>
      </c>
      <c r="N89" s="4" t="s">
        <v>360</v>
      </c>
      <c r="O89" s="4" t="s">
        <v>360</v>
      </c>
      <c r="P89" s="4" t="s">
        <v>360</v>
      </c>
      <c r="Q89" s="4" t="s">
        <v>360</v>
      </c>
      <c r="R89" s="4" t="s">
        <v>360</v>
      </c>
      <c r="S89" s="4" t="s">
        <v>360</v>
      </c>
      <c r="T89" s="4" t="s">
        <v>360</v>
      </c>
      <c r="W89" s="4" t="s">
        <v>360</v>
      </c>
      <c r="Y89" s="4" t="s">
        <v>360</v>
      </c>
      <c r="AB89" s="4" t="s">
        <v>360</v>
      </c>
      <c r="AC89" s="2" t="str">
        <f>IF(OR(Tabla_Contabilidad[[#This Row],[ROL_JEFE_CONT_CONTA]]="*",Tabla_Contabilidad[[#This Row],[ROL_JEFE_CONT_CONTA_HOSP]]="*"),"*","")</f>
        <v>*</v>
      </c>
    </row>
    <row r="90" spans="1:29" x14ac:dyDescent="0.5">
      <c r="A90" s="2">
        <v>1</v>
      </c>
      <c r="B90" s="2">
        <v>85</v>
      </c>
      <c r="C90" s="2">
        <f>IF(Tabla_Contabilidad[[#This Row],[id_padre]]="",0,_xlfn.XLOOKUP(Tabla_Contabilidad[[#This Row],[id_padre]],Tabla_Contabilidad[Id],Tabla_Contabilidad[Nivel],0,0,1)+1)</f>
        <v>3</v>
      </c>
      <c r="D90" s="2" t="s">
        <v>84</v>
      </c>
      <c r="E90" s="2">
        <f>IF(Tabla_Contabilidad[[#This Row],[Id_anterior]]=1,ROW()-1,SUM(ROW()-1,Tabla_Contabilidad[[#This Row],[Id_anterior]]))</f>
        <v>89</v>
      </c>
      <c r="F9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CONTABILIDAD_CONSULTAS_POR_UNIDAD_INTERNA_CUENTAS_COMPLEMENTARIAS_MES</v>
      </c>
      <c r="G90" s="9" t="str">
        <f>CLEAN(PROPER(Tabla_Contabilidad[[#This Row],[Nombre Opción]]))</f>
        <v>Cuentas Complementarias Del Mes</v>
      </c>
      <c r="H90" s="9" t="s">
        <v>1735</v>
      </c>
      <c r="I90" s="9" t="str">
        <f>_xlfn.XLOOKUP(Tabla_Contabilidad[[#This Row],[id_padre]],Tabla_Contabilidad[Id],Tabla_Contabilidad[Codigo_Tecnico],"",0,1)</f>
        <v>CONTABILIDAD_CONSULTAS_POR_UNIDAD_INTERNA</v>
      </c>
      <c r="J9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/contabilidad/consultas/por-unidad-interna/cuentas-complementarias-mes</v>
      </c>
      <c r="K9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cuentas-complementarias-mes</v>
      </c>
      <c r="L90" s="2" t="s">
        <v>1433</v>
      </c>
      <c r="M90" s="4" t="s">
        <v>1798</v>
      </c>
      <c r="N90" s="4" t="s">
        <v>360</v>
      </c>
      <c r="O90" s="4" t="s">
        <v>360</v>
      </c>
      <c r="P90" s="4" t="s">
        <v>360</v>
      </c>
      <c r="Q90" s="4" t="s">
        <v>360</v>
      </c>
      <c r="R90" s="4" t="s">
        <v>360</v>
      </c>
      <c r="S90" s="4" t="s">
        <v>360</v>
      </c>
      <c r="T90" s="4" t="s">
        <v>360</v>
      </c>
      <c r="W90" s="4" t="s">
        <v>360</v>
      </c>
      <c r="Y90" s="4" t="s">
        <v>360</v>
      </c>
      <c r="AB90" s="4" t="s">
        <v>360</v>
      </c>
      <c r="AC90" s="2" t="str">
        <f>IF(OR(Tabla_Contabilidad[[#This Row],[ROL_JEFE_CONT_CONTA]]="*",Tabla_Contabilidad[[#This Row],[ROL_JEFE_CONT_CONTA_HOSP]]="*"),"*","")</f>
        <v>*</v>
      </c>
    </row>
    <row r="91" spans="1:29" x14ac:dyDescent="0.5">
      <c r="A91" s="2">
        <v>1</v>
      </c>
      <c r="B91" s="2">
        <v>85</v>
      </c>
      <c r="C91" s="2">
        <f>IF(Tabla_Contabilidad[[#This Row],[id_padre]]="",0,_xlfn.XLOOKUP(Tabla_Contabilidad[[#This Row],[id_padre]],Tabla_Contabilidad[Id],Tabla_Contabilidad[Nivel],0,0,1)+1)</f>
        <v>3</v>
      </c>
      <c r="D91" s="2" t="s">
        <v>85</v>
      </c>
      <c r="E91" s="2">
        <f>IF(Tabla_Contabilidad[[#This Row],[Id_anterior]]=1,ROW()-1,SUM(ROW()-1,Tabla_Contabilidad[[#This Row],[Id_anterior]]))</f>
        <v>90</v>
      </c>
      <c r="F9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CONTABILIDAD_CONSULTAS_POR_UNIDAD_INTERNA_MOVIMIENTOS_FONDOS_MES</v>
      </c>
      <c r="G91" s="9" t="str">
        <f>CLEAN(PROPER(Tabla_Contabilidad[[#This Row],[Nombre Opción]]))</f>
        <v>Movimientos De Fondos Del Mes</v>
      </c>
      <c r="H91" s="9" t="s">
        <v>1735</v>
      </c>
      <c r="I91" s="9" t="str">
        <f>_xlfn.XLOOKUP(Tabla_Contabilidad[[#This Row],[id_padre]],Tabla_Contabilidad[Id],Tabla_Contabilidad[Codigo_Tecnico],"",0,1)</f>
        <v>CONTABILIDAD_CONSULTAS_POR_UNIDAD_INTERNA</v>
      </c>
      <c r="J9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/contabilidad/consultas/por-unidad-interna/movimientos-fondos-mes</v>
      </c>
      <c r="K9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movimientos-fondos-mes</v>
      </c>
      <c r="L91" s="2" t="s">
        <v>1379</v>
      </c>
      <c r="M91" s="4" t="s">
        <v>1798</v>
      </c>
      <c r="N91" s="4" t="s">
        <v>360</v>
      </c>
      <c r="O91" s="4" t="s">
        <v>360</v>
      </c>
      <c r="P91" s="4" t="s">
        <v>360</v>
      </c>
      <c r="Q91" s="4" t="s">
        <v>360</v>
      </c>
      <c r="R91" s="4" t="s">
        <v>360</v>
      </c>
      <c r="S91" s="4" t="s">
        <v>360</v>
      </c>
      <c r="T91" s="4" t="s">
        <v>360</v>
      </c>
      <c r="W91" s="4" t="s">
        <v>360</v>
      </c>
      <c r="Y91" s="4" t="s">
        <v>360</v>
      </c>
      <c r="AB91" s="4" t="s">
        <v>360</v>
      </c>
      <c r="AC91" s="2" t="str">
        <f>IF(OR(Tabla_Contabilidad[[#This Row],[ROL_JEFE_CONT_CONTA]]="*",Tabla_Contabilidad[[#This Row],[ROL_JEFE_CONT_CONTA_HOSP]]="*"),"*","")</f>
        <v>*</v>
      </c>
    </row>
    <row r="92" spans="1:29" x14ac:dyDescent="0.5">
      <c r="A92" s="2">
        <v>1</v>
      </c>
      <c r="B92" s="2">
        <v>85</v>
      </c>
      <c r="C92" s="2">
        <f>IF(Tabla_Contabilidad[[#This Row],[id_padre]]="",0,_xlfn.XLOOKUP(Tabla_Contabilidad[[#This Row],[id_padre]],Tabla_Contabilidad[Id],Tabla_Contabilidad[Nivel],0,0,1)+1)</f>
        <v>3</v>
      </c>
      <c r="D92" s="2" t="s">
        <v>106</v>
      </c>
      <c r="E92" s="2">
        <f>IF(Tabla_Contabilidad[[#This Row],[Id_anterior]]=1,ROW()-1,SUM(ROW()-1,Tabla_Contabilidad[[#This Row],[Id_anterior]]))</f>
        <v>91</v>
      </c>
      <c r="F9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CONTABILIDAD_CONSULTAS_POR_UNIDAD_INTERNA_SALDOS_CUENTAS_MES</v>
      </c>
      <c r="G92" s="9" t="str">
        <f>CLEAN(PROPER(Tabla_Contabilidad[[#This Row],[Nombre Opción]]))</f>
        <v>Saldos De Cuentas Del Mes</v>
      </c>
      <c r="H92" s="9" t="s">
        <v>1735</v>
      </c>
      <c r="I92" s="9" t="str">
        <f>_xlfn.XLOOKUP(Tabla_Contabilidad[[#This Row],[id_padre]],Tabla_Contabilidad[Id],Tabla_Contabilidad[Codigo_Tecnico],"",0,1)</f>
        <v>CONTABILIDAD_CONSULTAS_POR_UNIDAD_INTERNA</v>
      </c>
      <c r="J9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/contabilidad/consultas/por-unidad-interna/saldos-cuentas-mes</v>
      </c>
      <c r="K9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saldos-cuentas-mes</v>
      </c>
      <c r="L92" s="2" t="s">
        <v>1415</v>
      </c>
      <c r="M92" s="4" t="s">
        <v>1798</v>
      </c>
      <c r="N92" s="4" t="s">
        <v>360</v>
      </c>
      <c r="O92" s="4" t="s">
        <v>360</v>
      </c>
      <c r="P92" s="4" t="s">
        <v>360</v>
      </c>
      <c r="Q92" s="4" t="s">
        <v>360</v>
      </c>
      <c r="R92" s="4" t="s">
        <v>360</v>
      </c>
      <c r="S92" s="4" t="s">
        <v>360</v>
      </c>
      <c r="T92" s="4" t="s">
        <v>360</v>
      </c>
      <c r="W92" s="4" t="s">
        <v>360</v>
      </c>
      <c r="Y92" s="4" t="s">
        <v>360</v>
      </c>
      <c r="AB92" s="4" t="s">
        <v>360</v>
      </c>
      <c r="AC92" s="2" t="str">
        <f>IF(OR(Tabla_Contabilidad[[#This Row],[ROL_JEFE_CONT_CONTA]]="*",Tabla_Contabilidad[[#This Row],[ROL_JEFE_CONT_CONTA_HOSP]]="*"),"*","")</f>
        <v>*</v>
      </c>
    </row>
    <row r="93" spans="1:29" x14ac:dyDescent="0.5">
      <c r="A93" s="2">
        <v>1</v>
      </c>
      <c r="B93" s="2">
        <v>85</v>
      </c>
      <c r="C93" s="2">
        <f>IF(Tabla_Contabilidad[[#This Row],[id_padre]]="",0,_xlfn.XLOOKUP(Tabla_Contabilidad[[#This Row],[id_padre]],Tabla_Contabilidad[Id],Tabla_Contabilidad[Nivel],0,0,1)+1)</f>
        <v>3</v>
      </c>
      <c r="D93" s="2" t="s">
        <v>107</v>
      </c>
      <c r="E93" s="2">
        <f>IF(Tabla_Contabilidad[[#This Row],[Id_anterior]]=1,ROW()-1,SUM(ROW()-1,Tabla_Contabilidad[[#This Row],[Id_anterior]]))</f>
        <v>92</v>
      </c>
      <c r="F9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CONTABILIDAD_CONSULTAS_POR_UNIDAD_INTERNA_CUADRATURA_UNIDAD_INTERNA_CUENTAS_GASTOS_MES</v>
      </c>
      <c r="G93" s="9" t="str">
        <f>CLEAN(PROPER(Tabla_Contabilidad[[#This Row],[Nombre Opción]]))</f>
        <v>Cuadratura Unidad Interna / Cuentas De Gastos Del Mes</v>
      </c>
      <c r="H93" s="9" t="s">
        <v>1735</v>
      </c>
      <c r="I93" s="9" t="str">
        <f>_xlfn.XLOOKUP(Tabla_Contabilidad[[#This Row],[id_padre]],Tabla_Contabilidad[Id],Tabla_Contabilidad[Codigo_Tecnico],"",0,1)</f>
        <v>CONTABILIDAD_CONSULTAS_POR_UNIDAD_INTERNA</v>
      </c>
      <c r="J9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/contabilidad/consultas/por-unidad-interna/cuadratura-unidad-interna-cuentas-gastos-mes</v>
      </c>
      <c r="K9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cuadratura-unidad-interna-cuentas-gastos-mes</v>
      </c>
      <c r="L93" s="2" t="s">
        <v>1345</v>
      </c>
      <c r="M93" s="4" t="s">
        <v>1798</v>
      </c>
      <c r="N93" s="4" t="s">
        <v>360</v>
      </c>
      <c r="O93" s="4" t="s">
        <v>360</v>
      </c>
      <c r="P93" s="4" t="s">
        <v>360</v>
      </c>
      <c r="Q93" s="4" t="s">
        <v>360</v>
      </c>
      <c r="R93" s="4" t="s">
        <v>360</v>
      </c>
      <c r="S93" s="4" t="s">
        <v>360</v>
      </c>
      <c r="T93" s="4" t="s">
        <v>360</v>
      </c>
      <c r="W93" s="4" t="s">
        <v>360</v>
      </c>
      <c r="Y93" s="4" t="s">
        <v>360</v>
      </c>
      <c r="AB93" s="4" t="s">
        <v>360</v>
      </c>
      <c r="AC93" s="2" t="str">
        <f>IF(OR(Tabla_Contabilidad[[#This Row],[ROL_JEFE_CONT_CONTA]]="*",Tabla_Contabilidad[[#This Row],[ROL_JEFE_CONT_CONTA_HOSP]]="*"),"*","")</f>
        <v>*</v>
      </c>
    </row>
    <row r="94" spans="1:29" x14ac:dyDescent="0.5">
      <c r="A94" s="2">
        <v>1</v>
      </c>
      <c r="B94" s="2">
        <v>85</v>
      </c>
      <c r="C94" s="2">
        <f>IF(Tabla_Contabilidad[[#This Row],[id_padre]]="",0,_xlfn.XLOOKUP(Tabla_Contabilidad[[#This Row],[id_padre]],Tabla_Contabilidad[Id],Tabla_Contabilidad[Nivel],0,0,1)+1)</f>
        <v>3</v>
      </c>
      <c r="D94" s="2" t="s">
        <v>108</v>
      </c>
      <c r="E94" s="2">
        <f>IF(Tabla_Contabilidad[[#This Row],[Id_anterior]]=1,ROW()-1,SUM(ROW()-1,Tabla_Contabilidad[[#This Row],[Id_anterior]]))</f>
        <v>93</v>
      </c>
      <c r="F9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CONTABILIDAD_CONSULTAS_POR_UNIDAD_INTERNA_CUADRATURA_UNIDAD_INTERNA_CUENTAS_INGRESOS_MES</v>
      </c>
      <c r="G94" s="9" t="str">
        <f>CLEAN(PROPER(Tabla_Contabilidad[[#This Row],[Nombre Opción]]))</f>
        <v>Cuadratura Unidad Interna / Cuentas De Ingresos Del Mes</v>
      </c>
      <c r="H94" s="9" t="s">
        <v>1735</v>
      </c>
      <c r="I94" s="9" t="str">
        <f>_xlfn.XLOOKUP(Tabla_Contabilidad[[#This Row],[id_padre]],Tabla_Contabilidad[Id],Tabla_Contabilidad[Codigo_Tecnico],"",0,1)</f>
        <v>CONTABILIDAD_CONSULTAS_POR_UNIDAD_INTERNA</v>
      </c>
      <c r="J9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/contabilidad/consultas/por-unidad-interna/cuadratura-unidad-interna-cuentas-ingresos-mes</v>
      </c>
      <c r="K9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cuadratura-unidad-interna-cuentas-ingresos-mes</v>
      </c>
      <c r="L94" s="2" t="s">
        <v>1434</v>
      </c>
      <c r="M94" s="4" t="s">
        <v>1798</v>
      </c>
      <c r="N94" s="4" t="s">
        <v>360</v>
      </c>
      <c r="O94" s="4" t="s">
        <v>360</v>
      </c>
      <c r="P94" s="4" t="s">
        <v>360</v>
      </c>
      <c r="Q94" s="4" t="s">
        <v>360</v>
      </c>
      <c r="R94" s="4" t="s">
        <v>360</v>
      </c>
      <c r="S94" s="4" t="s">
        <v>360</v>
      </c>
      <c r="T94" s="4" t="s">
        <v>360</v>
      </c>
      <c r="W94" s="4" t="s">
        <v>360</v>
      </c>
      <c r="Y94" s="4" t="s">
        <v>360</v>
      </c>
      <c r="AB94" s="4" t="s">
        <v>360</v>
      </c>
      <c r="AC94" s="2" t="str">
        <f>IF(OR(Tabla_Contabilidad[[#This Row],[ROL_JEFE_CONT_CONTA]]="*",Tabla_Contabilidad[[#This Row],[ROL_JEFE_CONT_CONTA_HOSP]]="*"),"*","")</f>
        <v>*</v>
      </c>
    </row>
    <row r="95" spans="1:29" x14ac:dyDescent="0.5">
      <c r="A95" s="2">
        <v>1</v>
      </c>
      <c r="B95" s="2">
        <v>85</v>
      </c>
      <c r="C95" s="2">
        <f>IF(Tabla_Contabilidad[[#This Row],[id_padre]]="",0,_xlfn.XLOOKUP(Tabla_Contabilidad[[#This Row],[id_padre]],Tabla_Contabilidad[Id],Tabla_Contabilidad[Nivel],0,0,1)+1)</f>
        <v>3</v>
      </c>
      <c r="D95" s="2" t="s">
        <v>109</v>
      </c>
      <c r="E95" s="2">
        <f>IF(Tabla_Contabilidad[[#This Row],[Id_anterior]]=1,ROW()-1,SUM(ROW()-1,Tabla_Contabilidad[[#This Row],[Id_anterior]]))</f>
        <v>94</v>
      </c>
      <c r="F9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CONTABILIDAD_CONSULTAS_POR_UNIDAD_INTERNA_COMPROMISOS_POR_UNIDAD_INTERNA_INGRESOS_POR_UUII_CUENTA</v>
      </c>
      <c r="G95" s="9" t="str">
        <f>CLEAN(PROPER(Tabla_Contabilidad[[#This Row],[Nombre Opción]]))</f>
        <v>Compromisos Por Unidad Interna / De Ingresos Por Uu.Ii / Cuenta</v>
      </c>
      <c r="H95" s="9" t="s">
        <v>1735</v>
      </c>
      <c r="I95" s="9" t="str">
        <f>_xlfn.XLOOKUP(Tabla_Contabilidad[[#This Row],[id_padre]],Tabla_Contabilidad[Id],Tabla_Contabilidad[Codigo_Tecnico],"",0,1)</f>
        <v>CONTABILIDAD_CONSULTAS_POR_UNIDAD_INTERNA</v>
      </c>
      <c r="J9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/contabilidad/consultas/por-unidad-interna/compromisos-por-unidad-interna-ingresos-por-uuii-cuenta</v>
      </c>
      <c r="K9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compromisos-por-unidad-interna-ingresos-por-uuii-cuenta</v>
      </c>
      <c r="L95" s="2" t="s">
        <v>1365</v>
      </c>
      <c r="M95" s="4" t="s">
        <v>1798</v>
      </c>
      <c r="N95" s="4" t="s">
        <v>360</v>
      </c>
      <c r="O95" s="4" t="s">
        <v>360</v>
      </c>
      <c r="P95" s="4" t="s">
        <v>360</v>
      </c>
      <c r="Q95" s="4" t="s">
        <v>360</v>
      </c>
      <c r="R95" s="4" t="s">
        <v>360</v>
      </c>
      <c r="S95" s="4" t="s">
        <v>360</v>
      </c>
      <c r="T95" s="4" t="s">
        <v>360</v>
      </c>
      <c r="W95" s="4" t="s">
        <v>360</v>
      </c>
      <c r="Y95" s="4" t="s">
        <v>360</v>
      </c>
      <c r="AB95" s="4" t="s">
        <v>360</v>
      </c>
      <c r="AC95" s="2" t="str">
        <f>IF(OR(Tabla_Contabilidad[[#This Row],[ROL_JEFE_CONT_CONTA]]="*",Tabla_Contabilidad[[#This Row],[ROL_JEFE_CONT_CONTA_HOSP]]="*"),"*","")</f>
        <v>*</v>
      </c>
    </row>
    <row r="96" spans="1:29" x14ac:dyDescent="0.5">
      <c r="A96" s="2">
        <v>1</v>
      </c>
      <c r="B96" s="2">
        <v>85</v>
      </c>
      <c r="C96" s="2">
        <f>IF(Tabla_Contabilidad[[#This Row],[id_padre]]="",0,_xlfn.XLOOKUP(Tabla_Contabilidad[[#This Row],[id_padre]],Tabla_Contabilidad[Id],Tabla_Contabilidad[Nivel],0,0,1)+1)</f>
        <v>3</v>
      </c>
      <c r="D96" s="2" t="s">
        <v>110</v>
      </c>
      <c r="E96" s="2">
        <f>IF(Tabla_Contabilidad[[#This Row],[Id_anterior]]=1,ROW()-1,SUM(ROW()-1,Tabla_Contabilidad[[#This Row],[Id_anterior]]))</f>
        <v>95</v>
      </c>
      <c r="F9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CONTABILIDAD_CONSULTAS_POR_UNIDAD_INTERNA_COMPROMISOS_POR_UNIDAD_INTERNA_GASTOS_POR_UUII_CUENTA</v>
      </c>
      <c r="G96" s="9" t="str">
        <f>CLEAN(PROPER(Tabla_Contabilidad[[#This Row],[Nombre Opción]]))</f>
        <v>Compromisos Por Unidad Interna / De Gastos Por Uu.Ii / Cuenta</v>
      </c>
      <c r="H96" s="9" t="s">
        <v>1735</v>
      </c>
      <c r="I96" s="9" t="str">
        <f>_xlfn.XLOOKUP(Tabla_Contabilidad[[#This Row],[id_padre]],Tabla_Contabilidad[Id],Tabla_Contabilidad[Codigo_Tecnico],"",0,1)</f>
        <v>CONTABILIDAD_CONSULTAS_POR_UNIDAD_INTERNA</v>
      </c>
      <c r="J9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/contabilidad/consultas/por-unidad-interna/compromisos-por-unidad-interna-gastos-por-uuii-cuenta</v>
      </c>
      <c r="K9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compromisos-por-unidad-interna-gastos-por-uuii-cuenta</v>
      </c>
      <c r="L96" s="2" t="s">
        <v>1435</v>
      </c>
      <c r="M96" s="4" t="s">
        <v>1798</v>
      </c>
      <c r="N96" s="4" t="s">
        <v>360</v>
      </c>
      <c r="O96" s="4" t="s">
        <v>360</v>
      </c>
      <c r="P96" s="4" t="s">
        <v>360</v>
      </c>
      <c r="Q96" s="4" t="s">
        <v>360</v>
      </c>
      <c r="R96" s="4" t="s">
        <v>360</v>
      </c>
      <c r="S96" s="4" t="s">
        <v>360</v>
      </c>
      <c r="T96" s="4" t="s">
        <v>360</v>
      </c>
      <c r="W96" s="4" t="s">
        <v>360</v>
      </c>
      <c r="Y96" s="4" t="s">
        <v>360</v>
      </c>
      <c r="AB96" s="4" t="s">
        <v>360</v>
      </c>
      <c r="AC96" s="2" t="str">
        <f>IF(OR(Tabla_Contabilidad[[#This Row],[ROL_JEFE_CONT_CONTA]]="*",Tabla_Contabilidad[[#This Row],[ROL_JEFE_CONT_CONTA_HOSP]]="*"),"*","")</f>
        <v>*</v>
      </c>
    </row>
    <row r="97" spans="1:29" x14ac:dyDescent="0.5">
      <c r="A97" s="2">
        <v>1</v>
      </c>
      <c r="B97" s="2">
        <v>85</v>
      </c>
      <c r="C97" s="2">
        <f>IF(Tabla_Contabilidad[[#This Row],[id_padre]]="",0,_xlfn.XLOOKUP(Tabla_Contabilidad[[#This Row],[id_padre]],Tabla_Contabilidad[Id],Tabla_Contabilidad[Nivel],0,0,1)+1)</f>
        <v>3</v>
      </c>
      <c r="D97" s="2" t="s">
        <v>100</v>
      </c>
      <c r="E97" s="2">
        <f>IF(Tabla_Contabilidad[[#This Row],[Id_anterior]]=1,ROW()-1,SUM(ROW()-1,Tabla_Contabilidad[[#This Row],[Id_anterior]]))</f>
        <v>96</v>
      </c>
      <c r="F9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CONTABILIDAD_CONSULTAS_POR_UNIDAD_INTERNA_ANALITICOS</v>
      </c>
      <c r="G97" s="9" t="str">
        <f>CLEAN(PROPER(Tabla_Contabilidad[[#This Row],[Nombre Opción]]))</f>
        <v>Analiticos</v>
      </c>
      <c r="H97" s="9" t="s">
        <v>1735</v>
      </c>
      <c r="I97" s="9" t="str">
        <f>_xlfn.XLOOKUP(Tabla_Contabilidad[[#This Row],[id_padre]],Tabla_Contabilidad[Id],Tabla_Contabilidad[Codigo_Tecnico],"",0,1)</f>
        <v>CONTABILIDAD_CONSULTAS_POR_UNIDAD_INTERNA</v>
      </c>
      <c r="J9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/contabilidad/consultas/por-unidad-interna/analiticos</v>
      </c>
      <c r="K9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</v>
      </c>
      <c r="L97" s="2" t="s">
        <v>1421</v>
      </c>
      <c r="M97" s="4" t="s">
        <v>1798</v>
      </c>
      <c r="N97" s="4" t="s">
        <v>360</v>
      </c>
      <c r="O97" s="4" t="s">
        <v>360</v>
      </c>
      <c r="P97" s="4" t="s">
        <v>360</v>
      </c>
      <c r="Q97" s="4" t="s">
        <v>360</v>
      </c>
      <c r="R97" s="4" t="s">
        <v>360</v>
      </c>
      <c r="S97" s="4" t="s">
        <v>360</v>
      </c>
      <c r="T97" s="4" t="s">
        <v>360</v>
      </c>
      <c r="W97" s="4" t="s">
        <v>360</v>
      </c>
      <c r="Y97" s="4" t="s">
        <v>360</v>
      </c>
      <c r="AB97" s="4" t="s">
        <v>360</v>
      </c>
      <c r="AC97" s="2" t="str">
        <f>IF(OR(Tabla_Contabilidad[[#This Row],[ROL_JEFE_CONT_CONTA]]="*",Tabla_Contabilidad[[#This Row],[ROL_JEFE_CONT_CONTA_HOSP]]="*"),"*","")</f>
        <v>*</v>
      </c>
    </row>
    <row r="98" spans="1:29" x14ac:dyDescent="0.5">
      <c r="A98" s="2">
        <v>1</v>
      </c>
      <c r="B98" s="2">
        <v>96</v>
      </c>
      <c r="C98" s="2">
        <f>IF(Tabla_Contabilidad[[#This Row],[id_padre]]="",0,_xlfn.XLOOKUP(Tabla_Contabilidad[[#This Row],[id_padre]],Tabla_Contabilidad[Id],Tabla_Contabilidad[Nivel],0,0,1)+1)</f>
        <v>4</v>
      </c>
      <c r="D98" s="2" t="s">
        <v>104</v>
      </c>
      <c r="E98" s="2">
        <f>IF(Tabla_Contabilidad[[#This Row],[Id_anterior]]=1,ROW()-1,SUM(ROW()-1,Tabla_Contabilidad[[#This Row],[Id_anterior]]))</f>
        <v>97</v>
      </c>
      <c r="F9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CONTABILIDAD_CONSULTAS_POR_UNIDAD_INTERNA_ANALITICOS_ANALITICOS_CUENTAS_POR_UUII</v>
      </c>
      <c r="G98" s="9" t="str">
        <f>CLEAN(PROPER(Tabla_Contabilidad[[#This Row],[Nombre Opción]]))</f>
        <v>Analiticos De Cuentas Por Uu.Ii</v>
      </c>
      <c r="H98" s="9" t="s">
        <v>1735</v>
      </c>
      <c r="I98" s="9" t="str">
        <f>_xlfn.XLOOKUP(Tabla_Contabilidad[[#This Row],[id_padre]],Tabla_Contabilidad[Id],Tabla_Contabilidad[Codigo_Tecnico],"",0,1)</f>
        <v>CONTABILIDAD_CONSULTAS_POR_UNIDAD_INTERNA_ANALITICOS</v>
      </c>
      <c r="J9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/contabilidad/consultas/por-unidad-interna/analiticos/analiticos-cuentas-por-uuii</v>
      </c>
      <c r="K9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analiticos-cuentas-por-uuii</v>
      </c>
      <c r="L98" s="2" t="s">
        <v>1411</v>
      </c>
      <c r="M98" s="4" t="s">
        <v>1798</v>
      </c>
      <c r="N98" s="4" t="s">
        <v>360</v>
      </c>
      <c r="O98" s="4" t="s">
        <v>360</v>
      </c>
      <c r="P98" s="4" t="s">
        <v>360</v>
      </c>
      <c r="Q98" s="4" t="s">
        <v>360</v>
      </c>
      <c r="R98" s="4" t="s">
        <v>360</v>
      </c>
      <c r="S98" s="4" t="s">
        <v>360</v>
      </c>
      <c r="T98" s="4" t="s">
        <v>360</v>
      </c>
      <c r="W98" s="4" t="s">
        <v>360</v>
      </c>
      <c r="Y98" s="4" t="s">
        <v>360</v>
      </c>
      <c r="AB98" s="4" t="s">
        <v>360</v>
      </c>
      <c r="AC98" s="2" t="str">
        <f>IF(OR(Tabla_Contabilidad[[#This Row],[ROL_JEFE_CONT_CONTA]]="*",Tabla_Contabilidad[[#This Row],[ROL_JEFE_CONT_CONTA_HOSP]]="*"),"*","")</f>
        <v>*</v>
      </c>
    </row>
    <row r="99" spans="1:29" x14ac:dyDescent="0.5">
      <c r="A99" s="2">
        <v>1</v>
      </c>
      <c r="B99" s="2">
        <v>96</v>
      </c>
      <c r="C99" s="2">
        <f>IF(Tabla_Contabilidad[[#This Row],[id_padre]]="",0,_xlfn.XLOOKUP(Tabla_Contabilidad[[#This Row],[id_padre]],Tabla_Contabilidad[Id],Tabla_Contabilidad[Nivel],0,0,1)+1)</f>
        <v>4</v>
      </c>
      <c r="D99" s="2" t="s">
        <v>105</v>
      </c>
      <c r="E99" s="2">
        <f>IF(Tabla_Contabilidad[[#This Row],[Id_anterior]]=1,ROW()-1,SUM(ROW()-1,Tabla_Contabilidad[[#This Row],[Id_anterior]]))</f>
        <v>98</v>
      </c>
      <c r="F9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CONTABILIDAD_CONSULTAS_POR_UNIDAD_INTERNA_ANALITICOS_DETALLE_ANALITICOS_POR_UUII</v>
      </c>
      <c r="G99" s="9" t="str">
        <f>CLEAN(PROPER(Tabla_Contabilidad[[#This Row],[Nombre Opción]]))</f>
        <v>Detalle De Analiticos Por Uu.Ii</v>
      </c>
      <c r="H99" s="9" t="s">
        <v>1735</v>
      </c>
      <c r="I99" s="9" t="str">
        <f>_xlfn.XLOOKUP(Tabla_Contabilidad[[#This Row],[id_padre]],Tabla_Contabilidad[Id],Tabla_Contabilidad[Codigo_Tecnico],"",0,1)</f>
        <v>CONTABILIDAD_CONSULTAS_POR_UNIDAD_INTERNA_ANALITICOS</v>
      </c>
      <c r="J9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/contabilidad/consultas/por-unidad-interna/analiticos/detalle-analiticos-por-uuii</v>
      </c>
      <c r="K9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detalle-analiticos-por-uuii</v>
      </c>
      <c r="L99" s="2" t="s">
        <v>1438</v>
      </c>
      <c r="M99" s="4" t="s">
        <v>1798</v>
      </c>
      <c r="N99" s="4" t="s">
        <v>360</v>
      </c>
      <c r="O99" s="4" t="s">
        <v>360</v>
      </c>
      <c r="P99" s="4" t="s">
        <v>360</v>
      </c>
      <c r="Q99" s="4" t="s">
        <v>360</v>
      </c>
      <c r="R99" s="4" t="s">
        <v>360</v>
      </c>
      <c r="S99" s="4" t="s">
        <v>360</v>
      </c>
      <c r="T99" s="4" t="s">
        <v>360</v>
      </c>
      <c r="W99" s="4" t="s">
        <v>360</v>
      </c>
      <c r="Y99" s="4" t="s">
        <v>360</v>
      </c>
      <c r="AB99" s="4" t="s">
        <v>360</v>
      </c>
      <c r="AC99" s="2" t="str">
        <f>IF(OR(Tabla_Contabilidad[[#This Row],[ROL_JEFE_CONT_CONTA]]="*",Tabla_Contabilidad[[#This Row],[ROL_JEFE_CONT_CONTA_HOSP]]="*"),"*","")</f>
        <v>*</v>
      </c>
    </row>
    <row r="100" spans="1:29" x14ac:dyDescent="0.5">
      <c r="A100" s="2">
        <v>1</v>
      </c>
      <c r="B100" s="2">
        <v>4</v>
      </c>
      <c r="C100" s="2">
        <f>IF(Tabla_Contabilidad[[#This Row],[id_padre]]="",0,_xlfn.XLOOKUP(Tabla_Contabilidad[[#This Row],[id_padre]],Tabla_Contabilidad[Id],Tabla_Contabilidad[Nivel],0,0,1)+1)</f>
        <v>2</v>
      </c>
      <c r="D100" s="2" t="s">
        <v>62</v>
      </c>
      <c r="E100" s="2">
        <f>IF(Tabla_Contabilidad[[#This Row],[Id_anterior]]=1,ROW()-1,SUM(ROW()-1,Tabla_Contabilidad[[#This Row],[Id_anterior]]))</f>
        <v>99</v>
      </c>
      <c r="F10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CONTABILIDAD_CONSULTAS_FACTURACION_HOSPITAL</v>
      </c>
      <c r="G100" s="9" t="str">
        <f>CLEAN(PROPER(Tabla_Contabilidad[[#This Row],[Nombre Opción]]))</f>
        <v>Facturación Hospital</v>
      </c>
      <c r="H100" s="9" t="s">
        <v>1735</v>
      </c>
      <c r="I100" s="9" t="str">
        <f>_xlfn.XLOOKUP(Tabla_Contabilidad[[#This Row],[id_padre]],Tabla_Contabilidad[Id],Tabla_Contabilidad[Codigo_Tecnico],"",0,1)</f>
        <v>CONTABILIDAD_CONSULTAS</v>
      </c>
      <c r="J10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/contabilidad/consultas/facturacion-hospital</v>
      </c>
      <c r="K10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facturacion-hospital</v>
      </c>
      <c r="L100" s="2" t="s">
        <v>1422</v>
      </c>
      <c r="M100" s="4" t="s">
        <v>1798</v>
      </c>
      <c r="N100" s="4" t="s">
        <v>360</v>
      </c>
      <c r="O100" s="4" t="s">
        <v>360</v>
      </c>
      <c r="Q100" s="4" t="s">
        <v>360</v>
      </c>
      <c r="T100" s="4" t="s">
        <v>360</v>
      </c>
      <c r="W100" s="4" t="s">
        <v>360</v>
      </c>
      <c r="Y100" s="4" t="s">
        <v>360</v>
      </c>
      <c r="AB100" s="4" t="s">
        <v>360</v>
      </c>
      <c r="AC100" s="2" t="str">
        <f>IF(OR(Tabla_Contabilidad[[#This Row],[ROL_JEFE_CONT_CONTA]]="*",Tabla_Contabilidad[[#This Row],[ROL_JEFE_CONT_CONTA_HOSP]]="*"),"*","")</f>
        <v>*</v>
      </c>
    </row>
    <row r="101" spans="1:29" x14ac:dyDescent="0.5">
      <c r="A101" s="2">
        <v>1</v>
      </c>
      <c r="B101" s="2">
        <v>99</v>
      </c>
      <c r="C101" s="2">
        <f>IF(Tabla_Contabilidad[[#This Row],[id_padre]]="",0,_xlfn.XLOOKUP(Tabla_Contabilidad[[#This Row],[id_padre]],Tabla_Contabilidad[Id],Tabla_Contabilidad[Nivel],0,0,1)+1)</f>
        <v>3</v>
      </c>
      <c r="D101" s="2" t="s">
        <v>111</v>
      </c>
      <c r="E101" s="2">
        <f>IF(Tabla_Contabilidad[[#This Row],[Id_anterior]]=1,ROW()-1,SUM(ROW()-1,Tabla_Contabilidad[[#This Row],[Id_anterior]]))</f>
        <v>100</v>
      </c>
      <c r="F10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CONTABILIDAD_CONSULTAS_FACTURACION_HOSPITAL_FINANCIEROS</v>
      </c>
      <c r="G101" s="9" t="str">
        <f>CLEAN(PROPER(Tabla_Contabilidad[[#This Row],[Nombre Opción]]))</f>
        <v>Financieros</v>
      </c>
      <c r="H101" s="9" t="s">
        <v>1735</v>
      </c>
      <c r="I101" s="9" t="str">
        <f>_xlfn.XLOOKUP(Tabla_Contabilidad[[#This Row],[id_padre]],Tabla_Contabilidad[Id],Tabla_Contabilidad[Codigo_Tecnico],"",0,1)</f>
        <v>CONTABILIDAD_CONSULTAS_FACTURACION_HOSPITAL</v>
      </c>
      <c r="J10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/contabilidad/consultas/facturacion-hospital/financieros</v>
      </c>
      <c r="K10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financieros</v>
      </c>
      <c r="L101" s="2" t="s">
        <v>1344</v>
      </c>
      <c r="M101" s="4" t="s">
        <v>1798</v>
      </c>
      <c r="N101" s="4" t="s">
        <v>360</v>
      </c>
      <c r="O101" s="4" t="s">
        <v>360</v>
      </c>
      <c r="Q101" s="4" t="s">
        <v>360</v>
      </c>
      <c r="T101" s="4" t="s">
        <v>360</v>
      </c>
      <c r="W101" s="4" t="s">
        <v>360</v>
      </c>
      <c r="Y101" s="4" t="s">
        <v>360</v>
      </c>
      <c r="AB101" s="4" t="s">
        <v>360</v>
      </c>
      <c r="AC101" s="2" t="str">
        <f>IF(OR(Tabla_Contabilidad[[#This Row],[ROL_JEFE_CONT_CONTA]]="*",Tabla_Contabilidad[[#This Row],[ROL_JEFE_CONT_CONTA_HOSP]]="*"),"*","")</f>
        <v>*</v>
      </c>
    </row>
    <row r="102" spans="1:29" x14ac:dyDescent="0.5">
      <c r="A102" s="2">
        <v>1</v>
      </c>
      <c r="B102" s="2">
        <v>99</v>
      </c>
      <c r="C102" s="2">
        <f>IF(Tabla_Contabilidad[[#This Row],[id_padre]]="",0,_xlfn.XLOOKUP(Tabla_Contabilidad[[#This Row],[id_padre]],Tabla_Contabilidad[Id],Tabla_Contabilidad[Nivel],0,0,1)+1)</f>
        <v>3</v>
      </c>
      <c r="D102" s="2" t="s">
        <v>112</v>
      </c>
      <c r="E102" s="2">
        <f>IF(Tabla_Contabilidad[[#This Row],[Id_anterior]]=1,ROW()-1,SUM(ROW()-1,Tabla_Contabilidad[[#This Row],[Id_anterior]]))</f>
        <v>101</v>
      </c>
      <c r="F10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CONTABILIDAD_CONSULTAS_FACTURACION_HOSPITAL_FACTURAS_POR_FECHAS</v>
      </c>
      <c r="G102" s="9" t="str">
        <f>CLEAN(PROPER(Tabla_Contabilidad[[#This Row],[Nombre Opción]]))</f>
        <v>Facturas Por Fechas</v>
      </c>
      <c r="H102" s="9" t="s">
        <v>1735</v>
      </c>
      <c r="I102" s="9" t="str">
        <f>_xlfn.XLOOKUP(Tabla_Contabilidad[[#This Row],[id_padre]],Tabla_Contabilidad[Id],Tabla_Contabilidad[Codigo_Tecnico],"",0,1)</f>
        <v>CONTABILIDAD_CONSULTAS_FACTURACION_HOSPITAL</v>
      </c>
      <c r="J10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/contabilidad/consultas/facturacion-hospital/facturas-por-fechas</v>
      </c>
      <c r="K10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facturas-por-fechas</v>
      </c>
      <c r="L102" s="2" t="s">
        <v>1372</v>
      </c>
      <c r="M102" s="4" t="s">
        <v>1798</v>
      </c>
      <c r="N102" s="4" t="s">
        <v>360</v>
      </c>
      <c r="O102" s="4" t="s">
        <v>360</v>
      </c>
      <c r="Q102" s="4" t="s">
        <v>360</v>
      </c>
      <c r="T102" s="4" t="s">
        <v>360</v>
      </c>
      <c r="W102" s="4" t="s">
        <v>360</v>
      </c>
      <c r="Y102" s="4" t="s">
        <v>360</v>
      </c>
      <c r="AB102" s="4" t="s">
        <v>360</v>
      </c>
      <c r="AC102" s="2" t="str">
        <f>IF(OR(Tabla_Contabilidad[[#This Row],[ROL_JEFE_CONT_CONTA]]="*",Tabla_Contabilidad[[#This Row],[ROL_JEFE_CONT_CONTA_HOSP]]="*"),"*","")</f>
        <v>*</v>
      </c>
    </row>
    <row r="103" spans="1:29" x14ac:dyDescent="0.5">
      <c r="A103" s="2">
        <v>1</v>
      </c>
      <c r="B103" s="2">
        <v>99</v>
      </c>
      <c r="C103" s="2">
        <f>IF(Tabla_Contabilidad[[#This Row],[id_padre]]="",0,_xlfn.XLOOKUP(Tabla_Contabilidad[[#This Row],[id_padre]],Tabla_Contabilidad[Id],Tabla_Contabilidad[Nivel],0,0,1)+1)</f>
        <v>3</v>
      </c>
      <c r="D103" s="2" t="s">
        <v>113</v>
      </c>
      <c r="E103" s="2">
        <f>IF(Tabla_Contabilidad[[#This Row],[Id_anterior]]=1,ROW()-1,SUM(ROW()-1,Tabla_Contabilidad[[#This Row],[Id_anterior]]))</f>
        <v>102</v>
      </c>
      <c r="F10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CONTABILIDAD_CONSULTAS_FACTURACION_HOSPITAL_FACTURAS_POR_FINANCIADORES</v>
      </c>
      <c r="G103" s="9" t="str">
        <f>CLEAN(PROPER(Tabla_Contabilidad[[#This Row],[Nombre Opción]]))</f>
        <v>Facturas Por Financiadores</v>
      </c>
      <c r="H103" s="9" t="s">
        <v>1735</v>
      </c>
      <c r="I103" s="9" t="str">
        <f>_xlfn.XLOOKUP(Tabla_Contabilidad[[#This Row],[id_padre]],Tabla_Contabilidad[Id],Tabla_Contabilidad[Codigo_Tecnico],"",0,1)</f>
        <v>CONTABILIDAD_CONSULTAS_FACTURACION_HOSPITAL</v>
      </c>
      <c r="J10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/contabilidad/consultas/facturacion-hospital/facturas-por-financiadores</v>
      </c>
      <c r="K10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facturas-por-financiadores</v>
      </c>
      <c r="L103" s="2" t="s">
        <v>1441</v>
      </c>
      <c r="M103" s="4" t="s">
        <v>1798</v>
      </c>
      <c r="N103" s="4" t="s">
        <v>360</v>
      </c>
      <c r="O103" s="4" t="s">
        <v>360</v>
      </c>
      <c r="Q103" s="4" t="s">
        <v>360</v>
      </c>
      <c r="T103" s="4" t="s">
        <v>360</v>
      </c>
      <c r="W103" s="4" t="s">
        <v>360</v>
      </c>
      <c r="Y103" s="4" t="s">
        <v>360</v>
      </c>
      <c r="AB103" s="4" t="s">
        <v>360</v>
      </c>
      <c r="AC103" s="2" t="str">
        <f>IF(OR(Tabla_Contabilidad[[#This Row],[ROL_JEFE_CONT_CONTA]]="*",Tabla_Contabilidad[[#This Row],[ROL_JEFE_CONT_CONTA_HOSP]]="*"),"*","")</f>
        <v>*</v>
      </c>
    </row>
    <row r="104" spans="1:29" x14ac:dyDescent="0.5">
      <c r="A104" s="2">
        <v>1</v>
      </c>
      <c r="B104" s="2">
        <v>99</v>
      </c>
      <c r="C104" s="2">
        <f>IF(Tabla_Contabilidad[[#This Row],[id_padre]]="",0,_xlfn.XLOOKUP(Tabla_Contabilidad[[#This Row],[id_padre]],Tabla_Contabilidad[Id],Tabla_Contabilidad[Nivel],0,0,1)+1)</f>
        <v>3</v>
      </c>
      <c r="D104" s="2" t="s">
        <v>114</v>
      </c>
      <c r="E104" s="2">
        <f>IF(Tabla_Contabilidad[[#This Row],[Id_anterior]]=1,ROW()-1,SUM(ROW()-1,Tabla_Contabilidad[[#This Row],[Id_anterior]]))</f>
        <v>103</v>
      </c>
      <c r="F10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CONTABILIDAD_CONSULTAS_FACTURACION_HOSPITAL_RESUMEN_FACTURAS_POR_FECHA</v>
      </c>
      <c r="G104" s="9" t="str">
        <f>CLEAN(PROPER(Tabla_Contabilidad[[#This Row],[Nombre Opción]]))</f>
        <v>Resumen Facturas Por Fecha</v>
      </c>
      <c r="H104" s="9" t="s">
        <v>1735</v>
      </c>
      <c r="I104" s="9" t="str">
        <f>_xlfn.XLOOKUP(Tabla_Contabilidad[[#This Row],[id_padre]],Tabla_Contabilidad[Id],Tabla_Contabilidad[Codigo_Tecnico],"",0,1)</f>
        <v>CONTABILIDAD_CONSULTAS_FACTURACION_HOSPITAL</v>
      </c>
      <c r="J10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/contabilidad/consultas/facturacion-hospital/resumen-facturas-por-fecha</v>
      </c>
      <c r="K10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resumen-facturas-por-fecha</v>
      </c>
      <c r="L104" s="2" t="s">
        <v>1387</v>
      </c>
      <c r="M104" s="4" t="s">
        <v>1798</v>
      </c>
      <c r="N104" s="4" t="s">
        <v>360</v>
      </c>
      <c r="O104" s="4" t="s">
        <v>360</v>
      </c>
      <c r="Q104" s="4" t="s">
        <v>360</v>
      </c>
      <c r="T104" s="4" t="s">
        <v>360</v>
      </c>
      <c r="W104" s="4" t="s">
        <v>360</v>
      </c>
      <c r="Y104" s="4" t="s">
        <v>360</v>
      </c>
      <c r="AB104" s="4" t="s">
        <v>360</v>
      </c>
      <c r="AC104" s="2" t="str">
        <f>IF(OR(Tabla_Contabilidad[[#This Row],[ROL_JEFE_CONT_CONTA]]="*",Tabla_Contabilidad[[#This Row],[ROL_JEFE_CONT_CONTA_HOSP]]="*"),"*","")</f>
        <v>*</v>
      </c>
    </row>
    <row r="105" spans="1:29" hidden="1" x14ac:dyDescent="0.5">
      <c r="A105" s="2">
        <v>1</v>
      </c>
      <c r="B105" s="2">
        <v>4</v>
      </c>
      <c r="C105" s="2">
        <f>IF(Tabla_Contabilidad[[#This Row],[id_padre]]="",0,_xlfn.XLOOKUP(Tabla_Contabilidad[[#This Row],[id_padre]],Tabla_Contabilidad[Id],Tabla_Contabilidad[Nivel],0,0,1)+1)</f>
        <v>2</v>
      </c>
      <c r="D105" s="2" t="s">
        <v>115</v>
      </c>
      <c r="E105" s="2">
        <f>IF(Tabla_Contabilidad[[#This Row],[Id_anterior]]=1,ROW()-1,SUM(ROW()-1,Tabla_Contabilidad[[#This Row],[Id_anterior]]))</f>
        <v>104</v>
      </c>
      <c r="F10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CONTABILIDAD_CONSULTAS_CONTROL_LINEA_CONSOLIDADO_</v>
      </c>
      <c r="G105" s="9" t="str">
        <f>CLEAN(PROPER(Tabla_Contabilidad[[#This Row],[Nombre Opción]]))</f>
        <v xml:space="preserve">Control En Linea Consolidado </v>
      </c>
      <c r="H105" s="9" t="s">
        <v>1735</v>
      </c>
      <c r="I105" s="9" t="str">
        <f>_xlfn.XLOOKUP(Tabla_Contabilidad[[#This Row],[id_padre]],Tabla_Contabilidad[Id],Tabla_Contabilidad[Codigo_Tecnico],"",0,1)</f>
        <v>CONTABILIDAD_CONSULTAS</v>
      </c>
      <c r="J10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/contabilidad/consultas/control-linea-consolidado-</v>
      </c>
      <c r="K10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control-linea-consolidado-</v>
      </c>
      <c r="L105" s="2" t="s">
        <v>1332</v>
      </c>
      <c r="M105" s="4" t="s">
        <v>1798</v>
      </c>
      <c r="N105" s="4"/>
      <c r="O105" s="4"/>
      <c r="P105" s="4" t="s">
        <v>360</v>
      </c>
      <c r="Q105" s="4" t="s">
        <v>360</v>
      </c>
      <c r="W105" s="4" t="s">
        <v>360</v>
      </c>
      <c r="AB105" s="4" t="s">
        <v>360</v>
      </c>
      <c r="AC105" s="2" t="str">
        <f>IF(OR(Tabla_Contabilidad[[#This Row],[ROL_JEFE_CONT_CONTA]]="*",Tabla_Contabilidad[[#This Row],[ROL_JEFE_CONT_CONTA_HOSP]]="*"),"*","")</f>
        <v/>
      </c>
    </row>
    <row r="106" spans="1:29" hidden="1" x14ac:dyDescent="0.5">
      <c r="A106" s="2">
        <v>1</v>
      </c>
      <c r="B106" s="2">
        <v>104</v>
      </c>
      <c r="C106" s="2">
        <f>IF(Tabla_Contabilidad[[#This Row],[id_padre]]="",0,_xlfn.XLOOKUP(Tabla_Contabilidad[[#This Row],[id_padre]],Tabla_Contabilidad[Id],Tabla_Contabilidad[Nivel],0,0,1)+1)</f>
        <v>3</v>
      </c>
      <c r="D106" s="2" t="s">
        <v>116</v>
      </c>
      <c r="E106" s="2">
        <f>IF(Tabla_Contabilidad[[#This Row],[Id_anterior]]=1,ROW()-1,SUM(ROW()-1,Tabla_Contabilidad[[#This Row],[Id_anterior]]))</f>
        <v>105</v>
      </c>
      <c r="F10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CONTABILIDAD_CONSULTAS_CONTROL_LINEA_CONSOLIDADO__LICOPE_GASTOS_NEGATIVO</v>
      </c>
      <c r="G106" s="9" t="str">
        <f>CLEAN(PROPER(Tabla_Contabilidad[[#This Row],[Nombre Opción]]))</f>
        <v>Licope Gastos Negativo</v>
      </c>
      <c r="H106" s="9" t="s">
        <v>1735</v>
      </c>
      <c r="I106" s="9" t="str">
        <f>_xlfn.XLOOKUP(Tabla_Contabilidad[[#This Row],[id_padre]],Tabla_Contabilidad[Id],Tabla_Contabilidad[Codigo_Tecnico],"",0,1)</f>
        <v>CONTABILIDAD_CONSULTAS_CONTROL_LINEA_CONSOLIDADO_</v>
      </c>
      <c r="J10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/contabilidad/consultas/control-linea-consolidado-/licope-gastos-negativo</v>
      </c>
      <c r="K10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licope-gastos-negativo</v>
      </c>
      <c r="L106" s="2" t="s">
        <v>1442</v>
      </c>
      <c r="M106" s="4" t="s">
        <v>1798</v>
      </c>
      <c r="N106" s="4"/>
      <c r="O106" s="4"/>
      <c r="P106" s="4" t="s">
        <v>360</v>
      </c>
      <c r="Q106" s="4" t="s">
        <v>360</v>
      </c>
      <c r="W106" s="4" t="s">
        <v>360</v>
      </c>
      <c r="AB106" s="4" t="s">
        <v>360</v>
      </c>
      <c r="AC106" s="2" t="str">
        <f>IF(OR(Tabla_Contabilidad[[#This Row],[ROL_JEFE_CONT_CONTA]]="*",Tabla_Contabilidad[[#This Row],[ROL_JEFE_CONT_CONTA_HOSP]]="*"),"*","")</f>
        <v/>
      </c>
    </row>
    <row r="107" spans="1:29" hidden="1" x14ac:dyDescent="0.5">
      <c r="A107" s="2">
        <v>1</v>
      </c>
      <c r="B107" s="2">
        <v>104</v>
      </c>
      <c r="C107" s="2">
        <f>IF(Tabla_Contabilidad[[#This Row],[id_padre]]="",0,_xlfn.XLOOKUP(Tabla_Contabilidad[[#This Row],[id_padre]],Tabla_Contabilidad[Id],Tabla_Contabilidad[Nivel],0,0,1)+1)</f>
        <v>3</v>
      </c>
      <c r="D107" s="2" t="s">
        <v>117</v>
      </c>
      <c r="E107" s="2">
        <f>IF(Tabla_Contabilidad[[#This Row],[Id_anterior]]=1,ROW()-1,SUM(ROW()-1,Tabla_Contabilidad[[#This Row],[Id_anterior]]))</f>
        <v>106</v>
      </c>
      <c r="F10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CONTABILIDAD_CONSULTAS_CONTROL_LINEA_CONSOLIDADO__LICOPE_INGRESOS_NEGATIVO</v>
      </c>
      <c r="G107" s="9" t="str">
        <f>CLEAN(PROPER(Tabla_Contabilidad[[#This Row],[Nombre Opción]]))</f>
        <v>Licope Ingresos Negativo</v>
      </c>
      <c r="H107" s="9" t="s">
        <v>1735</v>
      </c>
      <c r="I107" s="9" t="str">
        <f>_xlfn.XLOOKUP(Tabla_Contabilidad[[#This Row],[id_padre]],Tabla_Contabilidad[Id],Tabla_Contabilidad[Codigo_Tecnico],"",0,1)</f>
        <v>CONTABILIDAD_CONSULTAS_CONTROL_LINEA_CONSOLIDADO_</v>
      </c>
      <c r="J10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/contabilidad/consultas/control-linea-consolidado-/licope-ingresos-negativo</v>
      </c>
      <c r="K10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licope-ingresos-negativo</v>
      </c>
      <c r="L107" s="2" t="s">
        <v>1345</v>
      </c>
      <c r="M107" s="4" t="s">
        <v>1798</v>
      </c>
      <c r="N107" s="4"/>
      <c r="O107" s="4"/>
      <c r="P107" s="4" t="s">
        <v>360</v>
      </c>
      <c r="Q107" s="4" t="s">
        <v>360</v>
      </c>
      <c r="W107" s="4" t="s">
        <v>360</v>
      </c>
      <c r="AB107" s="4" t="s">
        <v>360</v>
      </c>
      <c r="AC107" s="2" t="str">
        <f>IF(OR(Tabla_Contabilidad[[#This Row],[ROL_JEFE_CONT_CONTA]]="*",Tabla_Contabilidad[[#This Row],[ROL_JEFE_CONT_CONTA_HOSP]]="*"),"*","")</f>
        <v/>
      </c>
    </row>
    <row r="108" spans="1:29" hidden="1" x14ac:dyDescent="0.5">
      <c r="A108" s="2">
        <v>1</v>
      </c>
      <c r="B108" s="2">
        <v>104</v>
      </c>
      <c r="C108" s="2">
        <f>IF(Tabla_Contabilidad[[#This Row],[id_padre]]="",0,_xlfn.XLOOKUP(Tabla_Contabilidad[[#This Row],[id_padre]],Tabla_Contabilidad[Id],Tabla_Contabilidad[Nivel],0,0,1)+1)</f>
        <v>3</v>
      </c>
      <c r="D108" s="2" t="s">
        <v>118</v>
      </c>
      <c r="E108" s="2">
        <f>IF(Tabla_Contabilidad[[#This Row],[Id_anterior]]=1,ROW()-1,SUM(ROW()-1,Tabla_Contabilidad[[#This Row],[Id_anterior]]))</f>
        <v>107</v>
      </c>
      <c r="F10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CONTABILIDAD_CONSULTAS_CONTROL_LINEA_CONSOLIDADO__EJECUCION_PRESUPUESTARIA_GASTOS</v>
      </c>
      <c r="G108" s="9" t="str">
        <f>CLEAN(PROPER(Tabla_Contabilidad[[#This Row],[Nombre Opción]]))</f>
        <v>Ejecución Presupuestaria De Gastos</v>
      </c>
      <c r="H108" s="9" t="s">
        <v>1735</v>
      </c>
      <c r="I108" s="9" t="str">
        <f>_xlfn.XLOOKUP(Tabla_Contabilidad[[#This Row],[id_padre]],Tabla_Contabilidad[Id],Tabla_Contabilidad[Codigo_Tecnico],"",0,1)</f>
        <v>CONTABILIDAD_CONSULTAS_CONTROL_LINEA_CONSOLIDADO_</v>
      </c>
      <c r="J10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/contabilidad/consultas/control-linea-consolidado-/ejecucion-presupuestaria-gastos</v>
      </c>
      <c r="K10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ejecucion-presupuestaria-gastos</v>
      </c>
      <c r="L108" s="2" t="s">
        <v>1353</v>
      </c>
      <c r="M108" s="4" t="s">
        <v>1798</v>
      </c>
      <c r="N108" s="4"/>
      <c r="O108" s="4"/>
      <c r="P108" s="4" t="s">
        <v>360</v>
      </c>
      <c r="Q108" s="4" t="s">
        <v>360</v>
      </c>
      <c r="W108" s="4" t="s">
        <v>360</v>
      </c>
      <c r="AB108" s="4" t="s">
        <v>360</v>
      </c>
      <c r="AC108" s="2" t="str">
        <f>IF(OR(Tabla_Contabilidad[[#This Row],[ROL_JEFE_CONT_CONTA]]="*",Tabla_Contabilidad[[#This Row],[ROL_JEFE_CONT_CONTA_HOSP]]="*"),"*","")</f>
        <v/>
      </c>
    </row>
    <row r="109" spans="1:29" hidden="1" x14ac:dyDescent="0.5">
      <c r="A109" s="2">
        <v>1</v>
      </c>
      <c r="B109" s="2">
        <v>104</v>
      </c>
      <c r="C109" s="2">
        <f>IF(Tabla_Contabilidad[[#This Row],[id_padre]]="",0,_xlfn.XLOOKUP(Tabla_Contabilidad[[#This Row],[id_padre]],Tabla_Contabilidad[Id],Tabla_Contabilidad[Nivel],0,0,1)+1)</f>
        <v>3</v>
      </c>
      <c r="D109" s="2" t="s">
        <v>119</v>
      </c>
      <c r="E109" s="2">
        <f>IF(Tabla_Contabilidad[[#This Row],[Id_anterior]]=1,ROW()-1,SUM(ROW()-1,Tabla_Contabilidad[[#This Row],[Id_anterior]]))</f>
        <v>108</v>
      </c>
      <c r="F10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CONTABILIDAD_CONSULTAS_CONTROL_LINEA_CONSOLIDADO__EJECUCION_PRESUPUESTARIA_INGRESOS</v>
      </c>
      <c r="G109" s="9" t="str">
        <f>CLEAN(PROPER(Tabla_Contabilidad[[#This Row],[Nombre Opción]]))</f>
        <v>Ejecución Presupuestaria De Ingresos</v>
      </c>
      <c r="H109" s="9" t="s">
        <v>1735</v>
      </c>
      <c r="I109" s="9" t="str">
        <f>_xlfn.XLOOKUP(Tabla_Contabilidad[[#This Row],[id_padre]],Tabla_Contabilidad[Id],Tabla_Contabilidad[Codigo_Tecnico],"",0,1)</f>
        <v>CONTABILIDAD_CONSULTAS_CONTROL_LINEA_CONSOLIDADO_</v>
      </c>
      <c r="J10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/contabilidad/consultas/control-linea-consolidado-/ejecucion-presupuestaria-ingresos</v>
      </c>
      <c r="K10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ejecucion-presupuestaria-ingresos</v>
      </c>
      <c r="L109" s="2" t="s">
        <v>1434</v>
      </c>
      <c r="M109" s="4" t="s">
        <v>1798</v>
      </c>
      <c r="N109" s="4"/>
      <c r="O109" s="4"/>
      <c r="P109" s="4" t="s">
        <v>360</v>
      </c>
      <c r="Q109" s="4" t="s">
        <v>360</v>
      </c>
      <c r="W109" s="4" t="s">
        <v>360</v>
      </c>
      <c r="AB109" s="4" t="s">
        <v>360</v>
      </c>
      <c r="AC109" s="2" t="str">
        <f>IF(OR(Tabla_Contabilidad[[#This Row],[ROL_JEFE_CONT_CONTA]]="*",Tabla_Contabilidad[[#This Row],[ROL_JEFE_CONT_CONTA_HOSP]]="*"),"*","")</f>
        <v/>
      </c>
    </row>
    <row r="110" spans="1:29" hidden="1" x14ac:dyDescent="0.5">
      <c r="A110" s="2">
        <v>1</v>
      </c>
      <c r="B110" s="2">
        <v>104</v>
      </c>
      <c r="C110" s="2">
        <f>IF(Tabla_Contabilidad[[#This Row],[id_padre]]="",0,_xlfn.XLOOKUP(Tabla_Contabilidad[[#This Row],[id_padre]],Tabla_Contabilidad[Id],Tabla_Contabilidad[Nivel],0,0,1)+1)</f>
        <v>3</v>
      </c>
      <c r="D110" s="2" t="s">
        <v>86</v>
      </c>
      <c r="E110" s="2">
        <f>IF(Tabla_Contabilidad[[#This Row],[Id_anterior]]=1,ROW()-1,SUM(ROW()-1,Tabla_Contabilidad[[#This Row],[Id_anterior]]))</f>
        <v>109</v>
      </c>
      <c r="F11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CONTABILIDAD_CONSULTAS_CONTROL_LINEA_CONSOLIDADO__SALDOS_CUENTAS</v>
      </c>
      <c r="G110" s="9" t="str">
        <f>CLEAN(PROPER(Tabla_Contabilidad[[#This Row],[Nombre Opción]]))</f>
        <v>Saldos De Cuentas</v>
      </c>
      <c r="H110" s="9" t="s">
        <v>1735</v>
      </c>
      <c r="I110" s="9" t="str">
        <f>_xlfn.XLOOKUP(Tabla_Contabilidad[[#This Row],[id_padre]],Tabla_Contabilidad[Id],Tabla_Contabilidad[Codigo_Tecnico],"",0,1)</f>
        <v>CONTABILIDAD_CONSULTAS_CONTROL_LINEA_CONSOLIDADO_</v>
      </c>
      <c r="J11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/contabilidad/consultas/control-linea-consolidado-/saldos-cuentas</v>
      </c>
      <c r="K11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saldos-cuentas</v>
      </c>
      <c r="L110" s="2" t="s">
        <v>1395</v>
      </c>
      <c r="M110" s="4" t="s">
        <v>1798</v>
      </c>
      <c r="N110" s="4"/>
      <c r="O110" s="4"/>
      <c r="P110" s="4" t="s">
        <v>360</v>
      </c>
      <c r="Q110" s="4" t="s">
        <v>360</v>
      </c>
      <c r="W110" s="4" t="s">
        <v>360</v>
      </c>
      <c r="AB110" s="4" t="s">
        <v>360</v>
      </c>
      <c r="AC110" s="2" t="str">
        <f>IF(OR(Tabla_Contabilidad[[#This Row],[ROL_JEFE_CONT_CONTA]]="*",Tabla_Contabilidad[[#This Row],[ROL_JEFE_CONT_CONTA_HOSP]]="*"),"*","")</f>
        <v/>
      </c>
    </row>
    <row r="111" spans="1:29" x14ac:dyDescent="0.5">
      <c r="A111" s="2">
        <v>1</v>
      </c>
      <c r="B111" s="2">
        <v>4</v>
      </c>
      <c r="C111" s="2">
        <f>IF(Tabla_Contabilidad[[#This Row],[id_padre]]="",0,_xlfn.XLOOKUP(Tabla_Contabilidad[[#This Row],[id_padre]],Tabla_Contabilidad[Id],Tabla_Contabilidad[Nivel],0,0,1)+1)</f>
        <v>2</v>
      </c>
      <c r="D111" s="2" t="s">
        <v>120</v>
      </c>
      <c r="E111" s="2">
        <f>IF(Tabla_Contabilidad[[#This Row],[Id_anterior]]=1,ROW()-1,SUM(ROW()-1,Tabla_Contabilidad[[#This Row],[Id_anterior]]))</f>
        <v>110</v>
      </c>
      <c r="F11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CONTABILIDAD_CONSULTAS_CONTROL_LINEA_UNIDAD</v>
      </c>
      <c r="G111" s="9" t="str">
        <f>CLEAN(PROPER(Tabla_Contabilidad[[#This Row],[Nombre Opción]]))</f>
        <v>Control En Linea Unidad</v>
      </c>
      <c r="H111" s="9" t="s">
        <v>1735</v>
      </c>
      <c r="I111" s="9" t="str">
        <f>_xlfn.XLOOKUP(Tabla_Contabilidad[[#This Row],[id_padre]],Tabla_Contabilidad[Id],Tabla_Contabilidad[Codigo_Tecnico],"",0,1)</f>
        <v>CONTABILIDAD_CONSULTAS</v>
      </c>
      <c r="J11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/contabilidad/consultas/control-linea-unidad</v>
      </c>
      <c r="K11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control-linea-unidad</v>
      </c>
      <c r="L111" s="2" t="s">
        <v>1443</v>
      </c>
      <c r="M111" s="4" t="s">
        <v>1798</v>
      </c>
      <c r="N111" s="4" t="s">
        <v>360</v>
      </c>
      <c r="O111" s="4" t="s">
        <v>360</v>
      </c>
      <c r="P111" s="4" t="s">
        <v>360</v>
      </c>
      <c r="Q111" s="4" t="s">
        <v>360</v>
      </c>
      <c r="R111" s="4" t="s">
        <v>360</v>
      </c>
      <c r="T111" s="4" t="s">
        <v>360</v>
      </c>
      <c r="W111" s="4" t="s">
        <v>360</v>
      </c>
      <c r="Y111" s="4" t="s">
        <v>360</v>
      </c>
      <c r="Z111" s="4" t="s">
        <v>360</v>
      </c>
      <c r="AB111" s="4" t="s">
        <v>360</v>
      </c>
      <c r="AC111" s="2" t="str">
        <f>IF(OR(Tabla_Contabilidad[[#This Row],[ROL_JEFE_CONT_CONTA]]="*",Tabla_Contabilidad[[#This Row],[ROL_JEFE_CONT_CONTA_HOSP]]="*"),"*","")</f>
        <v>*</v>
      </c>
    </row>
    <row r="112" spans="1:29" x14ac:dyDescent="0.5">
      <c r="A112" s="2">
        <v>1</v>
      </c>
      <c r="B112" s="2">
        <v>110</v>
      </c>
      <c r="C112" s="2">
        <f>IF(Tabla_Contabilidad[[#This Row],[id_padre]]="",0,_xlfn.XLOOKUP(Tabla_Contabilidad[[#This Row],[id_padre]],Tabla_Contabilidad[Id],Tabla_Contabilidad[Nivel],0,0,1)+1)</f>
        <v>3</v>
      </c>
      <c r="D112" s="2" t="s">
        <v>116</v>
      </c>
      <c r="E112" s="2">
        <f>IF(Tabla_Contabilidad[[#This Row],[Id_anterior]]=1,ROW()-1,SUM(ROW()-1,Tabla_Contabilidad[[#This Row],[Id_anterior]]))</f>
        <v>111</v>
      </c>
      <c r="F11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CONTABILIDAD_CONSULTAS_CONTROL_LINEA_UNIDAD_LICOPE_GASTOS_NEGATIVO</v>
      </c>
      <c r="G112" s="9" t="str">
        <f>CLEAN(PROPER(Tabla_Contabilidad[[#This Row],[Nombre Opción]]))</f>
        <v>Licope Gastos Negativo</v>
      </c>
      <c r="H112" s="9" t="s">
        <v>1735</v>
      </c>
      <c r="I112" s="9" t="str">
        <f>_xlfn.XLOOKUP(Tabla_Contabilidad[[#This Row],[id_padre]],Tabla_Contabilidad[Id],Tabla_Contabilidad[Codigo_Tecnico],"",0,1)</f>
        <v>CONTABILIDAD_CONSULTAS_CONTROL_LINEA_UNIDAD</v>
      </c>
      <c r="J11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/contabilidad/consultas/control-linea-unidad/licope-gastos-negativo</v>
      </c>
      <c r="K11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licope-gastos-negativo</v>
      </c>
      <c r="L112" s="2" t="s">
        <v>1442</v>
      </c>
      <c r="M112" s="4" t="s">
        <v>1798</v>
      </c>
      <c r="N112" s="4" t="s">
        <v>360</v>
      </c>
      <c r="O112" s="4" t="s">
        <v>360</v>
      </c>
      <c r="P112" s="4" t="s">
        <v>360</v>
      </c>
      <c r="Q112" s="4" t="s">
        <v>360</v>
      </c>
      <c r="R112" s="4" t="s">
        <v>360</v>
      </c>
      <c r="T112" s="4" t="s">
        <v>360</v>
      </c>
      <c r="W112" s="4" t="s">
        <v>360</v>
      </c>
      <c r="Y112" s="4" t="s">
        <v>360</v>
      </c>
      <c r="Z112" s="4" t="s">
        <v>360</v>
      </c>
      <c r="AB112" s="4" t="s">
        <v>360</v>
      </c>
      <c r="AC112" s="2" t="str">
        <f>IF(OR(Tabla_Contabilidad[[#This Row],[ROL_JEFE_CONT_CONTA]]="*",Tabla_Contabilidad[[#This Row],[ROL_JEFE_CONT_CONTA_HOSP]]="*"),"*","")</f>
        <v>*</v>
      </c>
    </row>
    <row r="113" spans="1:29" x14ac:dyDescent="0.5">
      <c r="A113" s="2">
        <v>1</v>
      </c>
      <c r="B113" s="2">
        <v>110</v>
      </c>
      <c r="C113" s="2">
        <f>IF(Tabla_Contabilidad[[#This Row],[id_padre]]="",0,_xlfn.XLOOKUP(Tabla_Contabilidad[[#This Row],[id_padre]],Tabla_Contabilidad[Id],Tabla_Contabilidad[Nivel],0,0,1)+1)</f>
        <v>3</v>
      </c>
      <c r="D113" s="2" t="s">
        <v>117</v>
      </c>
      <c r="E113" s="2">
        <f>IF(Tabla_Contabilidad[[#This Row],[Id_anterior]]=1,ROW()-1,SUM(ROW()-1,Tabla_Contabilidad[[#This Row],[Id_anterior]]))</f>
        <v>112</v>
      </c>
      <c r="F11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CONTABILIDAD_CONSULTAS_CONTROL_LINEA_UNIDAD_LICOPE_INGRESOS_NEGATIVO</v>
      </c>
      <c r="G113" s="9" t="str">
        <f>CLEAN(PROPER(Tabla_Contabilidad[[#This Row],[Nombre Opción]]))</f>
        <v>Licope Ingresos Negativo</v>
      </c>
      <c r="H113" s="9" t="s">
        <v>1735</v>
      </c>
      <c r="I113" s="9" t="str">
        <f>_xlfn.XLOOKUP(Tabla_Contabilidad[[#This Row],[id_padre]],Tabla_Contabilidad[Id],Tabla_Contabilidad[Codigo_Tecnico],"",0,1)</f>
        <v>CONTABILIDAD_CONSULTAS_CONTROL_LINEA_UNIDAD</v>
      </c>
      <c r="J11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/contabilidad/consultas/control-linea-unidad/licope-ingresos-negativo</v>
      </c>
      <c r="K11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licope-ingresos-negativo</v>
      </c>
      <c r="L113" s="2" t="s">
        <v>1345</v>
      </c>
      <c r="M113" s="4" t="s">
        <v>1798</v>
      </c>
      <c r="N113" s="4" t="s">
        <v>360</v>
      </c>
      <c r="O113" s="4" t="s">
        <v>360</v>
      </c>
      <c r="P113" s="4" t="s">
        <v>360</v>
      </c>
      <c r="Q113" s="4" t="s">
        <v>360</v>
      </c>
      <c r="R113" s="4" t="s">
        <v>360</v>
      </c>
      <c r="T113" s="4" t="s">
        <v>360</v>
      </c>
      <c r="W113" s="4" t="s">
        <v>360</v>
      </c>
      <c r="Y113" s="4" t="s">
        <v>360</v>
      </c>
      <c r="Z113" s="4" t="s">
        <v>360</v>
      </c>
      <c r="AB113" s="4" t="s">
        <v>360</v>
      </c>
      <c r="AC113" s="2" t="str">
        <f>IF(OR(Tabla_Contabilidad[[#This Row],[ROL_JEFE_CONT_CONTA]]="*",Tabla_Contabilidad[[#This Row],[ROL_JEFE_CONT_CONTA_HOSP]]="*"),"*","")</f>
        <v>*</v>
      </c>
    </row>
    <row r="114" spans="1:29" x14ac:dyDescent="0.5">
      <c r="A114" s="2">
        <v>1</v>
      </c>
      <c r="B114" s="2">
        <v>110</v>
      </c>
      <c r="C114" s="2">
        <f>IF(Tabla_Contabilidad[[#This Row],[id_padre]]="",0,_xlfn.XLOOKUP(Tabla_Contabilidad[[#This Row],[id_padre]],Tabla_Contabilidad[Id],Tabla_Contabilidad[Nivel],0,0,1)+1)</f>
        <v>3</v>
      </c>
      <c r="D114" s="2" t="s">
        <v>118</v>
      </c>
      <c r="E114" s="2">
        <f>IF(Tabla_Contabilidad[[#This Row],[Id_anterior]]=1,ROW()-1,SUM(ROW()-1,Tabla_Contabilidad[[#This Row],[Id_anterior]]))</f>
        <v>113</v>
      </c>
      <c r="F11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CONTABILIDAD_CONSULTAS_CONTROL_LINEA_UNIDAD_EJECUCION_PRESUPUESTARIA_GASTOS</v>
      </c>
      <c r="G114" s="9" t="str">
        <f>CLEAN(PROPER(Tabla_Contabilidad[[#This Row],[Nombre Opción]]))</f>
        <v>Ejecución Presupuestaria De Gastos</v>
      </c>
      <c r="H114" s="9" t="s">
        <v>1735</v>
      </c>
      <c r="I114" s="9" t="str">
        <f>_xlfn.XLOOKUP(Tabla_Contabilidad[[#This Row],[id_padre]],Tabla_Contabilidad[Id],Tabla_Contabilidad[Codigo_Tecnico],"",0,1)</f>
        <v>CONTABILIDAD_CONSULTAS_CONTROL_LINEA_UNIDAD</v>
      </c>
      <c r="J11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/contabilidad/consultas/control-linea-unidad/ejecucion-presupuestaria-gastos</v>
      </c>
      <c r="K11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ejecucion-presupuestaria-gastos</v>
      </c>
      <c r="L114" s="2" t="s">
        <v>1353</v>
      </c>
      <c r="M114" s="4" t="s">
        <v>1798</v>
      </c>
      <c r="N114" s="4" t="s">
        <v>360</v>
      </c>
      <c r="O114" s="4" t="s">
        <v>360</v>
      </c>
      <c r="P114" s="4" t="s">
        <v>360</v>
      </c>
      <c r="Q114" s="4" t="s">
        <v>360</v>
      </c>
      <c r="R114" s="4" t="s">
        <v>360</v>
      </c>
      <c r="T114" s="4" t="s">
        <v>360</v>
      </c>
      <c r="W114" s="4" t="s">
        <v>360</v>
      </c>
      <c r="Y114" s="4" t="s">
        <v>360</v>
      </c>
      <c r="Z114" s="4" t="s">
        <v>360</v>
      </c>
      <c r="AB114" s="4" t="s">
        <v>360</v>
      </c>
      <c r="AC114" s="2" t="str">
        <f>IF(OR(Tabla_Contabilidad[[#This Row],[ROL_JEFE_CONT_CONTA]]="*",Tabla_Contabilidad[[#This Row],[ROL_JEFE_CONT_CONTA_HOSP]]="*"),"*","")</f>
        <v>*</v>
      </c>
    </row>
    <row r="115" spans="1:29" x14ac:dyDescent="0.5">
      <c r="A115" s="2">
        <v>1</v>
      </c>
      <c r="B115" s="2">
        <v>110</v>
      </c>
      <c r="C115" s="2">
        <f>IF(Tabla_Contabilidad[[#This Row],[id_padre]]="",0,_xlfn.XLOOKUP(Tabla_Contabilidad[[#This Row],[id_padre]],Tabla_Contabilidad[Id],Tabla_Contabilidad[Nivel],0,0,1)+1)</f>
        <v>3</v>
      </c>
      <c r="D115" s="2" t="s">
        <v>119</v>
      </c>
      <c r="E115" s="2">
        <f>IF(Tabla_Contabilidad[[#This Row],[Id_anterior]]=1,ROW()-1,SUM(ROW()-1,Tabla_Contabilidad[[#This Row],[Id_anterior]]))</f>
        <v>114</v>
      </c>
      <c r="F11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CONTABILIDAD_CONSULTAS_CONTROL_LINEA_UNIDAD_EJECUCION_PRESUPUESTARIA_INGRESOS</v>
      </c>
      <c r="G115" s="9" t="str">
        <f>CLEAN(PROPER(Tabla_Contabilidad[[#This Row],[Nombre Opción]]))</f>
        <v>Ejecución Presupuestaria De Ingresos</v>
      </c>
      <c r="H115" s="9" t="s">
        <v>1735</v>
      </c>
      <c r="I115" s="9" t="str">
        <f>_xlfn.XLOOKUP(Tabla_Contabilidad[[#This Row],[id_padre]],Tabla_Contabilidad[Id],Tabla_Contabilidad[Codigo_Tecnico],"",0,1)</f>
        <v>CONTABILIDAD_CONSULTAS_CONTROL_LINEA_UNIDAD</v>
      </c>
      <c r="J11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/contabilidad/consultas/control-linea-unidad/ejecucion-presupuestaria-ingresos</v>
      </c>
      <c r="K11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ejecucion-presupuestaria-ingresos</v>
      </c>
      <c r="L115" s="2" t="s">
        <v>1434</v>
      </c>
      <c r="M115" s="4" t="s">
        <v>1798</v>
      </c>
      <c r="N115" s="4" t="s">
        <v>360</v>
      </c>
      <c r="O115" s="4" t="s">
        <v>360</v>
      </c>
      <c r="P115" s="4" t="s">
        <v>360</v>
      </c>
      <c r="Q115" s="4" t="s">
        <v>360</v>
      </c>
      <c r="R115" s="4" t="s">
        <v>360</v>
      </c>
      <c r="T115" s="4" t="s">
        <v>360</v>
      </c>
      <c r="W115" s="4" t="s">
        <v>360</v>
      </c>
      <c r="Y115" s="4" t="s">
        <v>360</v>
      </c>
      <c r="Z115" s="4" t="s">
        <v>360</v>
      </c>
      <c r="AB115" s="4" t="s">
        <v>360</v>
      </c>
      <c r="AC115" s="2" t="str">
        <f>IF(OR(Tabla_Contabilidad[[#This Row],[ROL_JEFE_CONT_CONTA]]="*",Tabla_Contabilidad[[#This Row],[ROL_JEFE_CONT_CONTA_HOSP]]="*"),"*","")</f>
        <v>*</v>
      </c>
    </row>
    <row r="116" spans="1:29" x14ac:dyDescent="0.5">
      <c r="A116" s="2">
        <v>1</v>
      </c>
      <c r="B116" s="2">
        <v>110</v>
      </c>
      <c r="C116" s="2">
        <f>IF(Tabla_Contabilidad[[#This Row],[id_padre]]="",0,_xlfn.XLOOKUP(Tabla_Contabilidad[[#This Row],[id_padre]],Tabla_Contabilidad[Id],Tabla_Contabilidad[Nivel],0,0,1)+1)</f>
        <v>3</v>
      </c>
      <c r="D116" s="2" t="s">
        <v>86</v>
      </c>
      <c r="E116" s="2">
        <f>IF(Tabla_Contabilidad[[#This Row],[Id_anterior]]=1,ROW()-1,SUM(ROW()-1,Tabla_Contabilidad[[#This Row],[Id_anterior]]))</f>
        <v>115</v>
      </c>
      <c r="F11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CONTABILIDAD_CONSULTAS_CONTROL_LINEA_UNIDAD_SALDOS_CUENTAS</v>
      </c>
      <c r="G116" s="9" t="str">
        <f>CLEAN(PROPER(Tabla_Contabilidad[[#This Row],[Nombre Opción]]))</f>
        <v>Saldos De Cuentas</v>
      </c>
      <c r="H116" s="9" t="s">
        <v>1735</v>
      </c>
      <c r="I116" s="9" t="str">
        <f>_xlfn.XLOOKUP(Tabla_Contabilidad[[#This Row],[id_padre]],Tabla_Contabilidad[Id],Tabla_Contabilidad[Codigo_Tecnico],"",0,1)</f>
        <v>CONTABILIDAD_CONSULTAS_CONTROL_LINEA_UNIDAD</v>
      </c>
      <c r="J11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/contabilidad/consultas/control-linea-unidad/saldos-cuentas</v>
      </c>
      <c r="K11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saldos-cuentas</v>
      </c>
      <c r="L116" s="2" t="s">
        <v>1395</v>
      </c>
      <c r="M116" s="4" t="s">
        <v>1798</v>
      </c>
      <c r="N116" s="4" t="s">
        <v>360</v>
      </c>
      <c r="O116" s="4" t="s">
        <v>360</v>
      </c>
      <c r="P116" s="4" t="s">
        <v>360</v>
      </c>
      <c r="Q116" s="4" t="s">
        <v>360</v>
      </c>
      <c r="R116" s="4" t="s">
        <v>360</v>
      </c>
      <c r="T116" s="4" t="s">
        <v>360</v>
      </c>
      <c r="W116" s="4" t="s">
        <v>360</v>
      </c>
      <c r="Y116" s="4" t="s">
        <v>360</v>
      </c>
      <c r="Z116" s="4" t="s">
        <v>360</v>
      </c>
      <c r="AB116" s="4" t="s">
        <v>360</v>
      </c>
      <c r="AC116" s="2" t="str">
        <f>IF(OR(Tabla_Contabilidad[[#This Row],[ROL_JEFE_CONT_CONTA]]="*",Tabla_Contabilidad[[#This Row],[ROL_JEFE_CONT_CONTA_HOSP]]="*"),"*","")</f>
        <v>*</v>
      </c>
    </row>
    <row r="117" spans="1:29" x14ac:dyDescent="0.5">
      <c r="A117" s="2">
        <v>1</v>
      </c>
      <c r="B117" s="2">
        <v>4</v>
      </c>
      <c r="C117" s="2">
        <f>IF(Tabla_Contabilidad[[#This Row],[id_padre]]="",0,_xlfn.XLOOKUP(Tabla_Contabilidad[[#This Row],[id_padre]],Tabla_Contabilidad[Id],Tabla_Contabilidad[Nivel],0,0,1)+1)</f>
        <v>2</v>
      </c>
      <c r="D117" s="2" t="s">
        <v>64</v>
      </c>
      <c r="E117" s="2">
        <f>IF(Tabla_Contabilidad[[#This Row],[Id_anterior]]=1,ROW()-1,SUM(ROW()-1,Tabla_Contabilidad[[#This Row],[Id_anterior]]))</f>
        <v>116</v>
      </c>
      <c r="F11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CONTABILIDAD_CONSULTAS_INVERSIONES_Y_COLOCACIONES_</v>
      </c>
      <c r="G117" s="9" t="str">
        <f>CLEAN(PROPER(Tabla_Contabilidad[[#This Row],[Nombre Opción]]))</f>
        <v xml:space="preserve">Inversiones Y Colocaciones </v>
      </c>
      <c r="H117" s="9" t="s">
        <v>1735</v>
      </c>
      <c r="I117" s="9" t="str">
        <f>_xlfn.XLOOKUP(Tabla_Contabilidad[[#This Row],[id_padre]],Tabla_Contabilidad[Id],Tabla_Contabilidad[Codigo_Tecnico],"",0,1)</f>
        <v>CONTABILIDAD_CONSULTAS</v>
      </c>
      <c r="J11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/contabilidad/consultas/inversiones-y-colocaciones-</v>
      </c>
      <c r="K11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inversiones-y-colocaciones-</v>
      </c>
      <c r="L117" s="2" t="s">
        <v>1444</v>
      </c>
      <c r="M117" s="4" t="s">
        <v>1798</v>
      </c>
      <c r="N117" s="4" t="s">
        <v>360</v>
      </c>
      <c r="O117" s="4" t="s">
        <v>360</v>
      </c>
      <c r="P117" s="4" t="s">
        <v>360</v>
      </c>
      <c r="Q117" s="4" t="s">
        <v>360</v>
      </c>
      <c r="R117" s="4" t="s">
        <v>360</v>
      </c>
      <c r="T117" s="4" t="s">
        <v>360</v>
      </c>
      <c r="W117" s="4" t="s">
        <v>360</v>
      </c>
      <c r="X117" s="4" t="s">
        <v>360</v>
      </c>
      <c r="Y117" s="4" t="s">
        <v>360</v>
      </c>
      <c r="Z117" s="4" t="s">
        <v>360</v>
      </c>
      <c r="AB117" s="4" t="s">
        <v>360</v>
      </c>
      <c r="AC117" s="2" t="str">
        <f>IF(OR(Tabla_Contabilidad[[#This Row],[ROL_JEFE_CONT_CONTA]]="*",Tabla_Contabilidad[[#This Row],[ROL_JEFE_CONT_CONTA_HOSP]]="*"),"*","")</f>
        <v>*</v>
      </c>
    </row>
    <row r="118" spans="1:29" x14ac:dyDescent="0.5">
      <c r="A118" s="2">
        <v>1</v>
      </c>
      <c r="B118" s="2">
        <v>116</v>
      </c>
      <c r="C118" s="2">
        <f>IF(Tabla_Contabilidad[[#This Row],[id_padre]]="",0,_xlfn.XLOOKUP(Tabla_Contabilidad[[#This Row],[id_padre]],Tabla_Contabilidad[Id],Tabla_Contabilidad[Nivel],0,0,1)+1)</f>
        <v>3</v>
      </c>
      <c r="D118" s="2" t="s">
        <v>121</v>
      </c>
      <c r="E118" s="2">
        <f>IF(Tabla_Contabilidad[[#This Row],[Id_anterior]]=1,ROW()-1,SUM(ROW()-1,Tabla_Contabilidad[[#This Row],[Id_anterior]]))</f>
        <v>117</v>
      </c>
      <c r="F11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CONTABILIDAD_CONSULTAS_INVERSIONES_Y_COLOCACIONES__COLOCACION_ESPECIFICA</v>
      </c>
      <c r="G118" s="9" t="str">
        <f>CLEAN(PROPER(Tabla_Contabilidad[[#This Row],[Nombre Opción]]))</f>
        <v>Colocacion Especifica</v>
      </c>
      <c r="H118" s="9" t="s">
        <v>1735</v>
      </c>
      <c r="I118" s="9" t="str">
        <f>_xlfn.XLOOKUP(Tabla_Contabilidad[[#This Row],[id_padre]],Tabla_Contabilidad[Id],Tabla_Contabilidad[Codigo_Tecnico],"",0,1)</f>
        <v>CONTABILIDAD_CONSULTAS_INVERSIONES_Y_COLOCACIONES_</v>
      </c>
      <c r="J11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/contabilidad/consultas/inversiones-y-colocaciones-/colocacion-especifica</v>
      </c>
      <c r="K11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colocacion-especifica</v>
      </c>
      <c r="L118" s="2" t="s">
        <v>1445</v>
      </c>
      <c r="M118" s="4" t="s">
        <v>1798</v>
      </c>
      <c r="N118" s="4" t="s">
        <v>360</v>
      </c>
      <c r="O118" s="4" t="s">
        <v>360</v>
      </c>
      <c r="P118" s="4" t="s">
        <v>360</v>
      </c>
      <c r="Q118" s="4" t="s">
        <v>360</v>
      </c>
      <c r="R118" s="4" t="s">
        <v>360</v>
      </c>
      <c r="T118" s="4" t="s">
        <v>360</v>
      </c>
      <c r="W118" s="4" t="s">
        <v>360</v>
      </c>
      <c r="X118" s="4" t="s">
        <v>360</v>
      </c>
      <c r="Y118" s="4" t="s">
        <v>360</v>
      </c>
      <c r="Z118" s="4" t="s">
        <v>360</v>
      </c>
      <c r="AB118" s="4" t="s">
        <v>360</v>
      </c>
      <c r="AC118" s="2" t="str">
        <f>IF(OR(Tabla_Contabilidad[[#This Row],[ROL_JEFE_CONT_CONTA]]="*",Tabla_Contabilidad[[#This Row],[ROL_JEFE_CONT_CONTA_HOSP]]="*"),"*","")</f>
        <v>*</v>
      </c>
    </row>
    <row r="119" spans="1:29" x14ac:dyDescent="0.5">
      <c r="A119" s="2">
        <v>1</v>
      </c>
      <c r="B119" s="2">
        <v>5</v>
      </c>
      <c r="C119" s="2">
        <f>IF(Tabla_Contabilidad[[#This Row],[id_padre]]="",0,_xlfn.XLOOKUP(Tabla_Contabilidad[[#This Row],[id_padre]],Tabla_Contabilidad[Id],Tabla_Contabilidad[Nivel],0,0,1)+1)</f>
        <v>2</v>
      </c>
      <c r="D119" s="2" t="s">
        <v>19</v>
      </c>
      <c r="E119" s="2">
        <f>IF(Tabla_Contabilidad[[#This Row],[Id_anterior]]=1,ROW()-1,SUM(ROW()-1,Tabla_Contabilidad[[#This Row],[Id_anterior]]))</f>
        <v>118</v>
      </c>
      <c r="F11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CONTABILIDAD_MERCADO_PUBLICO_PROCESOS</v>
      </c>
      <c r="G119" s="9" t="str">
        <f>CLEAN(PROPER(Tabla_Contabilidad[[#This Row],[Nombre Opción]]))</f>
        <v>Procesos</v>
      </c>
      <c r="H119" s="9" t="s">
        <v>1735</v>
      </c>
      <c r="I119" s="9" t="str">
        <f>_xlfn.XLOOKUP(Tabla_Contabilidad[[#This Row],[id_padre]],Tabla_Contabilidad[Id],Tabla_Contabilidad[Codigo_Tecnico],"",0,1)</f>
        <v>CONTABILIDAD_MERCADO_PUBLICO</v>
      </c>
      <c r="J11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/contabilidad/mercado-publico/procesos</v>
      </c>
      <c r="K11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119" s="2" t="s">
        <v>1446</v>
      </c>
      <c r="M119" s="4" t="s">
        <v>1798</v>
      </c>
      <c r="N119" s="4" t="s">
        <v>360</v>
      </c>
      <c r="O119" s="4" t="s">
        <v>360</v>
      </c>
      <c r="Q119" s="4" t="s">
        <v>360</v>
      </c>
      <c r="T119" s="4" t="s">
        <v>360</v>
      </c>
      <c r="W119" s="4" t="s">
        <v>360</v>
      </c>
      <c r="Y119" s="4" t="s">
        <v>360</v>
      </c>
      <c r="AB119" s="4" t="s">
        <v>360</v>
      </c>
      <c r="AC119" s="2" t="str">
        <f>IF(OR(Tabla_Contabilidad[[#This Row],[ROL_JEFE_CONT_CONTA]]="*",Tabla_Contabilidad[[#This Row],[ROL_JEFE_CONT_CONTA_HOSP]]="*"),"*","")</f>
        <v>*</v>
      </c>
    </row>
    <row r="120" spans="1:29" x14ac:dyDescent="0.5">
      <c r="A120" s="2">
        <v>1</v>
      </c>
      <c r="B120" s="2">
        <v>118</v>
      </c>
      <c r="C120" s="2">
        <f>IF(Tabla_Contabilidad[[#This Row],[id_padre]]="",0,_xlfn.XLOOKUP(Tabla_Contabilidad[[#This Row],[id_padre]],Tabla_Contabilidad[Id],Tabla_Contabilidad[Nivel],0,0,1)+1)</f>
        <v>3</v>
      </c>
      <c r="D120" s="2" t="s">
        <v>122</v>
      </c>
      <c r="E120" s="2">
        <f>IF(Tabla_Contabilidad[[#This Row],[Id_anterior]]=1,ROW()-1,SUM(ROW()-1,Tabla_Contabilidad[[#This Row],[Id_anterior]]))</f>
        <v>119</v>
      </c>
      <c r="F12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CONTABILIDAD_MERCADO_PUBLICO_PROCESOS_VALIDAR_INFORMACION</v>
      </c>
      <c r="G120" s="9" t="str">
        <f>CLEAN(PROPER(Tabla_Contabilidad[[#This Row],[Nombre Opción]]))</f>
        <v>Validar Informacion</v>
      </c>
      <c r="H120" s="9" t="s">
        <v>1735</v>
      </c>
      <c r="I120" s="9" t="str">
        <f>_xlfn.XLOOKUP(Tabla_Contabilidad[[#This Row],[id_padre]],Tabla_Contabilidad[Id],Tabla_Contabilidad[Codigo_Tecnico],"",0,1)</f>
        <v>CONTABILIDAD_MERCADO_PUBLICO_PROCESOS</v>
      </c>
      <c r="J12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/contabilidad/mercado-publico/procesos/validar-informacion</v>
      </c>
      <c r="K12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validar-informacion</v>
      </c>
      <c r="L120" s="2" t="s">
        <v>1386</v>
      </c>
      <c r="M120" s="4" t="s">
        <v>1798</v>
      </c>
      <c r="N120" s="4" t="s">
        <v>360</v>
      </c>
      <c r="O120" s="4" t="s">
        <v>360</v>
      </c>
      <c r="Q120" s="4" t="s">
        <v>360</v>
      </c>
      <c r="T120" s="4" t="s">
        <v>360</v>
      </c>
      <c r="W120" s="4" t="s">
        <v>360</v>
      </c>
      <c r="Y120" s="4" t="s">
        <v>360</v>
      </c>
      <c r="AB120" s="4" t="s">
        <v>360</v>
      </c>
      <c r="AC120" s="2" t="str">
        <f>IF(OR(Tabla_Contabilidad[[#This Row],[ROL_JEFE_CONT_CONTA]]="*",Tabla_Contabilidad[[#This Row],[ROL_JEFE_CONT_CONTA_HOSP]]="*"),"*","")</f>
        <v>*</v>
      </c>
    </row>
    <row r="121" spans="1:29" x14ac:dyDescent="0.5">
      <c r="A121" s="2">
        <v>1</v>
      </c>
      <c r="B121" s="2">
        <v>118</v>
      </c>
      <c r="C121" s="2">
        <f>IF(Tabla_Contabilidad[[#This Row],[id_padre]]="",0,_xlfn.XLOOKUP(Tabla_Contabilidad[[#This Row],[id_padre]],Tabla_Contabilidad[Id],Tabla_Contabilidad[Nivel],0,0,1)+1)</f>
        <v>3</v>
      </c>
      <c r="D121" s="2" t="s">
        <v>123</v>
      </c>
      <c r="E121" s="2">
        <f>IF(Tabla_Contabilidad[[#This Row],[Id_anterior]]=1,ROW()-1,SUM(ROW()-1,Tabla_Contabilidad[[#This Row],[Id_anterior]]))</f>
        <v>120</v>
      </c>
      <c r="F12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CONTABILIDAD_MERCADO_PUBLICO_PROCESOS_ANULACION_O_C</v>
      </c>
      <c r="G121" s="9" t="str">
        <f>CLEAN(PROPER(Tabla_Contabilidad[[#This Row],[Nombre Opción]]))</f>
        <v>Anulación O/C</v>
      </c>
      <c r="H121" s="9" t="s">
        <v>1735</v>
      </c>
      <c r="I121" s="9" t="str">
        <f>_xlfn.XLOOKUP(Tabla_Contabilidad[[#This Row],[id_padre]],Tabla_Contabilidad[Id],Tabla_Contabilidad[Codigo_Tecnico],"",0,1)</f>
        <v>CONTABILIDAD_MERCADO_PUBLICO_PROCESOS</v>
      </c>
      <c r="J12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/contabilidad/mercado-publico/procesos/anulacion-o-c</v>
      </c>
      <c r="K12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anulacion-o-c</v>
      </c>
      <c r="L121" s="2" t="s">
        <v>1447</v>
      </c>
      <c r="M121" s="4" t="s">
        <v>1798</v>
      </c>
      <c r="N121" s="4" t="s">
        <v>360</v>
      </c>
      <c r="O121" s="4" t="s">
        <v>360</v>
      </c>
      <c r="Q121" s="4" t="s">
        <v>360</v>
      </c>
      <c r="T121" s="4" t="s">
        <v>360</v>
      </c>
      <c r="W121" s="4" t="s">
        <v>360</v>
      </c>
      <c r="Y121" s="4" t="s">
        <v>360</v>
      </c>
      <c r="AB121" s="4" t="s">
        <v>360</v>
      </c>
      <c r="AC121" s="2" t="str">
        <f>IF(OR(Tabla_Contabilidad[[#This Row],[ROL_JEFE_CONT_CONTA]]="*",Tabla_Contabilidad[[#This Row],[ROL_JEFE_CONT_CONTA_HOSP]]="*"),"*","")</f>
        <v>*</v>
      </c>
    </row>
    <row r="122" spans="1:29" x14ac:dyDescent="0.5">
      <c r="A122" s="2">
        <v>1</v>
      </c>
      <c r="B122" s="2">
        <v>5</v>
      </c>
      <c r="C122" s="2">
        <f>IF(Tabla_Contabilidad[[#This Row],[id_padre]]="",0,_xlfn.XLOOKUP(Tabla_Contabilidad[[#This Row],[id_padre]],Tabla_Contabilidad[Id],Tabla_Contabilidad[Nivel],0,0,1)+1)</f>
        <v>2</v>
      </c>
      <c r="D122" s="2" t="s">
        <v>20</v>
      </c>
      <c r="E122" s="2">
        <f>IF(Tabla_Contabilidad[[#This Row],[Id_anterior]]=1,ROW()-1,SUM(ROW()-1,Tabla_Contabilidad[[#This Row],[Id_anterior]]))</f>
        <v>121</v>
      </c>
      <c r="F12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</v>
      </c>
      <c r="G122" s="9" t="str">
        <f>CLEAN(PROPER(Tabla_Contabilidad[[#This Row],[Nombre Opción]]))</f>
        <v>Consultas</v>
      </c>
      <c r="H122" s="9" t="s">
        <v>1735</v>
      </c>
      <c r="I122" s="9" t="str">
        <f>_xlfn.XLOOKUP(Tabla_Contabilidad[[#This Row],[id_padre]],Tabla_Contabilidad[Id],Tabla_Contabilidad[Codigo_Tecnico],"",0,1)</f>
        <v>CONTABILIDAD_MERCADO_PUBLICO</v>
      </c>
      <c r="J12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</v>
      </c>
      <c r="K12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122" s="2" t="s">
        <v>1339</v>
      </c>
      <c r="M122" s="4" t="s">
        <v>1798</v>
      </c>
      <c r="N122" s="4" t="s">
        <v>360</v>
      </c>
      <c r="O122" s="4" t="s">
        <v>360</v>
      </c>
      <c r="P122" s="4" t="s">
        <v>360</v>
      </c>
      <c r="Q122" s="4" t="s">
        <v>360</v>
      </c>
      <c r="R122" s="4" t="s">
        <v>360</v>
      </c>
      <c r="S122" s="4" t="s">
        <v>360</v>
      </c>
      <c r="T122" s="4" t="s">
        <v>360</v>
      </c>
      <c r="U122" s="4" t="s">
        <v>360</v>
      </c>
      <c r="V122" s="4" t="s">
        <v>360</v>
      </c>
      <c r="W122" s="4" t="s">
        <v>360</v>
      </c>
      <c r="X122" s="4" t="s">
        <v>360</v>
      </c>
      <c r="Y122" s="4" t="s">
        <v>360</v>
      </c>
      <c r="Z122" s="4" t="s">
        <v>360</v>
      </c>
      <c r="AA122" s="4" t="s">
        <v>360</v>
      </c>
      <c r="AB122" s="4" t="s">
        <v>360</v>
      </c>
      <c r="AC122" s="2" t="str">
        <f>IF(OR(Tabla_Contabilidad[[#This Row],[ROL_JEFE_CONT_CONTA]]="*",Tabla_Contabilidad[[#This Row],[ROL_JEFE_CONT_CONTA_HOSP]]="*"),"*","")</f>
        <v>*</v>
      </c>
    </row>
    <row r="123" spans="1:29" x14ac:dyDescent="0.5">
      <c r="A123" s="2">
        <v>1</v>
      </c>
      <c r="B123" s="2">
        <v>121</v>
      </c>
      <c r="C123" s="2">
        <f>IF(Tabla_Contabilidad[[#This Row],[id_padre]]="",0,_xlfn.XLOOKUP(Tabla_Contabilidad[[#This Row],[id_padre]],Tabla_Contabilidad[Id],Tabla_Contabilidad[Nivel],0,0,1)+1)</f>
        <v>3</v>
      </c>
      <c r="D123" s="2" t="s">
        <v>124</v>
      </c>
      <c r="E123" s="2">
        <f>IF(Tabla_Contabilidad[[#This Row],[Id_anterior]]=1,ROW()-1,SUM(ROW()-1,Tabla_Contabilidad[[#This Row],[Id_anterior]]))</f>
        <v>122</v>
      </c>
      <c r="F12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CONTABILIDAD_MERCADO_PUBLICO_CONSULTAS_ORDENES_COMPRAS</v>
      </c>
      <c r="G123" s="9" t="str">
        <f>CLEAN(PROPER(Tabla_Contabilidad[[#This Row],[Nombre Opción]]))</f>
        <v>Ordenes De Compras</v>
      </c>
      <c r="H123" s="9" t="s">
        <v>1735</v>
      </c>
      <c r="I123" s="9" t="str">
        <f>_xlfn.XLOOKUP(Tabla_Contabilidad[[#This Row],[id_padre]],Tabla_Contabilidad[Id],Tabla_Contabilidad[Codigo_Tecnico],"",0,1)</f>
        <v>CONTABILIDAD_MERCADO_PUBLICO_CONSULTAS</v>
      </c>
      <c r="J12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/contabilidad/mercado-publico/consultas/ordenes-compras</v>
      </c>
      <c r="K12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ordenes-compras</v>
      </c>
      <c r="L123" s="2" t="s">
        <v>1349</v>
      </c>
      <c r="M123" s="4" t="s">
        <v>1798</v>
      </c>
      <c r="N123" s="4" t="s">
        <v>360</v>
      </c>
      <c r="O123" s="4" t="s">
        <v>360</v>
      </c>
      <c r="P123" s="4" t="s">
        <v>360</v>
      </c>
      <c r="Q123" s="4" t="s">
        <v>360</v>
      </c>
      <c r="R123" s="4" t="s">
        <v>360</v>
      </c>
      <c r="S123" s="4" t="s">
        <v>360</v>
      </c>
      <c r="T123" s="4" t="s">
        <v>360</v>
      </c>
      <c r="U123" s="4" t="s">
        <v>360</v>
      </c>
      <c r="V123" s="4" t="s">
        <v>360</v>
      </c>
      <c r="W123" s="4" t="s">
        <v>360</v>
      </c>
      <c r="X123" s="4" t="s">
        <v>360</v>
      </c>
      <c r="Y123" s="4" t="s">
        <v>360</v>
      </c>
      <c r="Z123" s="4" t="s">
        <v>360</v>
      </c>
      <c r="AA123" s="4" t="s">
        <v>360</v>
      </c>
      <c r="AB123" s="4" t="s">
        <v>360</v>
      </c>
      <c r="AC123" s="2" t="str">
        <f>IF(OR(Tabla_Contabilidad[[#This Row],[ROL_JEFE_CONT_CONTA]]="*",Tabla_Contabilidad[[#This Row],[ROL_JEFE_CONT_CONTA_HOSP]]="*"),"*","")</f>
        <v>*</v>
      </c>
    </row>
    <row r="124" spans="1:29" x14ac:dyDescent="0.5">
      <c r="A124" s="2">
        <v>1</v>
      </c>
      <c r="B124" s="2">
        <v>122</v>
      </c>
      <c r="C124" s="2">
        <f>IF(Tabla_Contabilidad[[#This Row],[id_padre]]="",0,_xlfn.XLOOKUP(Tabla_Contabilidad[[#This Row],[id_padre]],Tabla_Contabilidad[Id],Tabla_Contabilidad[Nivel],0,0,1)+1)</f>
        <v>4</v>
      </c>
      <c r="D124" s="2" t="s">
        <v>125</v>
      </c>
      <c r="E124" s="2">
        <f>IF(Tabla_Contabilidad[[#This Row],[Id_anterior]]=1,ROW()-1,SUM(ROW()-1,Tabla_Contabilidad[[#This Row],[Id_anterior]]))</f>
        <v>123</v>
      </c>
      <c r="F12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CONTABILIDAD_MERCADO_PUBLICO_CONSULTAS_ORDENES_COMPRAS_RECHAZADAS_POR_FINANZAS</v>
      </c>
      <c r="G124" s="9" t="str">
        <f>CLEAN(PROPER(Tabla_Contabilidad[[#This Row],[Nombre Opción]]))</f>
        <v>Rechazadas Por Finanzas</v>
      </c>
      <c r="H124" s="9" t="s">
        <v>1735</v>
      </c>
      <c r="I124" s="9" t="str">
        <f>_xlfn.XLOOKUP(Tabla_Contabilidad[[#This Row],[id_padre]],Tabla_Contabilidad[Id],Tabla_Contabilidad[Codigo_Tecnico],"",0,1)</f>
        <v>CONTABILIDAD_MERCADO_PUBLICO_CONSULTAS_ORDENES_COMPRAS</v>
      </c>
      <c r="J12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/contabilidad/mercado-publico/consultas/ordenes-compras/rechazadas-por-finanzas</v>
      </c>
      <c r="K12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rechazadas-por-finanzas</v>
      </c>
      <c r="L124" s="2" t="s">
        <v>1345</v>
      </c>
      <c r="M124" s="4" t="s">
        <v>1798</v>
      </c>
      <c r="N124" s="4" t="s">
        <v>360</v>
      </c>
      <c r="O124" s="4" t="s">
        <v>360</v>
      </c>
      <c r="P124" s="4" t="s">
        <v>360</v>
      </c>
      <c r="Q124" s="4" t="s">
        <v>360</v>
      </c>
      <c r="R124" s="4" t="s">
        <v>360</v>
      </c>
      <c r="S124" s="4" t="s">
        <v>360</v>
      </c>
      <c r="T124" s="4" t="s">
        <v>360</v>
      </c>
      <c r="U124" s="4" t="s">
        <v>360</v>
      </c>
      <c r="V124" s="4" t="s">
        <v>360</v>
      </c>
      <c r="W124" s="4" t="s">
        <v>360</v>
      </c>
      <c r="X124" s="4" t="s">
        <v>360</v>
      </c>
      <c r="Y124" s="4" t="s">
        <v>360</v>
      </c>
      <c r="Z124" s="4" t="s">
        <v>360</v>
      </c>
      <c r="AA124" s="4" t="s">
        <v>360</v>
      </c>
      <c r="AB124" s="4" t="s">
        <v>360</v>
      </c>
      <c r="AC124" s="2" t="str">
        <f>IF(OR(Tabla_Contabilidad[[#This Row],[ROL_JEFE_CONT_CONTA]]="*",Tabla_Contabilidad[[#This Row],[ROL_JEFE_CONT_CONTA_HOSP]]="*"),"*","")</f>
        <v>*</v>
      </c>
    </row>
    <row r="125" spans="1:29" x14ac:dyDescent="0.5">
      <c r="A125" s="2">
        <v>1</v>
      </c>
      <c r="B125" s="2">
        <v>122</v>
      </c>
      <c r="C125" s="2">
        <f>IF(Tabla_Contabilidad[[#This Row],[id_padre]]="",0,_xlfn.XLOOKUP(Tabla_Contabilidad[[#This Row],[id_padre]],Tabla_Contabilidad[Id],Tabla_Contabilidad[Nivel],0,0,1)+1)</f>
        <v>4</v>
      </c>
      <c r="D125" s="2" t="s">
        <v>126</v>
      </c>
      <c r="E125" s="2">
        <f>IF(Tabla_Contabilidad[[#This Row],[Id_anterior]]=1,ROW()-1,SUM(ROW()-1,Tabla_Contabilidad[[#This Row],[Id_anterior]]))</f>
        <v>124</v>
      </c>
      <c r="F12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CONTABILIDAD_MERCADO_PUBLICO_CONSULTAS_ORDENES_COMPRAS_RECHAZADAS_POR_MERCADO_PUBLICO</v>
      </c>
      <c r="G125" s="9" t="str">
        <f>CLEAN(PROPER(Tabla_Contabilidad[[#This Row],[Nombre Opción]]))</f>
        <v>Rechazadas Por Mercado Publico</v>
      </c>
      <c r="H125" s="9" t="s">
        <v>1735</v>
      </c>
      <c r="I125" s="9" t="str">
        <f>_xlfn.XLOOKUP(Tabla_Contabilidad[[#This Row],[id_padre]],Tabla_Contabilidad[Id],Tabla_Contabilidad[Codigo_Tecnico],"",0,1)</f>
        <v>CONTABILIDAD_MERCADO_PUBLICO_CONSULTAS_ORDENES_COMPRAS</v>
      </c>
      <c r="J12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/contabilidad/mercado-publico/consultas/ordenes-compras/rechazadas-por-mercado-publico</v>
      </c>
      <c r="K12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rechazadas-por-mercado-publico</v>
      </c>
      <c r="L125" s="2" t="s">
        <v>1368</v>
      </c>
      <c r="M125" s="4" t="s">
        <v>1798</v>
      </c>
      <c r="N125" s="4" t="s">
        <v>360</v>
      </c>
      <c r="O125" s="4" t="s">
        <v>360</v>
      </c>
      <c r="P125" s="4" t="s">
        <v>360</v>
      </c>
      <c r="Q125" s="4" t="s">
        <v>360</v>
      </c>
      <c r="R125" s="4" t="s">
        <v>360</v>
      </c>
      <c r="S125" s="4" t="s">
        <v>360</v>
      </c>
      <c r="T125" s="4" t="s">
        <v>360</v>
      </c>
      <c r="U125" s="4" t="s">
        <v>360</v>
      </c>
      <c r="V125" s="4" t="s">
        <v>360</v>
      </c>
      <c r="W125" s="4" t="s">
        <v>360</v>
      </c>
      <c r="X125" s="4" t="s">
        <v>360</v>
      </c>
      <c r="Y125" s="4" t="s">
        <v>360</v>
      </c>
      <c r="Z125" s="4" t="s">
        <v>360</v>
      </c>
      <c r="AA125" s="4" t="s">
        <v>360</v>
      </c>
      <c r="AB125" s="4" t="s">
        <v>360</v>
      </c>
      <c r="AC125" s="2" t="str">
        <f>IF(OR(Tabla_Contabilidad[[#This Row],[ROL_JEFE_CONT_CONTA]]="*",Tabla_Contabilidad[[#This Row],[ROL_JEFE_CONT_CONTA_HOSP]]="*"),"*","")</f>
        <v>*</v>
      </c>
    </row>
    <row r="126" spans="1:29" x14ac:dyDescent="0.5">
      <c r="A126" s="2">
        <v>1</v>
      </c>
      <c r="B126" s="2">
        <v>122</v>
      </c>
      <c r="C126" s="2">
        <f>IF(Tabla_Contabilidad[[#This Row],[id_padre]]="",0,_xlfn.XLOOKUP(Tabla_Contabilidad[[#This Row],[id_padre]],Tabla_Contabilidad[Id],Tabla_Contabilidad[Nivel],0,0,1)+1)</f>
        <v>4</v>
      </c>
      <c r="D126" s="2" t="s">
        <v>127</v>
      </c>
      <c r="E126" s="2">
        <f>IF(Tabla_Contabilidad[[#This Row],[Id_anterior]]=1,ROW()-1,SUM(ROW()-1,Tabla_Contabilidad[[#This Row],[Id_anterior]]))</f>
        <v>125</v>
      </c>
      <c r="F12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CONTABILIDAD_MERCADO_PUBLICO_CONSULTAS_ORDENES_COMPRAS_FINALIZADAS_POR_MERCADO_PUBLICO</v>
      </c>
      <c r="G126" s="9" t="str">
        <f>CLEAN(PROPER(Tabla_Contabilidad[[#This Row],[Nombre Opción]]))</f>
        <v>Finalizadas Por Mercado Publico</v>
      </c>
      <c r="H126" s="9" t="s">
        <v>1735</v>
      </c>
      <c r="I126" s="9" t="str">
        <f>_xlfn.XLOOKUP(Tabla_Contabilidad[[#This Row],[id_padre]],Tabla_Contabilidad[Id],Tabla_Contabilidad[Codigo_Tecnico],"",0,1)</f>
        <v>CONTABILIDAD_MERCADO_PUBLICO_CONSULTAS_ORDENES_COMPRAS</v>
      </c>
      <c r="J12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/contabilidad/mercado-publico/consultas/ordenes-compras/finalizadas-por-mercado-publico</v>
      </c>
      <c r="K12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finalizadas-por-mercado-publico</v>
      </c>
      <c r="L126" s="2" t="s">
        <v>1398</v>
      </c>
      <c r="M126" s="4" t="s">
        <v>1798</v>
      </c>
      <c r="N126" s="4" t="s">
        <v>360</v>
      </c>
      <c r="O126" s="4" t="s">
        <v>360</v>
      </c>
      <c r="P126" s="4" t="s">
        <v>360</v>
      </c>
      <c r="Q126" s="4" t="s">
        <v>360</v>
      </c>
      <c r="R126" s="4" t="s">
        <v>360</v>
      </c>
      <c r="S126" s="4" t="s">
        <v>360</v>
      </c>
      <c r="T126" s="4" t="s">
        <v>360</v>
      </c>
      <c r="U126" s="4" t="s">
        <v>360</v>
      </c>
      <c r="V126" s="4" t="s">
        <v>360</v>
      </c>
      <c r="W126" s="4" t="s">
        <v>360</v>
      </c>
      <c r="X126" s="4" t="s">
        <v>360</v>
      </c>
      <c r="Y126" s="4" t="s">
        <v>360</v>
      </c>
      <c r="Z126" s="4" t="s">
        <v>360</v>
      </c>
      <c r="AA126" s="4" t="s">
        <v>360</v>
      </c>
      <c r="AB126" s="4" t="s">
        <v>360</v>
      </c>
      <c r="AC126" s="2" t="str">
        <f>IF(OR(Tabla_Contabilidad[[#This Row],[ROL_JEFE_CONT_CONTA]]="*",Tabla_Contabilidad[[#This Row],[ROL_JEFE_CONT_CONTA_HOSP]]="*"),"*","")</f>
        <v>*</v>
      </c>
    </row>
    <row r="127" spans="1:29" x14ac:dyDescent="0.5">
      <c r="A127" s="2">
        <v>1</v>
      </c>
      <c r="B127" s="2">
        <v>122</v>
      </c>
      <c r="C127" s="2">
        <f>IF(Tabla_Contabilidad[[#This Row],[id_padre]]="",0,_xlfn.XLOOKUP(Tabla_Contabilidad[[#This Row],[id_padre]],Tabla_Contabilidad[Id],Tabla_Contabilidad[Nivel],0,0,1)+1)</f>
        <v>4</v>
      </c>
      <c r="D127" s="2" t="s">
        <v>128</v>
      </c>
      <c r="E127" s="2">
        <f>IF(Tabla_Contabilidad[[#This Row],[Id_anterior]]=1,ROW()-1,SUM(ROW()-1,Tabla_Contabilidad[[#This Row],[Id_anterior]]))</f>
        <v>126</v>
      </c>
      <c r="F12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CONTABILIDAD_MERCADO_PUBLICO_CONSULTAS_ORDENES_COMPRAS_POR_PERIODO_FECHAS</v>
      </c>
      <c r="G127" s="9" t="str">
        <f>CLEAN(PROPER(Tabla_Contabilidad[[#This Row],[Nombre Opción]]))</f>
        <v>Por Periodo De Fechas</v>
      </c>
      <c r="H127" s="9" t="s">
        <v>1735</v>
      </c>
      <c r="I127" s="9" t="str">
        <f>_xlfn.XLOOKUP(Tabla_Contabilidad[[#This Row],[id_padre]],Tabla_Contabilidad[Id],Tabla_Contabilidad[Codigo_Tecnico],"",0,1)</f>
        <v>CONTABILIDAD_MERCADO_PUBLICO_CONSULTAS_ORDENES_COMPRAS</v>
      </c>
      <c r="J12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/contabilidad/mercado-publico/consultas/ordenes-compras/por-periodo-fechas</v>
      </c>
      <c r="K12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por-periodo-fechas</v>
      </c>
      <c r="L127" s="2" t="s">
        <v>1436</v>
      </c>
      <c r="M127" s="4" t="s">
        <v>1798</v>
      </c>
      <c r="N127" s="4" t="s">
        <v>360</v>
      </c>
      <c r="O127" s="4" t="s">
        <v>360</v>
      </c>
      <c r="P127" s="4" t="s">
        <v>360</v>
      </c>
      <c r="Q127" s="4" t="s">
        <v>360</v>
      </c>
      <c r="R127" s="4" t="s">
        <v>360</v>
      </c>
      <c r="S127" s="4" t="s">
        <v>360</v>
      </c>
      <c r="T127" s="4" t="s">
        <v>360</v>
      </c>
      <c r="U127" s="4" t="s">
        <v>360</v>
      </c>
      <c r="V127" s="4" t="s">
        <v>360</v>
      </c>
      <c r="W127" s="4" t="s">
        <v>360</v>
      </c>
      <c r="X127" s="4" t="s">
        <v>360</v>
      </c>
      <c r="Y127" s="4" t="s">
        <v>360</v>
      </c>
      <c r="Z127" s="4" t="s">
        <v>360</v>
      </c>
      <c r="AA127" s="4" t="s">
        <v>360</v>
      </c>
      <c r="AB127" s="4" t="s">
        <v>360</v>
      </c>
      <c r="AC127" s="2" t="str">
        <f>IF(OR(Tabla_Contabilidad[[#This Row],[ROL_JEFE_CONT_CONTA]]="*",Tabla_Contabilidad[[#This Row],[ROL_JEFE_CONT_CONTA_HOSP]]="*"),"*","")</f>
        <v>*</v>
      </c>
    </row>
    <row r="128" spans="1:29" x14ac:dyDescent="0.5">
      <c r="A128" s="2">
        <v>1</v>
      </c>
      <c r="B128" s="2">
        <v>122</v>
      </c>
      <c r="C128" s="2">
        <f>IF(Tabla_Contabilidad[[#This Row],[id_padre]]="",0,_xlfn.XLOOKUP(Tabla_Contabilidad[[#This Row],[id_padre]],Tabla_Contabilidad[Id],Tabla_Contabilidad[Nivel],0,0,1)+1)</f>
        <v>4</v>
      </c>
      <c r="D128" s="2" t="s">
        <v>129</v>
      </c>
      <c r="E128" s="2">
        <f>IF(Tabla_Contabilidad[[#This Row],[Id_anterior]]=1,ROW()-1,SUM(ROW()-1,Tabla_Contabilidad[[#This Row],[Id_anterior]]))</f>
        <v>127</v>
      </c>
      <c r="F12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CONTABILIDAD_MERCADO_PUBLICO_CONSULTAS_ORDENES_COMPRAS_POR_UNIDAD_INTERNA</v>
      </c>
      <c r="G128" s="9" t="str">
        <f>CLEAN(PROPER(Tabla_Contabilidad[[#This Row],[Nombre Opción]]))</f>
        <v>Por Unidad Interna</v>
      </c>
      <c r="H128" s="9" t="s">
        <v>1735</v>
      </c>
      <c r="I128" s="9" t="str">
        <f>_xlfn.XLOOKUP(Tabla_Contabilidad[[#This Row],[id_padre]],Tabla_Contabilidad[Id],Tabla_Contabilidad[Codigo_Tecnico],"",0,1)</f>
        <v>CONTABILIDAD_MERCADO_PUBLICO_CONSULTAS_ORDENES_COMPRAS</v>
      </c>
      <c r="J12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/contabilidad/mercado-publico/consultas/ordenes-compras/por-unidad-interna</v>
      </c>
      <c r="K12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por-unidad-interna</v>
      </c>
      <c r="L128" s="2" t="s">
        <v>1389</v>
      </c>
      <c r="M128" s="4" t="s">
        <v>1798</v>
      </c>
      <c r="N128" s="4" t="s">
        <v>360</v>
      </c>
      <c r="O128" s="4" t="s">
        <v>360</v>
      </c>
      <c r="P128" s="4" t="s">
        <v>360</v>
      </c>
      <c r="Q128" s="4" t="s">
        <v>360</v>
      </c>
      <c r="R128" s="4" t="s">
        <v>360</v>
      </c>
      <c r="S128" s="4" t="s">
        <v>360</v>
      </c>
      <c r="T128" s="4" t="s">
        <v>360</v>
      </c>
      <c r="U128" s="4" t="s">
        <v>360</v>
      </c>
      <c r="V128" s="4" t="s">
        <v>360</v>
      </c>
      <c r="W128" s="4" t="s">
        <v>360</v>
      </c>
      <c r="X128" s="4" t="s">
        <v>360</v>
      </c>
      <c r="Y128" s="4" t="s">
        <v>360</v>
      </c>
      <c r="Z128" s="4" t="s">
        <v>360</v>
      </c>
      <c r="AA128" s="4" t="s">
        <v>360</v>
      </c>
      <c r="AB128" s="4" t="s">
        <v>360</v>
      </c>
      <c r="AC128" s="2" t="str">
        <f>IF(OR(Tabla_Contabilidad[[#This Row],[ROL_JEFE_CONT_CONTA]]="*",Tabla_Contabilidad[[#This Row],[ROL_JEFE_CONT_CONTA_HOSP]]="*"),"*","")</f>
        <v>*</v>
      </c>
    </row>
    <row r="129" spans="1:29" x14ac:dyDescent="0.5">
      <c r="A129" s="2">
        <v>1</v>
      </c>
      <c r="B129" s="2">
        <v>122</v>
      </c>
      <c r="C129" s="2">
        <f>IF(Tabla_Contabilidad[[#This Row],[id_padre]]="",0,_xlfn.XLOOKUP(Tabla_Contabilidad[[#This Row],[id_padre]],Tabla_Contabilidad[Id],Tabla_Contabilidad[Nivel],0,0,1)+1)</f>
        <v>4</v>
      </c>
      <c r="D129" s="2" t="s">
        <v>130</v>
      </c>
      <c r="E129" s="2">
        <f>IF(Tabla_Contabilidad[[#This Row],[Id_anterior]]=1,ROW()-1,SUM(ROW()-1,Tabla_Contabilidad[[#This Row],[Id_anterior]]))</f>
        <v>128</v>
      </c>
      <c r="F12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CONTABILIDAD_MERCADO_PUBLICO_CONSULTAS_ORDENES_COMPRAS_RESUMEN_O_C_REALIZADAS_POR_MES</v>
      </c>
      <c r="G129" s="9" t="str">
        <f>CLEAN(PROPER(Tabla_Contabilidad[[#This Row],[Nombre Opción]]))</f>
        <v>Resumen O/C Realizadas Por Mes</v>
      </c>
      <c r="H129" s="9" t="s">
        <v>1735</v>
      </c>
      <c r="I129" s="9" t="str">
        <f>_xlfn.XLOOKUP(Tabla_Contabilidad[[#This Row],[id_padre]],Tabla_Contabilidad[Id],Tabla_Contabilidad[Codigo_Tecnico],"",0,1)</f>
        <v>CONTABILIDAD_MERCADO_PUBLICO_CONSULTAS_ORDENES_COMPRAS</v>
      </c>
      <c r="J12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/contabilidad/mercado-publico/consultas/ordenes-compras/resumen-o-c-realizadas-por-mes</v>
      </c>
      <c r="K12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resumen-o-c-realizadas-por-mes</v>
      </c>
      <c r="L129" s="2" t="s">
        <v>1448</v>
      </c>
      <c r="M129" s="4" t="s">
        <v>1798</v>
      </c>
      <c r="N129" s="4" t="s">
        <v>360</v>
      </c>
      <c r="O129" s="4" t="s">
        <v>360</v>
      </c>
      <c r="P129" s="4" t="s">
        <v>360</v>
      </c>
      <c r="Q129" s="4" t="s">
        <v>360</v>
      </c>
      <c r="R129" s="4" t="s">
        <v>360</v>
      </c>
      <c r="S129" s="4" t="s">
        <v>360</v>
      </c>
      <c r="T129" s="4" t="s">
        <v>360</v>
      </c>
      <c r="U129" s="4" t="s">
        <v>360</v>
      </c>
      <c r="V129" s="4" t="s">
        <v>360</v>
      </c>
      <c r="W129" s="4" t="s">
        <v>360</v>
      </c>
      <c r="X129" s="4" t="s">
        <v>360</v>
      </c>
      <c r="Y129" s="4" t="s">
        <v>360</v>
      </c>
      <c r="Z129" s="4" t="s">
        <v>360</v>
      </c>
      <c r="AA129" s="4" t="s">
        <v>360</v>
      </c>
      <c r="AB129" s="4" t="s">
        <v>360</v>
      </c>
      <c r="AC129" s="2" t="str">
        <f>IF(OR(Tabla_Contabilidad[[#This Row],[ROL_JEFE_CONT_CONTA]]="*",Tabla_Contabilidad[[#This Row],[ROL_JEFE_CONT_CONTA_HOSP]]="*"),"*","")</f>
        <v>*</v>
      </c>
    </row>
    <row r="130" spans="1:29" x14ac:dyDescent="0.5">
      <c r="A130" s="2">
        <v>1</v>
      </c>
      <c r="B130" s="2">
        <v>121</v>
      </c>
      <c r="C130" s="2">
        <f>IF(Tabla_Contabilidad[[#This Row],[id_padre]]="",0,_xlfn.XLOOKUP(Tabla_Contabilidad[[#This Row],[id_padre]],Tabla_Contabilidad[Id],Tabla_Contabilidad[Nivel],0,0,1)+1)</f>
        <v>3</v>
      </c>
      <c r="D130" s="2" t="s">
        <v>131</v>
      </c>
      <c r="E130" s="2">
        <f>IF(Tabla_Contabilidad[[#This Row],[Id_anterior]]=1,ROW()-1,SUM(ROW()-1,Tabla_Contabilidad[[#This Row],[Id_anterior]]))</f>
        <v>129</v>
      </c>
      <c r="F13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CONTABILIDAD_MERCADO_PUBLICO_CONSULTAS_CATALOGO_ARTICULOS</v>
      </c>
      <c r="G130" s="9" t="str">
        <f>CLEAN(PROPER(Tabla_Contabilidad[[#This Row],[Nombre Opción]]))</f>
        <v>Catalogo De Articulos</v>
      </c>
      <c r="H130" s="9" t="s">
        <v>1735</v>
      </c>
      <c r="I130" s="9" t="str">
        <f>_xlfn.XLOOKUP(Tabla_Contabilidad[[#This Row],[id_padre]],Tabla_Contabilidad[Id],Tabla_Contabilidad[Codigo_Tecnico],"",0,1)</f>
        <v>CONTABILIDAD_MERCADO_PUBLICO_CONSULTAS</v>
      </c>
      <c r="J13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/contabilidad/mercado-publico/consultas/catalogo-articulos</v>
      </c>
      <c r="K13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catalogo-articulos</v>
      </c>
      <c r="L130" s="2" t="s">
        <v>1407</v>
      </c>
      <c r="M130" s="4" t="s">
        <v>1798</v>
      </c>
      <c r="N130" s="4" t="s">
        <v>360</v>
      </c>
      <c r="O130" s="4" t="s">
        <v>360</v>
      </c>
      <c r="P130" s="4" t="s">
        <v>360</v>
      </c>
      <c r="Q130" s="4" t="s">
        <v>360</v>
      </c>
      <c r="R130" s="4" t="s">
        <v>360</v>
      </c>
      <c r="S130" s="4" t="s">
        <v>360</v>
      </c>
      <c r="T130" s="4" t="s">
        <v>360</v>
      </c>
      <c r="U130" s="4" t="s">
        <v>360</v>
      </c>
      <c r="V130" s="4" t="s">
        <v>360</v>
      </c>
      <c r="W130" s="4" t="s">
        <v>360</v>
      </c>
      <c r="X130" s="4" t="s">
        <v>360</v>
      </c>
      <c r="Y130" s="4" t="s">
        <v>360</v>
      </c>
      <c r="Z130" s="4" t="s">
        <v>360</v>
      </c>
      <c r="AA130" s="4" t="s">
        <v>360</v>
      </c>
      <c r="AB130" s="4" t="s">
        <v>360</v>
      </c>
      <c r="AC130" s="2" t="str">
        <f>IF(OR(Tabla_Contabilidad[[#This Row],[ROL_JEFE_CONT_CONTA]]="*",Tabla_Contabilidad[[#This Row],[ROL_JEFE_CONT_CONTA_HOSP]]="*"),"*","")</f>
        <v>*</v>
      </c>
    </row>
    <row r="131" spans="1:29" x14ac:dyDescent="0.5">
      <c r="A131" s="2">
        <v>1</v>
      </c>
      <c r="B131" s="2">
        <v>5</v>
      </c>
      <c r="C131" s="2">
        <f>IF(Tabla_Contabilidad[[#This Row],[id_padre]]="",0,_xlfn.XLOOKUP(Tabla_Contabilidad[[#This Row],[id_padre]],Tabla_Contabilidad[Id],Tabla_Contabilidad[Nivel],0,0,1)+1)</f>
        <v>2</v>
      </c>
      <c r="D131" s="2" t="s">
        <v>21</v>
      </c>
      <c r="E131" s="2">
        <f>IF(Tabla_Contabilidad[[#This Row],[Id_anterior]]=1,ROW()-1,SUM(ROW()-1,Tabla_Contabilidad[[#This Row],[Id_anterior]]))</f>
        <v>130</v>
      </c>
      <c r="F13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CONTABILIDAD_MERCADO_PUBLICO_INFORMES</v>
      </c>
      <c r="G131" s="9" t="str">
        <f>CLEAN(PROPER(Tabla_Contabilidad[[#This Row],[Nombre Opción]]))</f>
        <v>Informes</v>
      </c>
      <c r="H131" s="9" t="s">
        <v>1735</v>
      </c>
      <c r="I131" s="9" t="str">
        <f>_xlfn.XLOOKUP(Tabla_Contabilidad[[#This Row],[id_padre]],Tabla_Contabilidad[Id],Tabla_Contabilidad[Codigo_Tecnico],"",0,1)</f>
        <v>CONTABILIDAD_MERCADO_PUBLICO</v>
      </c>
      <c r="J13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/contabilidad/mercado-publico/informes</v>
      </c>
      <c r="K13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131" s="2" t="s">
        <v>1340</v>
      </c>
      <c r="M131" s="4" t="s">
        <v>1798</v>
      </c>
      <c r="N131" s="4" t="s">
        <v>360</v>
      </c>
      <c r="O131" s="4" t="s">
        <v>360</v>
      </c>
      <c r="P131" s="4" t="s">
        <v>360</v>
      </c>
      <c r="Q131" s="4" t="s">
        <v>360</v>
      </c>
      <c r="R131" s="4" t="s">
        <v>360</v>
      </c>
      <c r="S131" s="4" t="s">
        <v>360</v>
      </c>
      <c r="T131" s="4" t="s">
        <v>360</v>
      </c>
      <c r="U131" s="4" t="s">
        <v>360</v>
      </c>
      <c r="V131" s="4" t="s">
        <v>360</v>
      </c>
      <c r="W131" s="4" t="s">
        <v>360</v>
      </c>
      <c r="X131" s="4" t="s">
        <v>360</v>
      </c>
      <c r="Y131" s="4" t="s">
        <v>360</v>
      </c>
      <c r="Z131" s="4" t="s">
        <v>360</v>
      </c>
      <c r="AA131" s="4" t="s">
        <v>360</v>
      </c>
      <c r="AB131" s="4" t="s">
        <v>360</v>
      </c>
      <c r="AC131" s="2" t="str">
        <f>IF(OR(Tabla_Contabilidad[[#This Row],[ROL_JEFE_CONT_CONTA]]="*",Tabla_Contabilidad[[#This Row],[ROL_JEFE_CONT_CONTA_HOSP]]="*"),"*","")</f>
        <v>*</v>
      </c>
    </row>
    <row r="132" spans="1:29" x14ac:dyDescent="0.5">
      <c r="A132" s="2">
        <v>1</v>
      </c>
      <c r="B132" s="2">
        <v>130</v>
      </c>
      <c r="C132" s="2">
        <f>IF(Tabla_Contabilidad[[#This Row],[id_padre]]="",0,_xlfn.XLOOKUP(Tabla_Contabilidad[[#This Row],[id_padre]],Tabla_Contabilidad[Id],Tabla_Contabilidad[Nivel],0,0,1)+1)</f>
        <v>3</v>
      </c>
      <c r="D132" s="2" t="s">
        <v>124</v>
      </c>
      <c r="E132" s="2">
        <f>IF(Tabla_Contabilidad[[#This Row],[Id_anterior]]=1,ROW()-1,SUM(ROW()-1,Tabla_Contabilidad[[#This Row],[Id_anterior]]))</f>
        <v>131</v>
      </c>
      <c r="F13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CONTABILIDAD_MERCADO_PUBLICO_INFORMES_ORDENES_COMPRAS</v>
      </c>
      <c r="G132" s="9" t="str">
        <f>CLEAN(PROPER(Tabla_Contabilidad[[#This Row],[Nombre Opción]]))</f>
        <v>Ordenes De Compras</v>
      </c>
      <c r="H132" s="9" t="s">
        <v>1735</v>
      </c>
      <c r="I132" s="9" t="str">
        <f>_xlfn.XLOOKUP(Tabla_Contabilidad[[#This Row],[id_padre]],Tabla_Contabilidad[Id],Tabla_Contabilidad[Codigo_Tecnico],"",0,1)</f>
        <v>CONTABILIDAD_MERCADO_PUBLICO_INFORMES</v>
      </c>
      <c r="J13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/contabilidad/mercado-publico/informes/ordenes-compras</v>
      </c>
      <c r="K13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ordenes-compras</v>
      </c>
      <c r="L132" s="2" t="s">
        <v>1349</v>
      </c>
      <c r="M132" s="4" t="s">
        <v>1798</v>
      </c>
      <c r="N132" s="4" t="s">
        <v>360</v>
      </c>
      <c r="O132" s="4" t="s">
        <v>360</v>
      </c>
      <c r="P132" s="4" t="s">
        <v>360</v>
      </c>
      <c r="Q132" s="4" t="s">
        <v>360</v>
      </c>
      <c r="R132" s="4" t="s">
        <v>360</v>
      </c>
      <c r="S132" s="4" t="s">
        <v>360</v>
      </c>
      <c r="T132" s="4" t="s">
        <v>360</v>
      </c>
      <c r="U132" s="4" t="s">
        <v>360</v>
      </c>
      <c r="V132" s="4" t="s">
        <v>360</v>
      </c>
      <c r="W132" s="4" t="s">
        <v>360</v>
      </c>
      <c r="X132" s="4" t="s">
        <v>360</v>
      </c>
      <c r="Y132" s="4" t="s">
        <v>360</v>
      </c>
      <c r="Z132" s="4" t="s">
        <v>360</v>
      </c>
      <c r="AA132" s="4" t="s">
        <v>360</v>
      </c>
      <c r="AB132" s="4" t="s">
        <v>360</v>
      </c>
      <c r="AC132" s="2" t="str">
        <f>IF(OR(Tabla_Contabilidad[[#This Row],[ROL_JEFE_CONT_CONTA]]="*",Tabla_Contabilidad[[#This Row],[ROL_JEFE_CONT_CONTA_HOSP]]="*"),"*","")</f>
        <v>*</v>
      </c>
    </row>
    <row r="133" spans="1:29" x14ac:dyDescent="0.5">
      <c r="A133" s="2">
        <v>1</v>
      </c>
      <c r="B133" s="2">
        <v>131</v>
      </c>
      <c r="C133" s="2">
        <f>IF(Tabla_Contabilidad[[#This Row],[id_padre]]="",0,_xlfn.XLOOKUP(Tabla_Contabilidad[[#This Row],[id_padre]],Tabla_Contabilidad[Id],Tabla_Contabilidad[Nivel],0,0,1)+1)</f>
        <v>4</v>
      </c>
      <c r="D133" s="2" t="s">
        <v>132</v>
      </c>
      <c r="E133" s="2">
        <f>IF(Tabla_Contabilidad[[#This Row],[Id_anterior]]=1,ROW()-1,SUM(ROW()-1,Tabla_Contabilidad[[#This Row],[Id_anterior]]))</f>
        <v>132</v>
      </c>
      <c r="F13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CONTABILIDAD_MERCADO_PUBLICO_INFORMES_ORDENES_COMPRAS_AUTORIZADAS_POR_FINANZAS</v>
      </c>
      <c r="G133" s="9" t="str">
        <f>CLEAN(PROPER(Tabla_Contabilidad[[#This Row],[Nombre Opción]]))</f>
        <v>Autorizadas Por Finanzas</v>
      </c>
      <c r="H133" s="9" t="s">
        <v>1735</v>
      </c>
      <c r="I133" s="9" t="str">
        <f>_xlfn.XLOOKUP(Tabla_Contabilidad[[#This Row],[id_padre]],Tabla_Contabilidad[Id],Tabla_Contabilidad[Codigo_Tecnico],"",0,1)</f>
        <v>CONTABILIDAD_MERCADO_PUBLICO_INFORMES_ORDENES_COMPRAS</v>
      </c>
      <c r="J13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/contabilidad/mercado-publico/informes/ordenes-compras/autorizadas-por-finanzas</v>
      </c>
      <c r="K13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autorizadas-por-finanzas</v>
      </c>
      <c r="L133" s="2" t="s">
        <v>1410</v>
      </c>
      <c r="M133" s="4" t="s">
        <v>1798</v>
      </c>
      <c r="N133" s="4" t="s">
        <v>360</v>
      </c>
      <c r="O133" s="4" t="s">
        <v>360</v>
      </c>
      <c r="P133" s="4" t="s">
        <v>360</v>
      </c>
      <c r="Q133" s="4" t="s">
        <v>360</v>
      </c>
      <c r="R133" s="4" t="s">
        <v>360</v>
      </c>
      <c r="S133" s="4" t="s">
        <v>360</v>
      </c>
      <c r="T133" s="4" t="s">
        <v>360</v>
      </c>
      <c r="U133" s="4" t="s">
        <v>360</v>
      </c>
      <c r="V133" s="4" t="s">
        <v>360</v>
      </c>
      <c r="W133" s="4" t="s">
        <v>360</v>
      </c>
      <c r="X133" s="4" t="s">
        <v>360</v>
      </c>
      <c r="Y133" s="4" t="s">
        <v>360</v>
      </c>
      <c r="Z133" s="4" t="s">
        <v>360</v>
      </c>
      <c r="AA133" s="4" t="s">
        <v>360</v>
      </c>
      <c r="AB133" s="4" t="s">
        <v>360</v>
      </c>
      <c r="AC133" s="2" t="str">
        <f>IF(OR(Tabla_Contabilidad[[#This Row],[ROL_JEFE_CONT_CONTA]]="*",Tabla_Contabilidad[[#This Row],[ROL_JEFE_CONT_CONTA_HOSP]]="*"),"*","")</f>
        <v>*</v>
      </c>
    </row>
    <row r="134" spans="1:29" x14ac:dyDescent="0.5">
      <c r="A134" s="2">
        <v>1</v>
      </c>
      <c r="B134" s="2">
        <v>131</v>
      </c>
      <c r="C134" s="2">
        <f>IF(Tabla_Contabilidad[[#This Row],[id_padre]]="",0,_xlfn.XLOOKUP(Tabla_Contabilidad[[#This Row],[id_padre]],Tabla_Contabilidad[Id],Tabla_Contabilidad[Nivel],0,0,1)+1)</f>
        <v>4</v>
      </c>
      <c r="D134" s="2" t="s">
        <v>125</v>
      </c>
      <c r="E134" s="2">
        <f>IF(Tabla_Contabilidad[[#This Row],[Id_anterior]]=1,ROW()-1,SUM(ROW()-1,Tabla_Contabilidad[[#This Row],[Id_anterior]]))</f>
        <v>133</v>
      </c>
      <c r="F13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CONTABILIDAD_MERCADO_PUBLICO_INFORMES_ORDENES_COMPRAS_RECHAZADAS_POR_FINANZAS</v>
      </c>
      <c r="G134" s="9" t="str">
        <f>CLEAN(PROPER(Tabla_Contabilidad[[#This Row],[Nombre Opción]]))</f>
        <v>Rechazadas Por Finanzas</v>
      </c>
      <c r="H134" s="9" t="s">
        <v>1735</v>
      </c>
      <c r="I134" s="9" t="str">
        <f>_xlfn.XLOOKUP(Tabla_Contabilidad[[#This Row],[id_padre]],Tabla_Contabilidad[Id],Tabla_Contabilidad[Codigo_Tecnico],"",0,1)</f>
        <v>CONTABILIDAD_MERCADO_PUBLICO_INFORMES_ORDENES_COMPRAS</v>
      </c>
      <c r="J13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/contabilidad/mercado-publico/informes/ordenes-compras/rechazadas-por-finanzas</v>
      </c>
      <c r="K13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rechazadas-por-finanzas</v>
      </c>
      <c r="L134" s="2" t="s">
        <v>1345</v>
      </c>
      <c r="M134" s="4" t="s">
        <v>1798</v>
      </c>
      <c r="N134" s="4" t="s">
        <v>360</v>
      </c>
      <c r="O134" s="4" t="s">
        <v>360</v>
      </c>
      <c r="P134" s="4" t="s">
        <v>360</v>
      </c>
      <c r="Q134" s="4" t="s">
        <v>360</v>
      </c>
      <c r="R134" s="4" t="s">
        <v>360</v>
      </c>
      <c r="S134" s="4" t="s">
        <v>360</v>
      </c>
      <c r="T134" s="4" t="s">
        <v>360</v>
      </c>
      <c r="U134" s="4" t="s">
        <v>360</v>
      </c>
      <c r="V134" s="4" t="s">
        <v>360</v>
      </c>
      <c r="W134" s="4" t="s">
        <v>360</v>
      </c>
      <c r="X134" s="4" t="s">
        <v>360</v>
      </c>
      <c r="Y134" s="4" t="s">
        <v>360</v>
      </c>
      <c r="Z134" s="4" t="s">
        <v>360</v>
      </c>
      <c r="AA134" s="4" t="s">
        <v>360</v>
      </c>
      <c r="AB134" s="4" t="s">
        <v>360</v>
      </c>
      <c r="AC134" s="2" t="str">
        <f>IF(OR(Tabla_Contabilidad[[#This Row],[ROL_JEFE_CONT_CONTA]]="*",Tabla_Contabilidad[[#This Row],[ROL_JEFE_CONT_CONTA_HOSP]]="*"),"*","")</f>
        <v>*</v>
      </c>
    </row>
    <row r="135" spans="1:29" x14ac:dyDescent="0.5">
      <c r="A135" s="2">
        <v>1</v>
      </c>
      <c r="B135" s="2">
        <v>131</v>
      </c>
      <c r="C135" s="2">
        <f>IF(Tabla_Contabilidad[[#This Row],[id_padre]]="",0,_xlfn.XLOOKUP(Tabla_Contabilidad[[#This Row],[id_padre]],Tabla_Contabilidad[Id],Tabla_Contabilidad[Nivel],0,0,1)+1)</f>
        <v>4</v>
      </c>
      <c r="D135" s="2" t="s">
        <v>126</v>
      </c>
      <c r="E135" s="2">
        <f>IF(Tabla_Contabilidad[[#This Row],[Id_anterior]]=1,ROW()-1,SUM(ROW()-1,Tabla_Contabilidad[[#This Row],[Id_anterior]]))</f>
        <v>134</v>
      </c>
      <c r="F13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CONTABILIDAD_MERCADO_PUBLICO_INFORMES_ORDENES_COMPRAS_RECHAZADAS_POR_MERCADO_PUBLICO</v>
      </c>
      <c r="G135" s="9" t="str">
        <f>CLEAN(PROPER(Tabla_Contabilidad[[#This Row],[Nombre Opción]]))</f>
        <v>Rechazadas Por Mercado Publico</v>
      </c>
      <c r="H135" s="9" t="s">
        <v>1735</v>
      </c>
      <c r="I135" s="9" t="str">
        <f>_xlfn.XLOOKUP(Tabla_Contabilidad[[#This Row],[id_padre]],Tabla_Contabilidad[Id],Tabla_Contabilidad[Codigo_Tecnico],"",0,1)</f>
        <v>CONTABILIDAD_MERCADO_PUBLICO_INFORMES_ORDENES_COMPRAS</v>
      </c>
      <c r="J13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/contabilidad/mercado-publico/informes/ordenes-compras/rechazadas-por-mercado-publico</v>
      </c>
      <c r="K13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rechazadas-por-mercado-publico</v>
      </c>
      <c r="L135" s="2" t="s">
        <v>1368</v>
      </c>
      <c r="M135" s="4" t="s">
        <v>1798</v>
      </c>
      <c r="N135" s="4" t="s">
        <v>360</v>
      </c>
      <c r="O135" s="4" t="s">
        <v>360</v>
      </c>
      <c r="P135" s="4" t="s">
        <v>360</v>
      </c>
      <c r="Q135" s="4" t="s">
        <v>360</v>
      </c>
      <c r="R135" s="4" t="s">
        <v>360</v>
      </c>
      <c r="S135" s="4" t="s">
        <v>360</v>
      </c>
      <c r="T135" s="4" t="s">
        <v>360</v>
      </c>
      <c r="U135" s="4" t="s">
        <v>360</v>
      </c>
      <c r="V135" s="4" t="s">
        <v>360</v>
      </c>
      <c r="W135" s="4" t="s">
        <v>360</v>
      </c>
      <c r="X135" s="4" t="s">
        <v>360</v>
      </c>
      <c r="Y135" s="4" t="s">
        <v>360</v>
      </c>
      <c r="Z135" s="4" t="s">
        <v>360</v>
      </c>
      <c r="AA135" s="4" t="s">
        <v>360</v>
      </c>
      <c r="AB135" s="4" t="s">
        <v>360</v>
      </c>
      <c r="AC135" s="2" t="str">
        <f>IF(OR(Tabla_Contabilidad[[#This Row],[ROL_JEFE_CONT_CONTA]]="*",Tabla_Contabilidad[[#This Row],[ROL_JEFE_CONT_CONTA_HOSP]]="*"),"*","")</f>
        <v>*</v>
      </c>
    </row>
    <row r="136" spans="1:29" x14ac:dyDescent="0.5">
      <c r="A136" s="2">
        <v>1</v>
      </c>
      <c r="B136" s="2">
        <v>131</v>
      </c>
      <c r="C136" s="2">
        <f>IF(Tabla_Contabilidad[[#This Row],[id_padre]]="",0,_xlfn.XLOOKUP(Tabla_Contabilidad[[#This Row],[id_padre]],Tabla_Contabilidad[Id],Tabla_Contabilidad[Nivel],0,0,1)+1)</f>
        <v>4</v>
      </c>
      <c r="D136" s="2" t="s">
        <v>127</v>
      </c>
      <c r="E136" s="2">
        <f>IF(Tabla_Contabilidad[[#This Row],[Id_anterior]]=1,ROW()-1,SUM(ROW()-1,Tabla_Contabilidad[[#This Row],[Id_anterior]]))</f>
        <v>135</v>
      </c>
      <c r="F13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CONTABILIDAD_MERCADO_PUBLICO_INFORMES_ORDENES_COMPRAS_FINALIZADAS_POR_MERCADO_PUBLICO</v>
      </c>
      <c r="G136" s="9" t="str">
        <f>CLEAN(PROPER(Tabla_Contabilidad[[#This Row],[Nombre Opción]]))</f>
        <v>Finalizadas Por Mercado Publico</v>
      </c>
      <c r="H136" s="9" t="s">
        <v>1735</v>
      </c>
      <c r="I136" s="9" t="str">
        <f>_xlfn.XLOOKUP(Tabla_Contabilidad[[#This Row],[id_padre]],Tabla_Contabilidad[Id],Tabla_Contabilidad[Codigo_Tecnico],"",0,1)</f>
        <v>CONTABILIDAD_MERCADO_PUBLICO_INFORMES_ORDENES_COMPRAS</v>
      </c>
      <c r="J13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/contabilidad/mercado-publico/informes/ordenes-compras/finalizadas-por-mercado-publico</v>
      </c>
      <c r="K13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finalizadas-por-mercado-publico</v>
      </c>
      <c r="L136" s="2" t="s">
        <v>1398</v>
      </c>
      <c r="M136" s="4" t="s">
        <v>1798</v>
      </c>
      <c r="N136" s="4" t="s">
        <v>360</v>
      </c>
      <c r="O136" s="4" t="s">
        <v>360</v>
      </c>
      <c r="P136" s="4" t="s">
        <v>360</v>
      </c>
      <c r="Q136" s="4" t="s">
        <v>360</v>
      </c>
      <c r="R136" s="4" t="s">
        <v>360</v>
      </c>
      <c r="S136" s="4" t="s">
        <v>360</v>
      </c>
      <c r="T136" s="4" t="s">
        <v>360</v>
      </c>
      <c r="U136" s="4" t="s">
        <v>360</v>
      </c>
      <c r="V136" s="4" t="s">
        <v>360</v>
      </c>
      <c r="W136" s="4" t="s">
        <v>360</v>
      </c>
      <c r="X136" s="4" t="s">
        <v>360</v>
      </c>
      <c r="Y136" s="4" t="s">
        <v>360</v>
      </c>
      <c r="Z136" s="4" t="s">
        <v>360</v>
      </c>
      <c r="AA136" s="4" t="s">
        <v>360</v>
      </c>
      <c r="AB136" s="4" t="s">
        <v>360</v>
      </c>
      <c r="AC136" s="2" t="str">
        <f>IF(OR(Tabla_Contabilidad[[#This Row],[ROL_JEFE_CONT_CONTA]]="*",Tabla_Contabilidad[[#This Row],[ROL_JEFE_CONT_CONTA_HOSP]]="*"),"*","")</f>
        <v>*</v>
      </c>
    </row>
    <row r="137" spans="1:29" x14ac:dyDescent="0.5">
      <c r="A137" s="2">
        <v>1</v>
      </c>
      <c r="B137" s="2">
        <v>130</v>
      </c>
      <c r="C137" s="2">
        <f>IF(Tabla_Contabilidad[[#This Row],[id_padre]]="",0,_xlfn.XLOOKUP(Tabla_Contabilidad[[#This Row],[id_padre]],Tabla_Contabilidad[Id],Tabla_Contabilidad[Nivel],0,0,1)+1)</f>
        <v>3</v>
      </c>
      <c r="D137" s="2" t="s">
        <v>133</v>
      </c>
      <c r="E137" s="2">
        <f>IF(Tabla_Contabilidad[[#This Row],[Id_anterior]]=1,ROW()-1,SUM(ROW()-1,Tabla_Contabilidad[[#This Row],[Id_anterior]]))</f>
        <v>136</v>
      </c>
      <c r="F13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CONTABILIDAD_MERCADO_PUBLICO_INFORMES_REIMPRESION_CERTIFICADOS</v>
      </c>
      <c r="G137" s="9" t="str">
        <f>CLEAN(PROPER(Tabla_Contabilidad[[#This Row],[Nombre Opción]]))</f>
        <v>Reimpresion Certificados</v>
      </c>
      <c r="H137" s="9" t="s">
        <v>1735</v>
      </c>
      <c r="I137" s="9" t="str">
        <f>_xlfn.XLOOKUP(Tabla_Contabilidad[[#This Row],[id_padre]],Tabla_Contabilidad[Id],Tabla_Contabilidad[Codigo_Tecnico],"",0,1)</f>
        <v>CONTABILIDAD_MERCADO_PUBLICO_INFORMES</v>
      </c>
      <c r="J13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/contabilidad/mercado-publico/informes/reimpresion-certificados</v>
      </c>
      <c r="K13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reimpresion-certificados</v>
      </c>
      <c r="L137" s="2" t="s">
        <v>1335</v>
      </c>
      <c r="M137" s="4" t="s">
        <v>1798</v>
      </c>
      <c r="N137" s="4" t="s">
        <v>360</v>
      </c>
      <c r="O137" s="4" t="s">
        <v>360</v>
      </c>
      <c r="P137" s="4" t="s">
        <v>360</v>
      </c>
      <c r="Q137" s="4" t="s">
        <v>360</v>
      </c>
      <c r="R137" s="4" t="s">
        <v>360</v>
      </c>
      <c r="S137" s="4" t="s">
        <v>360</v>
      </c>
      <c r="T137" s="4" t="s">
        <v>360</v>
      </c>
      <c r="U137" s="4" t="s">
        <v>360</v>
      </c>
      <c r="V137" s="4" t="s">
        <v>360</v>
      </c>
      <c r="W137" s="4" t="s">
        <v>360</v>
      </c>
      <c r="X137" s="4" t="s">
        <v>360</v>
      </c>
      <c r="Y137" s="4" t="s">
        <v>360</v>
      </c>
      <c r="Z137" s="4" t="s">
        <v>360</v>
      </c>
      <c r="AB137" s="4" t="s">
        <v>360</v>
      </c>
      <c r="AC137" s="2" t="str">
        <f>IF(OR(Tabla_Contabilidad[[#This Row],[ROL_JEFE_CONT_CONTA]]="*",Tabla_Contabilidad[[#This Row],[ROL_JEFE_CONT_CONTA_HOSP]]="*"),"*","")</f>
        <v>*</v>
      </c>
    </row>
    <row r="138" spans="1:29" x14ac:dyDescent="0.5">
      <c r="A138" s="2">
        <v>1</v>
      </c>
      <c r="B138" s="2">
        <v>130</v>
      </c>
      <c r="C138" s="2">
        <f>IF(Tabla_Contabilidad[[#This Row],[id_padre]]="",0,_xlfn.XLOOKUP(Tabla_Contabilidad[[#This Row],[id_padre]],Tabla_Contabilidad[Id],Tabla_Contabilidad[Nivel],0,0,1)+1)</f>
        <v>3</v>
      </c>
      <c r="D138" s="2" t="s">
        <v>131</v>
      </c>
      <c r="E138" s="2">
        <f>IF(Tabla_Contabilidad[[#This Row],[Id_anterior]]=1,ROW()-1,SUM(ROW()-1,Tabla_Contabilidad[[#This Row],[Id_anterior]]))</f>
        <v>137</v>
      </c>
      <c r="F13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CONTABILIDAD_MERCADO_PUBLICO_INFORMES_CATALOGO_ARTICULOS</v>
      </c>
      <c r="G138" s="9" t="str">
        <f>CLEAN(PROPER(Tabla_Contabilidad[[#This Row],[Nombre Opción]]))</f>
        <v>Catalogo De Articulos</v>
      </c>
      <c r="H138" s="9" t="s">
        <v>1735</v>
      </c>
      <c r="I138" s="9" t="str">
        <f>_xlfn.XLOOKUP(Tabla_Contabilidad[[#This Row],[id_padre]],Tabla_Contabilidad[Id],Tabla_Contabilidad[Codigo_Tecnico],"",0,1)</f>
        <v>CONTABILIDAD_MERCADO_PUBLICO_INFORMES</v>
      </c>
      <c r="J13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/contabilidad/mercado-publico/informes/catalogo-articulos</v>
      </c>
      <c r="K13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catalogo-articulos</v>
      </c>
      <c r="L138" s="2" t="s">
        <v>1407</v>
      </c>
      <c r="M138" s="4" t="s">
        <v>1798</v>
      </c>
      <c r="N138" s="4" t="s">
        <v>360</v>
      </c>
      <c r="O138" s="4" t="s">
        <v>360</v>
      </c>
      <c r="P138" s="4" t="s">
        <v>360</v>
      </c>
      <c r="Q138" s="4" t="s">
        <v>360</v>
      </c>
      <c r="T138" s="4" t="s">
        <v>360</v>
      </c>
      <c r="X138" s="4" t="s">
        <v>360</v>
      </c>
      <c r="Y138" s="4" t="s">
        <v>360</v>
      </c>
      <c r="AB138" s="4" t="s">
        <v>360</v>
      </c>
      <c r="AC138" s="2" t="str">
        <f>IF(OR(Tabla_Contabilidad[[#This Row],[ROL_JEFE_CONT_CONTA]]="*",Tabla_Contabilidad[[#This Row],[ROL_JEFE_CONT_CONTA_HOSP]]="*"),"*","")</f>
        <v>*</v>
      </c>
    </row>
    <row r="139" spans="1:29" x14ac:dyDescent="0.5">
      <c r="A139" s="2">
        <v>1</v>
      </c>
      <c r="B139" s="2">
        <v>5</v>
      </c>
      <c r="C139" s="2">
        <f>IF(Tabla_Contabilidad[[#This Row],[id_padre]]="",0,_xlfn.XLOOKUP(Tabla_Contabilidad[[#This Row],[id_padre]],Tabla_Contabilidad[Id],Tabla_Contabilidad[Nivel],0,0,1)+1)</f>
        <v>2</v>
      </c>
      <c r="D139" s="2" t="s">
        <v>134</v>
      </c>
      <c r="E139" s="2">
        <f>IF(Tabla_Contabilidad[[#This Row],[Id_anterior]]=1,ROW()-1,SUM(ROW()-1,Tabla_Contabilidad[[#This Row],[Id_anterior]]))</f>
        <v>138</v>
      </c>
      <c r="F13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CONTABILIDAD_MERCADO_PUBLICO_MANTENCION</v>
      </c>
      <c r="G139" s="9" t="str">
        <f>CLEAN(PROPER(Tabla_Contabilidad[[#This Row],[Nombre Opción]]))</f>
        <v>Mantencion</v>
      </c>
      <c r="H139" s="9" t="s">
        <v>1735</v>
      </c>
      <c r="I139" s="9" t="str">
        <f>_xlfn.XLOOKUP(Tabla_Contabilidad[[#This Row],[id_padre]],Tabla_Contabilidad[Id],Tabla_Contabilidad[Codigo_Tecnico],"",0,1)</f>
        <v>CONTABILIDAD_MERCADO_PUBLICO</v>
      </c>
      <c r="J13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/contabilidad/mercado-publico/mantencion</v>
      </c>
      <c r="K13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</v>
      </c>
      <c r="L139" s="2" t="s">
        <v>1449</v>
      </c>
      <c r="M139" s="4" t="s">
        <v>1798</v>
      </c>
      <c r="N139" s="4" t="s">
        <v>360</v>
      </c>
      <c r="O139" s="4" t="s">
        <v>360</v>
      </c>
      <c r="Q139" s="4" t="s">
        <v>360</v>
      </c>
      <c r="T139" s="4" t="s">
        <v>360</v>
      </c>
      <c r="X139" s="4" t="s">
        <v>360</v>
      </c>
      <c r="Y139" s="4" t="s">
        <v>360</v>
      </c>
      <c r="AB139" s="4" t="s">
        <v>360</v>
      </c>
      <c r="AC139" s="2" t="str">
        <f>IF(OR(Tabla_Contabilidad[[#This Row],[ROL_JEFE_CONT_CONTA]]="*",Tabla_Contabilidad[[#This Row],[ROL_JEFE_CONT_CONTA_HOSP]]="*"),"*","")</f>
        <v>*</v>
      </c>
    </row>
    <row r="140" spans="1:29" x14ac:dyDescent="0.5">
      <c r="A140" s="2">
        <v>1</v>
      </c>
      <c r="B140" s="2">
        <v>138</v>
      </c>
      <c r="C140" s="2">
        <f>IF(Tabla_Contabilidad[[#This Row],[id_padre]]="",0,_xlfn.XLOOKUP(Tabla_Contabilidad[[#This Row],[id_padre]],Tabla_Contabilidad[Id],Tabla_Contabilidad[Nivel],0,0,1)+1)</f>
        <v>3</v>
      </c>
      <c r="D140" s="2" t="s">
        <v>135</v>
      </c>
      <c r="E140" s="2">
        <f>IF(Tabla_Contabilidad[[#This Row],[Id_anterior]]=1,ROW()-1,SUM(ROW()-1,Tabla_Contabilidad[[#This Row],[Id_anterior]]))</f>
        <v>139</v>
      </c>
      <c r="F14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CONTABILIDAD_MERCADO_PUBLICO_MANTENCION_AUTORIZADORES</v>
      </c>
      <c r="G140" s="9" t="str">
        <f>CLEAN(PROPER(Tabla_Contabilidad[[#This Row],[Nombre Opción]]))</f>
        <v>Autorizadores</v>
      </c>
      <c r="H140" s="9" t="s">
        <v>1735</v>
      </c>
      <c r="I140" s="9" t="str">
        <f>_xlfn.XLOOKUP(Tabla_Contabilidad[[#This Row],[id_padre]],Tabla_Contabilidad[Id],Tabla_Contabilidad[Codigo_Tecnico],"",0,1)</f>
        <v>CONTABILIDAD_MERCADO_PUBLICO_MANTENCION</v>
      </c>
      <c r="J14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/contabilidad/mercado-publico/mantencion/autorizadores</v>
      </c>
      <c r="K14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autorizadores</v>
      </c>
      <c r="L140" s="2" t="s">
        <v>1450</v>
      </c>
      <c r="M140" s="4" t="s">
        <v>1798</v>
      </c>
      <c r="N140" s="4" t="s">
        <v>360</v>
      </c>
      <c r="O140" s="4" t="s">
        <v>360</v>
      </c>
      <c r="Q140" s="4" t="s">
        <v>360</v>
      </c>
      <c r="T140" s="4" t="s">
        <v>360</v>
      </c>
      <c r="X140" s="4" t="s">
        <v>360</v>
      </c>
      <c r="Y140" s="4" t="s">
        <v>360</v>
      </c>
      <c r="AB140" s="4" t="s">
        <v>360</v>
      </c>
      <c r="AC140" s="2" t="str">
        <f>IF(OR(Tabla_Contabilidad[[#This Row],[ROL_JEFE_CONT_CONTA]]="*",Tabla_Contabilidad[[#This Row],[ROL_JEFE_CONT_CONTA_HOSP]]="*"),"*","")</f>
        <v>*</v>
      </c>
    </row>
    <row r="141" spans="1:29" x14ac:dyDescent="0.5">
      <c r="A141" s="2">
        <v>1</v>
      </c>
      <c r="B141" s="2">
        <v>138</v>
      </c>
      <c r="C141" s="2">
        <f>IF(Tabla_Contabilidad[[#This Row],[id_padre]]="",0,_xlfn.XLOOKUP(Tabla_Contabilidad[[#This Row],[id_padre]],Tabla_Contabilidad[Id],Tabla_Contabilidad[Nivel],0,0,1)+1)</f>
        <v>3</v>
      </c>
      <c r="D141" s="2" t="s">
        <v>136</v>
      </c>
      <c r="E141" s="2">
        <f>IF(Tabla_Contabilidad[[#This Row],[Id_anterior]]=1,ROW()-1,SUM(ROW()-1,Tabla_Contabilidad[[#This Row],[Id_anterior]]))</f>
        <v>140</v>
      </c>
      <c r="F14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CONTABILIDAD_MERCADO_PUBLICO_MANTENCION_MANTENCION_CORREOS</v>
      </c>
      <c r="G141" s="9" t="str">
        <f>CLEAN(PROPER(Tabla_Contabilidad[[#This Row],[Nombre Opción]]))</f>
        <v>Mantencion Correos</v>
      </c>
      <c r="H141" s="9" t="s">
        <v>1735</v>
      </c>
      <c r="I141" s="9" t="str">
        <f>_xlfn.XLOOKUP(Tabla_Contabilidad[[#This Row],[id_padre]],Tabla_Contabilidad[Id],Tabla_Contabilidad[Codigo_Tecnico],"",0,1)</f>
        <v>CONTABILIDAD_MERCADO_PUBLICO_MANTENCION</v>
      </c>
      <c r="J14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/contabilidad/mercado-publico/mantencion/mantencion-correos</v>
      </c>
      <c r="K14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mantencion-correos</v>
      </c>
      <c r="L141" s="2" t="s">
        <v>1451</v>
      </c>
      <c r="M141" s="4" t="s">
        <v>1798</v>
      </c>
      <c r="N141" s="4" t="s">
        <v>360</v>
      </c>
      <c r="O141" s="4" t="s">
        <v>360</v>
      </c>
      <c r="Q141" s="4" t="s">
        <v>360</v>
      </c>
      <c r="T141" s="4" t="s">
        <v>360</v>
      </c>
      <c r="X141" s="4" t="s">
        <v>360</v>
      </c>
      <c r="Y141" s="4" t="s">
        <v>360</v>
      </c>
      <c r="AB141" s="4" t="s">
        <v>360</v>
      </c>
      <c r="AC141" s="2" t="str">
        <f>IF(OR(Tabla_Contabilidad[[#This Row],[ROL_JEFE_CONT_CONTA]]="*",Tabla_Contabilidad[[#This Row],[ROL_JEFE_CONT_CONTA_HOSP]]="*"),"*","")</f>
        <v>*</v>
      </c>
    </row>
    <row r="142" spans="1:29" x14ac:dyDescent="0.5">
      <c r="A142" s="2">
        <v>1</v>
      </c>
      <c r="B142" s="2">
        <v>138</v>
      </c>
      <c r="C142" s="2">
        <f>IF(Tabla_Contabilidad[[#This Row],[id_padre]]="",0,_xlfn.XLOOKUP(Tabla_Contabilidad[[#This Row],[id_padre]],Tabla_Contabilidad[Id],Tabla_Contabilidad[Nivel],0,0,1)+1)</f>
        <v>3</v>
      </c>
      <c r="D142" s="2" t="s">
        <v>137</v>
      </c>
      <c r="E142" s="2">
        <f>IF(Tabla_Contabilidad[[#This Row],[Id_anterior]]=1,ROW()-1,SUM(ROW()-1,Tabla_Contabilidad[[#This Row],[Id_anterior]]))</f>
        <v>141</v>
      </c>
      <c r="F14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CONTABILIDAD_MERCADO_PUBLICO_MANTENCION_CORREO_ELECTRONICOS_UNIDAD_INTERNA</v>
      </c>
      <c r="G142" s="9" t="str">
        <f>CLEAN(PROPER(Tabla_Contabilidad[[#This Row],[Nombre Opción]]))</f>
        <v>Correo Electronicos Unidad Interna</v>
      </c>
      <c r="H142" s="9" t="s">
        <v>1735</v>
      </c>
      <c r="I142" s="9" t="str">
        <f>_xlfn.XLOOKUP(Tabla_Contabilidad[[#This Row],[id_padre]],Tabla_Contabilidad[Id],Tabla_Contabilidad[Codigo_Tecnico],"",0,1)</f>
        <v>CONTABILIDAD_MERCADO_PUBLICO_MANTENCION</v>
      </c>
      <c r="J14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/contabilidad/mercado-publico/mantencion/correo-electronicos-unidad-interna</v>
      </c>
      <c r="K14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correo-electronicos-unidad-interna</v>
      </c>
      <c r="L142" s="2" t="s">
        <v>1452</v>
      </c>
      <c r="M142" s="4" t="s">
        <v>1798</v>
      </c>
      <c r="N142" s="4" t="s">
        <v>360</v>
      </c>
      <c r="O142" s="4" t="s">
        <v>360</v>
      </c>
      <c r="Q142" s="4" t="s">
        <v>360</v>
      </c>
      <c r="T142" s="4" t="s">
        <v>360</v>
      </c>
      <c r="X142" s="4" t="s">
        <v>360</v>
      </c>
      <c r="Y142" s="4" t="s">
        <v>360</v>
      </c>
      <c r="AB142" s="4" t="s">
        <v>360</v>
      </c>
      <c r="AC142" s="2" t="str">
        <f>IF(OR(Tabla_Contabilidad[[#This Row],[ROL_JEFE_CONT_CONTA]]="*",Tabla_Contabilidad[[#This Row],[ROL_JEFE_CONT_CONTA_HOSP]]="*"),"*","")</f>
        <v>*</v>
      </c>
    </row>
    <row r="143" spans="1:29" x14ac:dyDescent="0.5">
      <c r="A143" s="2">
        <v>1</v>
      </c>
      <c r="B143" s="2">
        <v>6</v>
      </c>
      <c r="C143" s="2">
        <f>IF(Tabla_Contabilidad[[#This Row],[id_padre]]="",0,_xlfn.XLOOKUP(Tabla_Contabilidad[[#This Row],[id_padre]],Tabla_Contabilidad[Id],Tabla_Contabilidad[Nivel],0,0,1)+1)</f>
        <v>2</v>
      </c>
      <c r="D143" s="2" t="s">
        <v>1455</v>
      </c>
      <c r="E143" s="2">
        <f>IF(Tabla_Contabilidad[[#This Row],[Id_anterior]]=1,ROW()-1,SUM(ROW()-1,Tabla_Contabilidad[[#This Row],[Id_anterior]]))</f>
        <v>142</v>
      </c>
      <c r="F14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CONTABILIDAD_INFORMES_CONSOLIDADOS_ENTIDAD_ORG_EXTERNOS_</v>
      </c>
      <c r="G143" s="9" t="str">
        <f>CLEAN(PROPER(Tabla_Contabilidad[[#This Row],[Nombre Opción]]))</f>
        <v xml:space="preserve">Consolidados (Entidad Org Externos) </v>
      </c>
      <c r="H143" s="9" t="s">
        <v>1735</v>
      </c>
      <c r="I143" s="9" t="str">
        <f>_xlfn.XLOOKUP(Tabla_Contabilidad[[#This Row],[id_padre]],Tabla_Contabilidad[Id],Tabla_Contabilidad[Codigo_Tecnico],"",0,1)</f>
        <v>CONTABILIDAD_INFORMES</v>
      </c>
      <c r="J14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/contabilidad/informes/consolidados-entidad-org-externos-</v>
      </c>
      <c r="K14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consolidados-entidad-org-externos-</v>
      </c>
      <c r="L143" s="2" t="s">
        <v>1456</v>
      </c>
      <c r="M143" s="4" t="s">
        <v>1798</v>
      </c>
      <c r="N143" s="4" t="s">
        <v>360</v>
      </c>
      <c r="O143" s="4" t="s">
        <v>360</v>
      </c>
      <c r="P143" s="4" t="s">
        <v>360</v>
      </c>
      <c r="Q143" s="4" t="s">
        <v>360</v>
      </c>
      <c r="T143" s="4" t="s">
        <v>360</v>
      </c>
      <c r="W143" s="4" t="s">
        <v>360</v>
      </c>
      <c r="Y143" s="4" t="s">
        <v>360</v>
      </c>
      <c r="Z143" s="4" t="s">
        <v>360</v>
      </c>
      <c r="AB143" s="4" t="s">
        <v>360</v>
      </c>
      <c r="AC143" s="2" t="str">
        <f>IF(OR(Tabla_Contabilidad[[#This Row],[ROL_JEFE_CONT_CONTA]]="*",Tabla_Contabilidad[[#This Row],[ROL_JEFE_CONT_CONTA_HOSP]]="*"),"*","")</f>
        <v>*</v>
      </c>
    </row>
    <row r="144" spans="1:29" x14ac:dyDescent="0.5">
      <c r="A144" s="2">
        <v>1</v>
      </c>
      <c r="B144" s="2">
        <v>142</v>
      </c>
      <c r="C144" s="2">
        <f>IF(Tabla_Contabilidad[[#This Row],[id_padre]]="",0,_xlfn.XLOOKUP(Tabla_Contabilidad[[#This Row],[id_padre]],Tabla_Contabilidad[Id],Tabla_Contabilidad[Nivel],0,0,1)+1)</f>
        <v>3</v>
      </c>
      <c r="D144" s="2" t="s">
        <v>138</v>
      </c>
      <c r="E144" s="2">
        <f>IF(Tabla_Contabilidad[[#This Row],[Id_anterior]]=1,ROW()-1,SUM(ROW()-1,Tabla_Contabilidad[[#This Row],[Id_anterior]]))</f>
        <v>143</v>
      </c>
      <c r="F14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CONTABILIDAD_INFORMES_CONSOLIDADOS_ENTIDAD_ORG_EXTERNOS__BALANCE_GENERAL</v>
      </c>
      <c r="G144" s="9" t="str">
        <f>CLEAN(PROPER(Tabla_Contabilidad[[#This Row],[Nombre Opción]]))</f>
        <v>Balance General</v>
      </c>
      <c r="H144" s="9" t="s">
        <v>1735</v>
      </c>
      <c r="I144" s="9" t="str">
        <f>_xlfn.XLOOKUP(Tabla_Contabilidad[[#This Row],[id_padre]],Tabla_Contabilidad[Id],Tabla_Contabilidad[Codigo_Tecnico],"",0,1)</f>
        <v>CONTABILIDAD_INFORMES_CONSOLIDADOS_ENTIDAD_ORG_EXTERNOS_</v>
      </c>
      <c r="J14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/contabilidad/informes/consolidados-entidad-org-externos-/balance-general</v>
      </c>
      <c r="K14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balance-general</v>
      </c>
      <c r="L144" s="2" t="s">
        <v>1431</v>
      </c>
      <c r="M144" s="4" t="s">
        <v>1798</v>
      </c>
      <c r="N144" s="4" t="s">
        <v>360</v>
      </c>
      <c r="O144" s="4" t="s">
        <v>360</v>
      </c>
      <c r="P144" s="4" t="s">
        <v>360</v>
      </c>
      <c r="Q144" s="4" t="s">
        <v>360</v>
      </c>
      <c r="T144" s="4" t="s">
        <v>360</v>
      </c>
      <c r="W144" s="4" t="s">
        <v>360</v>
      </c>
      <c r="Y144" s="4" t="s">
        <v>360</v>
      </c>
      <c r="AB144" s="4" t="s">
        <v>360</v>
      </c>
      <c r="AC144" s="2" t="str">
        <f>IF(OR(Tabla_Contabilidad[[#This Row],[ROL_JEFE_CONT_CONTA]]="*",Tabla_Contabilidad[[#This Row],[ROL_JEFE_CONT_CONTA_HOSP]]="*"),"*","")</f>
        <v>*</v>
      </c>
    </row>
    <row r="145" spans="1:29" x14ac:dyDescent="0.5">
      <c r="A145" s="2">
        <v>1</v>
      </c>
      <c r="B145" s="2">
        <v>142</v>
      </c>
      <c r="C145" s="2">
        <f>IF(Tabla_Contabilidad[[#This Row],[id_padre]]="",0,_xlfn.XLOOKUP(Tabla_Contabilidad[[#This Row],[id_padre]],Tabla_Contabilidad[Id],Tabla_Contabilidad[Nivel],0,0,1)+1)</f>
        <v>3</v>
      </c>
      <c r="D145" s="2" t="s">
        <v>139</v>
      </c>
      <c r="E145" s="2">
        <f>IF(Tabla_Contabilidad[[#This Row],[Id_anterior]]=1,ROW()-1,SUM(ROW()-1,Tabla_Contabilidad[[#This Row],[Id_anterior]]))</f>
        <v>144</v>
      </c>
      <c r="F14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CONTABILIDAD_INFORMES_CONSOLIDADOS_ENTIDAD_ORG_EXTERNOS__ESTADO_RESULTADO</v>
      </c>
      <c r="G145" s="9" t="str">
        <f>CLEAN(PROPER(Tabla_Contabilidad[[#This Row],[Nombre Opción]]))</f>
        <v>Estado Resultado</v>
      </c>
      <c r="H145" s="9" t="s">
        <v>1735</v>
      </c>
      <c r="I145" s="9" t="str">
        <f>_xlfn.XLOOKUP(Tabla_Contabilidad[[#This Row],[id_padre]],Tabla_Contabilidad[Id],Tabla_Contabilidad[Codigo_Tecnico],"",0,1)</f>
        <v>CONTABILIDAD_INFORMES_CONSOLIDADOS_ENTIDAD_ORG_EXTERNOS_</v>
      </c>
      <c r="J14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/contabilidad/informes/consolidados-entidad-org-externos-/estado-resultado</v>
      </c>
      <c r="K14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estado-resultado</v>
      </c>
      <c r="L145" s="2" t="s">
        <v>1427</v>
      </c>
      <c r="M145" s="4" t="s">
        <v>1798</v>
      </c>
      <c r="N145" s="4" t="s">
        <v>360</v>
      </c>
      <c r="O145" s="4" t="s">
        <v>360</v>
      </c>
      <c r="P145" s="4" t="s">
        <v>360</v>
      </c>
      <c r="Q145" s="4" t="s">
        <v>360</v>
      </c>
      <c r="T145" s="4" t="s">
        <v>360</v>
      </c>
      <c r="W145" s="4" t="s">
        <v>360</v>
      </c>
      <c r="Y145" s="4" t="s">
        <v>360</v>
      </c>
      <c r="AB145" s="4" t="s">
        <v>360</v>
      </c>
      <c r="AC145" s="2" t="str">
        <f>IF(OR(Tabla_Contabilidad[[#This Row],[ROL_JEFE_CONT_CONTA]]="*",Tabla_Contabilidad[[#This Row],[ROL_JEFE_CONT_CONTA_HOSP]]="*"),"*","")</f>
        <v>*</v>
      </c>
    </row>
    <row r="146" spans="1:29" x14ac:dyDescent="0.5">
      <c r="A146" s="2">
        <v>1</v>
      </c>
      <c r="B146" s="2">
        <v>142</v>
      </c>
      <c r="C146" s="2">
        <f>IF(Tabla_Contabilidad[[#This Row],[id_padre]]="",0,_xlfn.XLOOKUP(Tabla_Contabilidad[[#This Row],[id_padre]],Tabla_Contabilidad[Id],Tabla_Contabilidad[Nivel],0,0,1)+1)</f>
        <v>3</v>
      </c>
      <c r="D146" s="2" t="s">
        <v>140</v>
      </c>
      <c r="E146" s="2">
        <f>IF(Tabla_Contabilidad[[#This Row],[Id_anterior]]=1,ROW()-1,SUM(ROW()-1,Tabla_Contabilidad[[#This Row],[Id_anterior]]))</f>
        <v>145</v>
      </c>
      <c r="F14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CONTABILIDAD_INFORMES_CONSOLIDADOS_ENTIDAD_ORG_EXTERNOS__MOVIMIENTO_FONDOS</v>
      </c>
      <c r="G146" s="9" t="str">
        <f>CLEAN(PROPER(Tabla_Contabilidad[[#This Row],[Nombre Opción]]))</f>
        <v>Movimiento De Fondos</v>
      </c>
      <c r="H146" s="9" t="s">
        <v>1735</v>
      </c>
      <c r="I146" s="9" t="str">
        <f>_xlfn.XLOOKUP(Tabla_Contabilidad[[#This Row],[id_padre]],Tabla_Contabilidad[Id],Tabla_Contabilidad[Codigo_Tecnico],"",0,1)</f>
        <v>CONTABILIDAD_INFORMES_CONSOLIDADOS_ENTIDAD_ORG_EXTERNOS_</v>
      </c>
      <c r="J14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/contabilidad/informes/consolidados-entidad-org-externos-/movimiento-fondos</v>
      </c>
      <c r="K14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movimiento-fondos</v>
      </c>
      <c r="L146" s="2" t="s">
        <v>1379</v>
      </c>
      <c r="M146" s="4" t="s">
        <v>1798</v>
      </c>
      <c r="N146" s="4" t="s">
        <v>360</v>
      </c>
      <c r="O146" s="4" t="s">
        <v>360</v>
      </c>
      <c r="P146" s="4" t="s">
        <v>360</v>
      </c>
      <c r="Q146" s="4" t="s">
        <v>360</v>
      </c>
      <c r="T146" s="4" t="s">
        <v>360</v>
      </c>
      <c r="W146" s="4" t="s">
        <v>360</v>
      </c>
      <c r="Y146" s="4" t="s">
        <v>360</v>
      </c>
      <c r="AB146" s="4" t="s">
        <v>360</v>
      </c>
      <c r="AC146" s="2" t="str">
        <f>IF(OR(Tabla_Contabilidad[[#This Row],[ROL_JEFE_CONT_CONTA]]="*",Tabla_Contabilidad[[#This Row],[ROL_JEFE_CONT_CONTA_HOSP]]="*"),"*","")</f>
        <v>*</v>
      </c>
    </row>
    <row r="147" spans="1:29" x14ac:dyDescent="0.5">
      <c r="A147" s="2">
        <v>1</v>
      </c>
      <c r="B147" s="2">
        <v>142</v>
      </c>
      <c r="C147" s="2">
        <f>IF(Tabla_Contabilidad[[#This Row],[id_padre]]="",0,_xlfn.XLOOKUP(Tabla_Contabilidad[[#This Row],[id_padre]],Tabla_Contabilidad[Id],Tabla_Contabilidad[Nivel],0,0,1)+1)</f>
        <v>3</v>
      </c>
      <c r="D147" s="2" t="s">
        <v>141</v>
      </c>
      <c r="E147" s="2">
        <f>IF(Tabla_Contabilidad[[#This Row],[Id_anterior]]=1,ROW()-1,SUM(ROW()-1,Tabla_Contabilidad[[#This Row],[Id_anterior]]))</f>
        <v>146</v>
      </c>
      <c r="F14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CONTABILIDAD_INFORMES_CONSOLIDADOS_ENTIDAD_ORG_EXTERNOS__CUENTAS_COMPLEMENTARIAS</v>
      </c>
      <c r="G147" s="9" t="str">
        <f>CLEAN(PROPER(Tabla_Contabilidad[[#This Row],[Nombre Opción]]))</f>
        <v>Cuentas Complementarias</v>
      </c>
      <c r="H147" s="9" t="s">
        <v>1735</v>
      </c>
      <c r="I147" s="9" t="str">
        <f>_xlfn.XLOOKUP(Tabla_Contabilidad[[#This Row],[id_padre]],Tabla_Contabilidad[Id],Tabla_Contabilidad[Codigo_Tecnico],"",0,1)</f>
        <v>CONTABILIDAD_INFORMES_CONSOLIDADOS_ENTIDAD_ORG_EXTERNOS_</v>
      </c>
      <c r="J14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/contabilidad/informes/consolidados-entidad-org-externos-/cuentas-complementarias</v>
      </c>
      <c r="K14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cuentas-complementarias</v>
      </c>
      <c r="L147" s="2" t="s">
        <v>1433</v>
      </c>
      <c r="M147" s="4" t="s">
        <v>1798</v>
      </c>
      <c r="N147" s="4" t="s">
        <v>360</v>
      </c>
      <c r="O147" s="4" t="s">
        <v>360</v>
      </c>
      <c r="P147" s="4" t="s">
        <v>360</v>
      </c>
      <c r="Q147" s="4" t="s">
        <v>360</v>
      </c>
      <c r="T147" s="4" t="s">
        <v>360</v>
      </c>
      <c r="W147" s="4" t="s">
        <v>360</v>
      </c>
      <c r="Y147" s="4" t="s">
        <v>360</v>
      </c>
      <c r="AB147" s="4" t="s">
        <v>360</v>
      </c>
      <c r="AC147" s="2" t="str">
        <f>IF(OR(Tabla_Contabilidad[[#This Row],[ROL_JEFE_CONT_CONTA]]="*",Tabla_Contabilidad[[#This Row],[ROL_JEFE_CONT_CONTA_HOSP]]="*"),"*","")</f>
        <v>*</v>
      </c>
    </row>
    <row r="148" spans="1:29" x14ac:dyDescent="0.5">
      <c r="A148" s="2">
        <v>1</v>
      </c>
      <c r="B148" s="2">
        <v>142</v>
      </c>
      <c r="C148" s="2">
        <f>IF(Tabla_Contabilidad[[#This Row],[id_padre]]="",0,_xlfn.XLOOKUP(Tabla_Contabilidad[[#This Row],[id_padre]],Tabla_Contabilidad[Id],Tabla_Contabilidad[Nivel],0,0,1)+1)</f>
        <v>3</v>
      </c>
      <c r="D148" s="2" t="s">
        <v>142</v>
      </c>
      <c r="E148" s="2">
        <f>IF(Tabla_Contabilidad[[#This Row],[Id_anterior]]=1,ROW()-1,SUM(ROW()-1,Tabla_Contabilidad[[#This Row],[Id_anterior]]))</f>
        <v>147</v>
      </c>
      <c r="F14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CONTABILIDAD_INFORMES_CONSOLIDADOS_ENTIDAD_ORG_EXTERNOS__BALANCE_COMPROBACION_Y_SALDOS</v>
      </c>
      <c r="G148" s="9" t="str">
        <f>CLEAN(PROPER(Tabla_Contabilidad[[#This Row],[Nombre Opción]]))</f>
        <v>Balance Comprobación Y Saldos</v>
      </c>
      <c r="H148" s="9" t="s">
        <v>1735</v>
      </c>
      <c r="I148" s="9" t="str">
        <f>_xlfn.XLOOKUP(Tabla_Contabilidad[[#This Row],[id_padre]],Tabla_Contabilidad[Id],Tabla_Contabilidad[Codigo_Tecnico],"",0,1)</f>
        <v>CONTABILIDAD_INFORMES_CONSOLIDADOS_ENTIDAD_ORG_EXTERNOS_</v>
      </c>
      <c r="J14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/contabilidad/informes/consolidados-entidad-org-externos-/balance-comprobacion-y-saldos</v>
      </c>
      <c r="K14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balance-comprobacion-y-saldos</v>
      </c>
      <c r="L148" s="2" t="s">
        <v>1386</v>
      </c>
      <c r="M148" s="4" t="s">
        <v>1798</v>
      </c>
      <c r="N148" s="4" t="s">
        <v>360</v>
      </c>
      <c r="O148" s="4" t="s">
        <v>360</v>
      </c>
      <c r="P148" s="4" t="s">
        <v>360</v>
      </c>
      <c r="Q148" s="4" t="s">
        <v>360</v>
      </c>
      <c r="T148" s="4" t="s">
        <v>360</v>
      </c>
      <c r="W148" s="4" t="s">
        <v>360</v>
      </c>
      <c r="Y148" s="4" t="s">
        <v>360</v>
      </c>
      <c r="AB148" s="4" t="s">
        <v>360</v>
      </c>
      <c r="AC148" s="2" t="str">
        <f>IF(OR(Tabla_Contabilidad[[#This Row],[ROL_JEFE_CONT_CONTA]]="*",Tabla_Contabilidad[[#This Row],[ROL_JEFE_CONT_CONTA_HOSP]]="*"),"*","")</f>
        <v>*</v>
      </c>
    </row>
    <row r="149" spans="1:29" x14ac:dyDescent="0.5">
      <c r="A149" s="2">
        <v>1</v>
      </c>
      <c r="B149" s="2">
        <v>142</v>
      </c>
      <c r="C149" s="2">
        <f>IF(Tabla_Contabilidad[[#This Row],[id_padre]]="",0,_xlfn.XLOOKUP(Tabla_Contabilidad[[#This Row],[id_padre]],Tabla_Contabilidad[Id],Tabla_Contabilidad[Nivel],0,0,1)+1)</f>
        <v>3</v>
      </c>
      <c r="D149" s="2" t="s">
        <v>143</v>
      </c>
      <c r="E149" s="2">
        <f>IF(Tabla_Contabilidad[[#This Row],[Id_anterior]]=1,ROW()-1,SUM(ROW()-1,Tabla_Contabilidad[[#This Row],[Id_anterior]]))</f>
        <v>148</v>
      </c>
      <c r="F14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CONTABILIDAD_INFORMES_CONSOLIDADOS_ENTIDAD_ORG_EXTERNOS__BALANCE_COMPROACION_CONTRALORIA</v>
      </c>
      <c r="G149" s="9" t="str">
        <f>CLEAN(PROPER(Tabla_Contabilidad[[#This Row],[Nombre Opción]]))</f>
        <v>Balance Comproación Contraloria</v>
      </c>
      <c r="H149" s="9" t="s">
        <v>1735</v>
      </c>
      <c r="I149" s="9" t="str">
        <f>_xlfn.XLOOKUP(Tabla_Contabilidad[[#This Row],[id_padre]],Tabla_Contabilidad[Id],Tabla_Contabilidad[Codigo_Tecnico],"",0,1)</f>
        <v>CONTABILIDAD_INFORMES_CONSOLIDADOS_ENTIDAD_ORG_EXTERNOS_</v>
      </c>
      <c r="J14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/contabilidad/informes/consolidados-entidad-org-externos-/balance-comproacion-contraloria</v>
      </c>
      <c r="K14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balance-comproacion-contraloria</v>
      </c>
      <c r="L149" s="2" t="s">
        <v>1457</v>
      </c>
      <c r="M149" s="4" t="s">
        <v>1798</v>
      </c>
      <c r="N149" s="4" t="s">
        <v>360</v>
      </c>
      <c r="O149" s="4" t="s">
        <v>360</v>
      </c>
      <c r="P149" s="4" t="s">
        <v>360</v>
      </c>
      <c r="Q149" s="4" t="s">
        <v>360</v>
      </c>
      <c r="T149" s="4" t="s">
        <v>360</v>
      </c>
      <c r="W149" s="4" t="s">
        <v>360</v>
      </c>
      <c r="Y149" s="4" t="s">
        <v>360</v>
      </c>
      <c r="AB149" s="4" t="s">
        <v>360</v>
      </c>
      <c r="AC149" s="2" t="str">
        <f>IF(OR(Tabla_Contabilidad[[#This Row],[ROL_JEFE_CONT_CONTA]]="*",Tabla_Contabilidad[[#This Row],[ROL_JEFE_CONT_CONTA_HOSP]]="*"),"*","")</f>
        <v>*</v>
      </c>
    </row>
    <row r="150" spans="1:29" x14ac:dyDescent="0.5">
      <c r="A150" s="2">
        <v>1</v>
      </c>
      <c r="B150" s="2">
        <v>142</v>
      </c>
      <c r="C150" s="2">
        <f>IF(Tabla_Contabilidad[[#This Row],[id_padre]]="",0,_xlfn.XLOOKUP(Tabla_Contabilidad[[#This Row],[id_padre]],Tabla_Contabilidad[Id],Tabla_Contabilidad[Nivel],0,0,1)+1)</f>
        <v>3</v>
      </c>
      <c r="D150" s="2" t="s">
        <v>144</v>
      </c>
      <c r="E150" s="2">
        <f>IF(Tabla_Contabilidad[[#This Row],[Id_anterior]]=1,ROW()-1,SUM(ROW()-1,Tabla_Contabilidad[[#This Row],[Id_anterior]]))</f>
        <v>149</v>
      </c>
      <c r="F15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CONTABILIDAD_INFORMES_CONSOLIDADOS_ENTIDAD_ORG_EXTERNOS__CAPITULO_V</v>
      </c>
      <c r="G150" s="9" t="str">
        <f>CLEAN(PROPER(Tabla_Contabilidad[[#This Row],[Nombre Opción]]))</f>
        <v>Capitulo V</v>
      </c>
      <c r="H150" s="9" t="s">
        <v>1735</v>
      </c>
      <c r="I150" s="9" t="str">
        <f>_xlfn.XLOOKUP(Tabla_Contabilidad[[#This Row],[id_padre]],Tabla_Contabilidad[Id],Tabla_Contabilidad[Codigo_Tecnico],"",0,1)</f>
        <v>CONTABILIDAD_INFORMES_CONSOLIDADOS_ENTIDAD_ORG_EXTERNOS_</v>
      </c>
      <c r="J15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/contabilidad/informes/consolidados-entidad-org-externos-/capitulo-v</v>
      </c>
      <c r="K15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capitulo-v</v>
      </c>
      <c r="L150" s="2" t="s">
        <v>1458</v>
      </c>
      <c r="M150" s="4" t="s">
        <v>1798</v>
      </c>
      <c r="N150" s="4" t="s">
        <v>360</v>
      </c>
      <c r="O150" s="4"/>
      <c r="Q150" s="4" t="s">
        <v>360</v>
      </c>
      <c r="Y150" s="4" t="s">
        <v>360</v>
      </c>
      <c r="Z150" s="4" t="s">
        <v>360</v>
      </c>
      <c r="AB150" s="4" t="s">
        <v>360</v>
      </c>
      <c r="AC150" s="2" t="str">
        <f>IF(OR(Tabla_Contabilidad[[#This Row],[ROL_JEFE_CONT_CONTA]]="*",Tabla_Contabilidad[[#This Row],[ROL_JEFE_CONT_CONTA_HOSP]]="*"),"*","")</f>
        <v>*</v>
      </c>
    </row>
    <row r="151" spans="1:29" hidden="1" x14ac:dyDescent="0.5">
      <c r="A151" s="2">
        <v>1</v>
      </c>
      <c r="B151" s="2">
        <v>6</v>
      </c>
      <c r="C151" s="2">
        <f>IF(Tabla_Contabilidad[[#This Row],[id_padre]]="",0,_xlfn.XLOOKUP(Tabla_Contabilidad[[#This Row],[id_padre]],Tabla_Contabilidad[Id],Tabla_Contabilidad[Nivel],0,0,1)+1)</f>
        <v>2</v>
      </c>
      <c r="D151" s="2" t="s">
        <v>149</v>
      </c>
      <c r="E151" s="2">
        <f>IF(Tabla_Contabilidad[[#This Row],[Id_anterior]]=1,ROW()-1,SUM(ROW()-1,Tabla_Contabilidad[[#This Row],[Id_anterior]]))</f>
        <v>150</v>
      </c>
      <c r="F15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CONTABILIDAD_INFORMES_INFORMES_CAIGG</v>
      </c>
      <c r="G151" s="9" t="str">
        <f>CLEAN(PROPER(Tabla_Contabilidad[[#This Row],[Nombre Opción]]))</f>
        <v>Informes A C.A.I.G.G</v>
      </c>
      <c r="H151" s="9" t="s">
        <v>1735</v>
      </c>
      <c r="I151" s="9" t="str">
        <f>_xlfn.XLOOKUP(Tabla_Contabilidad[[#This Row],[id_padre]],Tabla_Contabilidad[Id],Tabla_Contabilidad[Codigo_Tecnico],"",0,1)</f>
        <v>CONTABILIDAD_INFORMES</v>
      </c>
      <c r="J15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/contabilidad/informes/informes-caigg</v>
      </c>
      <c r="K15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informes-caigg</v>
      </c>
      <c r="L151" s="2" t="s">
        <v>1387</v>
      </c>
      <c r="M151" s="4" t="s">
        <v>1798</v>
      </c>
      <c r="N151" s="4"/>
      <c r="O151" s="4"/>
      <c r="P151" s="4" t="s">
        <v>360</v>
      </c>
      <c r="Q151" s="4" t="s">
        <v>360</v>
      </c>
      <c r="AB151" s="4" t="s">
        <v>360</v>
      </c>
      <c r="AC151" s="2" t="str">
        <f>IF(OR(Tabla_Contabilidad[[#This Row],[ROL_JEFE_CONT_CONTA]]="*",Tabla_Contabilidad[[#This Row],[ROL_JEFE_CONT_CONTA_HOSP]]="*"),"*","")</f>
        <v/>
      </c>
    </row>
    <row r="152" spans="1:29" hidden="1" x14ac:dyDescent="0.5">
      <c r="A152" s="2">
        <v>1</v>
      </c>
      <c r="B152" s="2">
        <v>150</v>
      </c>
      <c r="C152" s="2">
        <f>IF(Tabla_Contabilidad[[#This Row],[id_padre]]="",0,_xlfn.XLOOKUP(Tabla_Contabilidad[[#This Row],[id_padre]],Tabla_Contabilidad[Id],Tabla_Contabilidad[Nivel],0,0,1)+1)</f>
        <v>3</v>
      </c>
      <c r="D152" s="2" t="s">
        <v>146</v>
      </c>
      <c r="E152" s="2">
        <f>IF(Tabla_Contabilidad[[#This Row],[Id_anterior]]=1,ROW()-1,SUM(ROW()-1,Tabla_Contabilidad[[#This Row],[Id_anterior]]))</f>
        <v>151</v>
      </c>
      <c r="F15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CONTABILIDAD_INFORMES_INFORMES_CAIGG_EMISION__INFROMES_CAIGG</v>
      </c>
      <c r="G152" s="9" t="str">
        <f>CLEAN(PROPER(Tabla_Contabilidad[[#This Row],[Nombre Opción]]))</f>
        <v>Emision  De Infromes A C.A.I.G.G</v>
      </c>
      <c r="H152" s="9" t="s">
        <v>1735</v>
      </c>
      <c r="I152" s="9" t="str">
        <f>_xlfn.XLOOKUP(Tabla_Contabilidad[[#This Row],[id_padre]],Tabla_Contabilidad[Id],Tabla_Contabilidad[Codigo_Tecnico],"",0,1)</f>
        <v>CONTABILIDAD_INFORMES_INFORMES_CAIGG</v>
      </c>
      <c r="J15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/contabilidad/informes/informes-caigg/emision--infromes-caigg</v>
      </c>
      <c r="K15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emision--infromes-caigg</v>
      </c>
      <c r="L152" s="2" t="s">
        <v>1459</v>
      </c>
      <c r="M152" s="4" t="s">
        <v>1798</v>
      </c>
      <c r="N152" s="4"/>
      <c r="O152" s="4"/>
      <c r="P152" s="4" t="s">
        <v>360</v>
      </c>
      <c r="Q152" s="4" t="s">
        <v>360</v>
      </c>
      <c r="AB152" s="4" t="s">
        <v>360</v>
      </c>
      <c r="AC152" s="2" t="str">
        <f>IF(OR(Tabla_Contabilidad[[#This Row],[ROL_JEFE_CONT_CONTA]]="*",Tabla_Contabilidad[[#This Row],[ROL_JEFE_CONT_CONTA_HOSP]]="*"),"*","")</f>
        <v/>
      </c>
    </row>
    <row r="153" spans="1:29" hidden="1" x14ac:dyDescent="0.5">
      <c r="A153" s="2">
        <v>1</v>
      </c>
      <c r="B153" s="12">
        <v>151</v>
      </c>
      <c r="C153" s="2">
        <f>IF(Tabla_Contabilidad[[#This Row],[id_padre]]="",0,_xlfn.XLOOKUP(Tabla_Contabilidad[[#This Row],[id_padre]],Tabla_Contabilidad[Id],Tabla_Contabilidad[Nivel],0,0,1)+1)</f>
        <v>4</v>
      </c>
      <c r="D153" s="2" t="s">
        <v>147</v>
      </c>
      <c r="E153" s="2">
        <f>IF(Tabla_Contabilidad[[#This Row],[Id_anterior]]=1,ROW()-1,SUM(ROW()-1,Tabla_Contabilidad[[#This Row],[Id_anterior]]))</f>
        <v>152</v>
      </c>
      <c r="F15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CONTABILIDAD_INFORMES_INFORMES_CAIGG_EMISION__INFROMES_CAIGG_DETALLE__INFROMES_CAIGG</v>
      </c>
      <c r="G153" s="9" t="str">
        <f>CLEAN(PROPER(Tabla_Contabilidad[[#This Row],[Nombre Opción]]))</f>
        <v>Detalle  De Infromes C.A.I.G.G</v>
      </c>
      <c r="H153" s="9" t="s">
        <v>1735</v>
      </c>
      <c r="I153" s="9" t="str">
        <f>_xlfn.XLOOKUP(Tabla_Contabilidad[[#This Row],[id_padre]],Tabla_Contabilidad[Id],Tabla_Contabilidad[Codigo_Tecnico],"",0,1)</f>
        <v>CONTABILIDAD_INFORMES_INFORMES_CAIGG_EMISION__INFROMES_CAIGG</v>
      </c>
      <c r="J15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/contabilidad/informes/informes-caigg/emision--infromes-caigg/detalle--infromes-caigg</v>
      </c>
      <c r="K15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detalle--infromes-caigg</v>
      </c>
      <c r="L153" s="2" t="s">
        <v>1460</v>
      </c>
      <c r="M153" s="4" t="s">
        <v>1798</v>
      </c>
      <c r="N153" s="4"/>
      <c r="O153" s="4"/>
      <c r="P153" s="4" t="s">
        <v>360</v>
      </c>
      <c r="Q153" s="4" t="s">
        <v>360</v>
      </c>
      <c r="AB153" s="4" t="s">
        <v>360</v>
      </c>
      <c r="AC153" s="2" t="str">
        <f>IF(OR(Tabla_Contabilidad[[#This Row],[ROL_JEFE_CONT_CONTA]]="*",Tabla_Contabilidad[[#This Row],[ROL_JEFE_CONT_CONTA_HOSP]]="*"),"*","")</f>
        <v/>
      </c>
    </row>
    <row r="154" spans="1:29" hidden="1" x14ac:dyDescent="0.5">
      <c r="A154" s="2">
        <v>1</v>
      </c>
      <c r="B154" s="2">
        <v>151</v>
      </c>
      <c r="C154" s="2">
        <f>IF(Tabla_Contabilidad[[#This Row],[id_padre]]="",0,_xlfn.XLOOKUP(Tabla_Contabilidad[[#This Row],[id_padre]],Tabla_Contabilidad[Id],Tabla_Contabilidad[Nivel],0,0,1)+1)</f>
        <v>4</v>
      </c>
      <c r="D154" s="2" t="s">
        <v>148</v>
      </c>
      <c r="E154" s="2">
        <f>IF(Tabla_Contabilidad[[#This Row],[Id_anterior]]=1,ROW()-1,SUM(ROW()-1,Tabla_Contabilidad[[#This Row],[Id_anterior]]))</f>
        <v>153</v>
      </c>
      <c r="F15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CONTABILIDAD_INFORMES_INFORMES_CAIGG_EMISION__INFROMES_CAIGG_EMISION_GASTO_CAIGG</v>
      </c>
      <c r="G154" s="9" t="str">
        <f>CLEAN(PROPER(Tabla_Contabilidad[[#This Row],[Nombre Opción]]))</f>
        <v>Emision Gasto A C.A.I.G.G</v>
      </c>
      <c r="H154" s="9" t="s">
        <v>1735</v>
      </c>
      <c r="I154" s="9" t="str">
        <f>_xlfn.XLOOKUP(Tabla_Contabilidad[[#This Row],[id_padre]],Tabla_Contabilidad[Id],Tabla_Contabilidad[Codigo_Tecnico],"",0,1)</f>
        <v>CONTABILIDAD_INFORMES_INFORMES_CAIGG_EMISION__INFROMES_CAIGG</v>
      </c>
      <c r="J15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/contabilidad/informes/informes-caigg/emision--infromes-caigg/emision-gasto-caigg</v>
      </c>
      <c r="K15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emision-gasto-caigg</v>
      </c>
      <c r="L154" s="2" t="s">
        <v>1345</v>
      </c>
      <c r="M154" s="4" t="s">
        <v>1798</v>
      </c>
      <c r="N154" s="4"/>
      <c r="O154" s="4"/>
      <c r="P154" s="4" t="s">
        <v>360</v>
      </c>
      <c r="Q154" s="4" t="s">
        <v>360</v>
      </c>
      <c r="AB154" s="4" t="s">
        <v>360</v>
      </c>
      <c r="AC154" s="2" t="str">
        <f>IF(OR(Tabla_Contabilidad[[#This Row],[ROL_JEFE_CONT_CONTA]]="*",Tabla_Contabilidad[[#This Row],[ROL_JEFE_CONT_CONTA_HOSP]]="*"),"*","")</f>
        <v/>
      </c>
    </row>
    <row r="155" spans="1:29" x14ac:dyDescent="0.5">
      <c r="A155" s="2">
        <v>1</v>
      </c>
      <c r="B155" s="2">
        <v>6</v>
      </c>
      <c r="C155" s="2">
        <f>IF(Tabla_Contabilidad[[#This Row],[id_padre]]="",0,_xlfn.XLOOKUP(Tabla_Contabilidad[[#This Row],[id_padre]],Tabla_Contabilidad[Id],Tabla_Contabilidad[Nivel],0,0,1)+1)</f>
        <v>2</v>
      </c>
      <c r="D155" s="2" t="s">
        <v>66</v>
      </c>
      <c r="E155" s="2">
        <f>IF(Tabla_Contabilidad[[#This Row],[Id_anterior]]=1,ROW()-1,SUM(ROW()-1,Tabla_Contabilidad[[#This Row],[Id_anterior]]))</f>
        <v>154</v>
      </c>
      <c r="F15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</v>
      </c>
      <c r="G155" s="9" t="str">
        <f>CLEAN(PROPER(Tabla_Contabilidad[[#This Row],[Nombre Opción]]))</f>
        <v>Por Unidad</v>
      </c>
      <c r="H155" s="9" t="s">
        <v>1735</v>
      </c>
      <c r="I155" s="9" t="str">
        <f>_xlfn.XLOOKUP(Tabla_Contabilidad[[#This Row],[id_padre]],Tabla_Contabilidad[Id],Tabla_Contabilidad[Codigo_Tecnico],"",0,1)</f>
        <v>CONTABILIDAD_INFORMES</v>
      </c>
      <c r="J15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</v>
      </c>
      <c r="K15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</v>
      </c>
      <c r="L155" s="2" t="s">
        <v>1341</v>
      </c>
      <c r="M155" s="4" t="s">
        <v>1798</v>
      </c>
      <c r="N155" s="4" t="s">
        <v>360</v>
      </c>
      <c r="O155" s="4" t="s">
        <v>360</v>
      </c>
      <c r="P155" s="4" t="s">
        <v>360</v>
      </c>
      <c r="Q155" s="4" t="s">
        <v>360</v>
      </c>
      <c r="R155" s="4" t="s">
        <v>360</v>
      </c>
      <c r="S155" s="4" t="s">
        <v>360</v>
      </c>
      <c r="T155" s="4" t="s">
        <v>360</v>
      </c>
      <c r="U155" s="4" t="s">
        <v>360</v>
      </c>
      <c r="V155" s="4" t="s">
        <v>360</v>
      </c>
      <c r="W155" s="4" t="s">
        <v>360</v>
      </c>
      <c r="X155" s="4" t="s">
        <v>360</v>
      </c>
      <c r="Y155" s="4" t="s">
        <v>360</v>
      </c>
      <c r="Z155" s="4" t="s">
        <v>360</v>
      </c>
      <c r="AB155" s="4" t="s">
        <v>360</v>
      </c>
      <c r="AC155" s="2" t="str">
        <f>IF(OR(Tabla_Contabilidad[[#This Row],[ROL_JEFE_CONT_CONTA]]="*",Tabla_Contabilidad[[#This Row],[ROL_JEFE_CONT_CONTA_HOSP]]="*"),"*","")</f>
        <v>*</v>
      </c>
    </row>
    <row r="156" spans="1:29" x14ac:dyDescent="0.5">
      <c r="A156" s="2">
        <v>1</v>
      </c>
      <c r="B156" s="2">
        <v>154</v>
      </c>
      <c r="C156" s="2">
        <f>IF(Tabla_Contabilidad[[#This Row],[id_padre]]="",0,_xlfn.XLOOKUP(Tabla_Contabilidad[[#This Row],[id_padre]],Tabla_Contabilidad[Id],Tabla_Contabilidad[Nivel],0,0,1)+1)</f>
        <v>3</v>
      </c>
      <c r="D156" s="2" t="s">
        <v>138</v>
      </c>
      <c r="E156" s="2">
        <f>IF(Tabla_Contabilidad[[#This Row],[Id_anterior]]=1,ROW()-1,SUM(ROW()-1,Tabla_Contabilidad[[#This Row],[Id_anterior]]))</f>
        <v>155</v>
      </c>
      <c r="F15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CONTABILIDAD_INFORMES_POR_UNIDAD_BALANCE_GENERAL</v>
      </c>
      <c r="G156" s="9" t="str">
        <f>CLEAN(PROPER(Tabla_Contabilidad[[#This Row],[Nombre Opción]]))</f>
        <v>Balance General</v>
      </c>
      <c r="H156" s="9" t="s">
        <v>1735</v>
      </c>
      <c r="I156" s="9" t="str">
        <f>_xlfn.XLOOKUP(Tabla_Contabilidad[[#This Row],[id_padre]],Tabla_Contabilidad[Id],Tabla_Contabilidad[Codigo_Tecnico],"",0,1)</f>
        <v>CONTABILIDAD_INFORMES_POR_UNIDAD</v>
      </c>
      <c r="J15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/contabilidad/informes/por-unidad/balance-general</v>
      </c>
      <c r="K15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balance-general</v>
      </c>
      <c r="L156" s="2" t="s">
        <v>1431</v>
      </c>
      <c r="M156" s="4" t="s">
        <v>1798</v>
      </c>
      <c r="N156" s="4" t="s">
        <v>360</v>
      </c>
      <c r="O156" s="4" t="s">
        <v>360</v>
      </c>
      <c r="P156" s="4" t="s">
        <v>360</v>
      </c>
      <c r="Q156" s="4" t="s">
        <v>360</v>
      </c>
      <c r="T156" s="4" t="s">
        <v>360</v>
      </c>
      <c r="W156" s="4" t="s">
        <v>360</v>
      </c>
      <c r="Y156" s="4" t="s">
        <v>360</v>
      </c>
      <c r="AB156" s="4" t="s">
        <v>360</v>
      </c>
      <c r="AC156" s="2" t="str">
        <f>IF(OR(Tabla_Contabilidad[[#This Row],[ROL_JEFE_CONT_CONTA]]="*",Tabla_Contabilidad[[#This Row],[ROL_JEFE_CONT_CONTA_HOSP]]="*"),"*","")</f>
        <v>*</v>
      </c>
    </row>
    <row r="157" spans="1:29" x14ac:dyDescent="0.5">
      <c r="A157" s="2">
        <v>1</v>
      </c>
      <c r="B157" s="2">
        <v>154</v>
      </c>
      <c r="C157" s="2">
        <f>IF(Tabla_Contabilidad[[#This Row],[id_padre]]="",0,_xlfn.XLOOKUP(Tabla_Contabilidad[[#This Row],[id_padre]],Tabla_Contabilidad[Id],Tabla_Contabilidad[Nivel],0,0,1)+1)</f>
        <v>3</v>
      </c>
      <c r="D157" s="2" t="s">
        <v>139</v>
      </c>
      <c r="E157" s="2">
        <f>IF(Tabla_Contabilidad[[#This Row],[Id_anterior]]=1,ROW()-1,SUM(ROW()-1,Tabla_Contabilidad[[#This Row],[Id_anterior]]))</f>
        <v>156</v>
      </c>
      <c r="F15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CONTABILIDAD_INFORMES_POR_UNIDAD_ESTADO_RESULTADO</v>
      </c>
      <c r="G157" s="9" t="str">
        <f>CLEAN(PROPER(Tabla_Contabilidad[[#This Row],[Nombre Opción]]))</f>
        <v>Estado Resultado</v>
      </c>
      <c r="H157" s="9" t="s">
        <v>1735</v>
      </c>
      <c r="I157" s="9" t="str">
        <f>_xlfn.XLOOKUP(Tabla_Contabilidad[[#This Row],[id_padre]],Tabla_Contabilidad[Id],Tabla_Contabilidad[Codigo_Tecnico],"",0,1)</f>
        <v>CONTABILIDAD_INFORMES_POR_UNIDAD</v>
      </c>
      <c r="J15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/contabilidad/informes/por-unidad/estado-resultado</v>
      </c>
      <c r="K15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estado-resultado</v>
      </c>
      <c r="L157" s="2" t="s">
        <v>1427</v>
      </c>
      <c r="M157" s="4" t="s">
        <v>1798</v>
      </c>
      <c r="N157" s="4" t="s">
        <v>360</v>
      </c>
      <c r="O157" s="4" t="s">
        <v>360</v>
      </c>
      <c r="P157" s="4" t="s">
        <v>360</v>
      </c>
      <c r="Q157" s="4" t="s">
        <v>360</v>
      </c>
      <c r="T157" s="4" t="s">
        <v>360</v>
      </c>
      <c r="W157" s="4" t="s">
        <v>360</v>
      </c>
      <c r="Y157" s="4" t="s">
        <v>360</v>
      </c>
      <c r="AB157" s="4" t="s">
        <v>360</v>
      </c>
      <c r="AC157" s="2" t="str">
        <f>IF(OR(Tabla_Contabilidad[[#This Row],[ROL_JEFE_CONT_CONTA]]="*",Tabla_Contabilidad[[#This Row],[ROL_JEFE_CONT_CONTA_HOSP]]="*"),"*","")</f>
        <v>*</v>
      </c>
    </row>
    <row r="158" spans="1:29" x14ac:dyDescent="0.5">
      <c r="A158" s="2">
        <v>1</v>
      </c>
      <c r="B158" s="2">
        <v>154</v>
      </c>
      <c r="C158" s="2">
        <f>IF(Tabla_Contabilidad[[#This Row],[id_padre]]="",0,_xlfn.XLOOKUP(Tabla_Contabilidad[[#This Row],[id_padre]],Tabla_Contabilidad[Id],Tabla_Contabilidad[Nivel],0,0,1)+1)</f>
        <v>3</v>
      </c>
      <c r="D158" s="2" t="s">
        <v>150</v>
      </c>
      <c r="E158" s="2">
        <f>IF(Tabla_Contabilidad[[#This Row],[Id_anterior]]=1,ROW()-1,SUM(ROW()-1,Tabla_Contabilidad[[#This Row],[Id_anterior]]))</f>
        <v>157</v>
      </c>
      <c r="F15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CONTABILIDAD_INFORMES_POR_UNIDAD_LIBRO_DIARIO</v>
      </c>
      <c r="G158" s="9" t="str">
        <f>CLEAN(PROPER(Tabla_Contabilidad[[#This Row],[Nombre Opción]]))</f>
        <v>Libro Diario</v>
      </c>
      <c r="H158" s="9" t="s">
        <v>1735</v>
      </c>
      <c r="I158" s="9" t="str">
        <f>_xlfn.XLOOKUP(Tabla_Contabilidad[[#This Row],[id_padre]],Tabla_Contabilidad[Id],Tabla_Contabilidad[Codigo_Tecnico],"",0,1)</f>
        <v>CONTABILIDAD_INFORMES_POR_UNIDAD</v>
      </c>
      <c r="J15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/contabilidad/informes/por-unidad/libro-diario</v>
      </c>
      <c r="K15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libro-diario</v>
      </c>
      <c r="L158" s="2" t="s">
        <v>1432</v>
      </c>
      <c r="M158" s="4" t="s">
        <v>1798</v>
      </c>
      <c r="N158" s="4" t="s">
        <v>360</v>
      </c>
      <c r="O158" s="4" t="s">
        <v>360</v>
      </c>
      <c r="P158" s="4" t="s">
        <v>360</v>
      </c>
      <c r="Q158" s="4" t="s">
        <v>360</v>
      </c>
      <c r="T158" s="4" t="s">
        <v>360</v>
      </c>
      <c r="W158" s="4" t="s">
        <v>360</v>
      </c>
      <c r="Y158" s="4" t="s">
        <v>360</v>
      </c>
      <c r="AB158" s="4" t="s">
        <v>360</v>
      </c>
      <c r="AC158" s="2" t="str">
        <f>IF(OR(Tabla_Contabilidad[[#This Row],[ROL_JEFE_CONT_CONTA]]="*",Tabla_Contabilidad[[#This Row],[ROL_JEFE_CONT_CONTA_HOSP]]="*"),"*","")</f>
        <v>*</v>
      </c>
    </row>
    <row r="159" spans="1:29" x14ac:dyDescent="0.5">
      <c r="A159" s="2">
        <v>1</v>
      </c>
      <c r="B159" s="2">
        <v>154</v>
      </c>
      <c r="C159" s="2">
        <f>IF(Tabla_Contabilidad[[#This Row],[id_padre]]="",0,_xlfn.XLOOKUP(Tabla_Contabilidad[[#This Row],[id_padre]],Tabla_Contabilidad[Id],Tabla_Contabilidad[Nivel],0,0,1)+1)</f>
        <v>3</v>
      </c>
      <c r="D159" s="2" t="s">
        <v>140</v>
      </c>
      <c r="E159" s="2">
        <f>IF(Tabla_Contabilidad[[#This Row],[Id_anterior]]=1,ROW()-1,SUM(ROW()-1,Tabla_Contabilidad[[#This Row],[Id_anterior]]))</f>
        <v>158</v>
      </c>
      <c r="F15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CONTABILIDAD_INFORMES_POR_UNIDAD_MOVIMIENTO_FONDOS</v>
      </c>
      <c r="G159" s="9" t="str">
        <f>CLEAN(PROPER(Tabla_Contabilidad[[#This Row],[Nombre Opción]]))</f>
        <v>Movimiento De Fondos</v>
      </c>
      <c r="H159" s="9" t="s">
        <v>1735</v>
      </c>
      <c r="I159" s="9" t="str">
        <f>_xlfn.XLOOKUP(Tabla_Contabilidad[[#This Row],[id_padre]],Tabla_Contabilidad[Id],Tabla_Contabilidad[Codigo_Tecnico],"",0,1)</f>
        <v>CONTABILIDAD_INFORMES_POR_UNIDAD</v>
      </c>
      <c r="J15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/contabilidad/informes/por-unidad/movimiento-fondos</v>
      </c>
      <c r="K15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movimiento-fondos</v>
      </c>
      <c r="L159" s="2" t="s">
        <v>1379</v>
      </c>
      <c r="M159" s="4" t="s">
        <v>1798</v>
      </c>
      <c r="N159" s="4" t="s">
        <v>360</v>
      </c>
      <c r="O159" s="4" t="s">
        <v>360</v>
      </c>
      <c r="P159" s="4" t="s">
        <v>360</v>
      </c>
      <c r="Q159" s="4" t="s">
        <v>360</v>
      </c>
      <c r="T159" s="4" t="s">
        <v>360</v>
      </c>
      <c r="W159" s="4" t="s">
        <v>360</v>
      </c>
      <c r="Y159" s="4" t="s">
        <v>360</v>
      </c>
      <c r="AB159" s="4" t="s">
        <v>360</v>
      </c>
      <c r="AC159" s="2" t="str">
        <f>IF(OR(Tabla_Contabilidad[[#This Row],[ROL_JEFE_CONT_CONTA]]="*",Tabla_Contabilidad[[#This Row],[ROL_JEFE_CONT_CONTA_HOSP]]="*"),"*","")</f>
        <v>*</v>
      </c>
    </row>
    <row r="160" spans="1:29" x14ac:dyDescent="0.5">
      <c r="A160" s="2">
        <v>1</v>
      </c>
      <c r="B160" s="2">
        <v>154</v>
      </c>
      <c r="C160" s="2">
        <f>IF(Tabla_Contabilidad[[#This Row],[id_padre]]="",0,_xlfn.XLOOKUP(Tabla_Contabilidad[[#This Row],[id_padre]],Tabla_Contabilidad[Id],Tabla_Contabilidad[Nivel],0,0,1)+1)</f>
        <v>3</v>
      </c>
      <c r="D160" s="2" t="s">
        <v>141</v>
      </c>
      <c r="E160" s="2">
        <f>IF(Tabla_Contabilidad[[#This Row],[Id_anterior]]=1,ROW()-1,SUM(ROW()-1,Tabla_Contabilidad[[#This Row],[Id_anterior]]))</f>
        <v>159</v>
      </c>
      <c r="F16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CONTABILIDAD_INFORMES_POR_UNIDAD_CUENTAS_COMPLEMENTARIAS</v>
      </c>
      <c r="G160" s="9" t="str">
        <f>CLEAN(PROPER(Tabla_Contabilidad[[#This Row],[Nombre Opción]]))</f>
        <v>Cuentas Complementarias</v>
      </c>
      <c r="H160" s="9" t="s">
        <v>1735</v>
      </c>
      <c r="I160" s="9" t="str">
        <f>_xlfn.XLOOKUP(Tabla_Contabilidad[[#This Row],[id_padre]],Tabla_Contabilidad[Id],Tabla_Contabilidad[Codigo_Tecnico],"",0,1)</f>
        <v>CONTABILIDAD_INFORMES_POR_UNIDAD</v>
      </c>
      <c r="J16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/contabilidad/informes/por-unidad/cuentas-complementarias</v>
      </c>
      <c r="K16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cuentas-complementarias</v>
      </c>
      <c r="L160" s="2" t="s">
        <v>1433</v>
      </c>
      <c r="M160" s="4" t="s">
        <v>1798</v>
      </c>
      <c r="N160" s="4" t="s">
        <v>360</v>
      </c>
      <c r="O160" s="4" t="s">
        <v>360</v>
      </c>
      <c r="P160" s="4" t="s">
        <v>360</v>
      </c>
      <c r="Q160" s="4" t="s">
        <v>360</v>
      </c>
      <c r="T160" s="4" t="s">
        <v>360</v>
      </c>
      <c r="W160" s="4" t="s">
        <v>360</v>
      </c>
      <c r="Y160" s="4" t="s">
        <v>360</v>
      </c>
      <c r="AB160" s="4" t="s">
        <v>360</v>
      </c>
      <c r="AC160" s="2" t="str">
        <f>IF(OR(Tabla_Contabilidad[[#This Row],[ROL_JEFE_CONT_CONTA]]="*",Tabla_Contabilidad[[#This Row],[ROL_JEFE_CONT_CONTA_HOSP]]="*"),"*","")</f>
        <v>*</v>
      </c>
    </row>
    <row r="161" spans="1:29" x14ac:dyDescent="0.5">
      <c r="A161" s="2">
        <v>1</v>
      </c>
      <c r="B161" s="2">
        <v>154</v>
      </c>
      <c r="C161" s="2">
        <f>IF(Tabla_Contabilidad[[#This Row],[id_padre]]="",0,_xlfn.XLOOKUP(Tabla_Contabilidad[[#This Row],[id_padre]],Tabla_Contabilidad[Id],Tabla_Contabilidad[Nivel],0,0,1)+1)</f>
        <v>3</v>
      </c>
      <c r="D161" s="2" t="s">
        <v>151</v>
      </c>
      <c r="E161" s="2">
        <f>IF(Tabla_Contabilidad[[#This Row],[Id_anterior]]=1,ROW()-1,SUM(ROW()-1,Tabla_Contabilidad[[#This Row],[Id_anterior]]))</f>
        <v>160</v>
      </c>
      <c r="F16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CONTABILIDAD_INFORMES_POR_UNIDAD_BALANCE_COMPROBACION_Y_SALDOS</v>
      </c>
      <c r="G161" s="9" t="str">
        <f>CLEAN(PROPER(Tabla_Contabilidad[[#This Row],[Nombre Opción]]))</f>
        <v>Balance De Comprobacion Y De Saldos</v>
      </c>
      <c r="H161" s="9" t="s">
        <v>1735</v>
      </c>
      <c r="I161" s="9" t="str">
        <f>_xlfn.XLOOKUP(Tabla_Contabilidad[[#This Row],[id_padre]],Tabla_Contabilidad[Id],Tabla_Contabilidad[Codigo_Tecnico],"",0,1)</f>
        <v>CONTABILIDAD_INFORMES_POR_UNIDAD</v>
      </c>
      <c r="J16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/contabilidad/informes/por-unidad/balance-comprobacion-y-saldos</v>
      </c>
      <c r="K16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balance-comprobacion-y-saldos</v>
      </c>
      <c r="L161" s="2" t="s">
        <v>1386</v>
      </c>
      <c r="M161" s="4" t="s">
        <v>1798</v>
      </c>
      <c r="N161" s="4" t="s">
        <v>360</v>
      </c>
      <c r="O161" s="4" t="s">
        <v>360</v>
      </c>
      <c r="P161" s="4" t="s">
        <v>360</v>
      </c>
      <c r="Q161" s="4" t="s">
        <v>360</v>
      </c>
      <c r="T161" s="4" t="s">
        <v>360</v>
      </c>
      <c r="W161" s="4" t="s">
        <v>360</v>
      </c>
      <c r="Y161" s="4" t="s">
        <v>360</v>
      </c>
      <c r="AB161" s="4" t="s">
        <v>360</v>
      </c>
      <c r="AC161" s="2" t="str">
        <f>IF(OR(Tabla_Contabilidad[[#This Row],[ROL_JEFE_CONT_CONTA]]="*",Tabla_Contabilidad[[#This Row],[ROL_JEFE_CONT_CONTA_HOSP]]="*"),"*","")</f>
        <v>*</v>
      </c>
    </row>
    <row r="162" spans="1:29" x14ac:dyDescent="0.5">
      <c r="A162" s="2">
        <v>1</v>
      </c>
      <c r="B162" s="2">
        <v>154</v>
      </c>
      <c r="C162" s="2">
        <f>IF(Tabla_Contabilidad[[#This Row],[id_padre]]="",0,_xlfn.XLOOKUP(Tabla_Contabilidad[[#This Row],[id_padre]],Tabla_Contabilidad[Id],Tabla_Contabilidad[Nivel],0,0,1)+1)</f>
        <v>3</v>
      </c>
      <c r="D162" s="2" t="s">
        <v>152</v>
      </c>
      <c r="E162" s="2">
        <f>IF(Tabla_Contabilidad[[#This Row],[Id_anterior]]=1,ROW()-1,SUM(ROW()-1,Tabla_Contabilidad[[#This Row],[Id_anterior]]))</f>
        <v>161</v>
      </c>
      <c r="F16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CONTABILIDAD_INFORMES_POR_UNIDAD_LIBRO_MAYOR</v>
      </c>
      <c r="G162" s="9" t="str">
        <f>CLEAN(PROPER(Tabla_Contabilidad[[#This Row],[Nombre Opción]]))</f>
        <v>Libro Mayor</v>
      </c>
      <c r="H162" s="9" t="s">
        <v>1735</v>
      </c>
      <c r="I162" s="9" t="str">
        <f>_xlfn.XLOOKUP(Tabla_Contabilidad[[#This Row],[id_padre]],Tabla_Contabilidad[Id],Tabla_Contabilidad[Codigo_Tecnico],"",0,1)</f>
        <v>CONTABILIDAD_INFORMES_POR_UNIDAD</v>
      </c>
      <c r="J16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/contabilidad/informes/por-unidad/libro-mayor</v>
      </c>
      <c r="K16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libro-mayor</v>
      </c>
      <c r="L162" s="2" t="s">
        <v>1432</v>
      </c>
      <c r="M162" s="4" t="s">
        <v>1798</v>
      </c>
      <c r="N162" s="4" t="s">
        <v>360</v>
      </c>
      <c r="O162" s="4" t="s">
        <v>360</v>
      </c>
      <c r="P162" s="4" t="s">
        <v>360</v>
      </c>
      <c r="Q162" s="4" t="s">
        <v>360</v>
      </c>
      <c r="T162" s="4" t="s">
        <v>360</v>
      </c>
      <c r="W162" s="4" t="s">
        <v>360</v>
      </c>
      <c r="Y162" s="4" t="s">
        <v>360</v>
      </c>
      <c r="AB162" s="4" t="s">
        <v>360</v>
      </c>
      <c r="AC162" s="2" t="str">
        <f>IF(OR(Tabla_Contabilidad[[#This Row],[ROL_JEFE_CONT_CONTA]]="*",Tabla_Contabilidad[[#This Row],[ROL_JEFE_CONT_CONTA_HOSP]]="*"),"*","")</f>
        <v>*</v>
      </c>
    </row>
    <row r="163" spans="1:29" x14ac:dyDescent="0.5">
      <c r="A163" s="2">
        <v>1</v>
      </c>
      <c r="B163" s="2">
        <v>154</v>
      </c>
      <c r="C163" s="2">
        <f>IF(Tabla_Contabilidad[[#This Row],[id_padre]]="",0,_xlfn.XLOOKUP(Tabla_Contabilidad[[#This Row],[id_padre]],Tabla_Contabilidad[Id],Tabla_Contabilidad[Nivel],0,0,1)+1)</f>
        <v>3</v>
      </c>
      <c r="D163" s="2" t="s">
        <v>32</v>
      </c>
      <c r="E163" s="2">
        <f>IF(Tabla_Contabilidad[[#This Row],[Id_anterior]]=1,ROW()-1,SUM(ROW()-1,Tabla_Contabilidad[[#This Row],[Id_anterior]]))</f>
        <v>162</v>
      </c>
      <c r="F16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CONTABILIDAD_INFORMES_POR_UNIDAD_PLAN_CUENTAS_POR_ENTIDAD</v>
      </c>
      <c r="G163" s="9" t="str">
        <f>CLEAN(PROPER(Tabla_Contabilidad[[#This Row],[Nombre Opción]]))</f>
        <v>Plan De Cuentas Por Entidad</v>
      </c>
      <c r="H163" s="9" t="s">
        <v>1735</v>
      </c>
      <c r="I163" s="9" t="str">
        <f>_xlfn.XLOOKUP(Tabla_Contabilidad[[#This Row],[id_padre]],Tabla_Contabilidad[Id],Tabla_Contabilidad[Codigo_Tecnico],"",0,1)</f>
        <v>CONTABILIDAD_INFORMES_POR_UNIDAD</v>
      </c>
      <c r="J16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/contabilidad/informes/por-unidad/plan-cuentas-por-entidad</v>
      </c>
      <c r="K16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plan-cuentas-por-entidad</v>
      </c>
      <c r="L163" s="2" t="s">
        <v>1369</v>
      </c>
      <c r="M163" s="4" t="s">
        <v>1798</v>
      </c>
      <c r="N163" s="4" t="s">
        <v>360</v>
      </c>
      <c r="O163" s="4" t="s">
        <v>360</v>
      </c>
      <c r="P163" s="4" t="s">
        <v>360</v>
      </c>
      <c r="Q163" s="4" t="s">
        <v>360</v>
      </c>
      <c r="T163" s="4" t="s">
        <v>360</v>
      </c>
      <c r="W163" s="4" t="s">
        <v>360</v>
      </c>
      <c r="Y163" s="4" t="s">
        <v>360</v>
      </c>
      <c r="AB163" s="4" t="s">
        <v>360</v>
      </c>
      <c r="AC163" s="2" t="str">
        <f>IF(OR(Tabla_Contabilidad[[#This Row],[ROL_JEFE_CONT_CONTA]]="*",Tabla_Contabilidad[[#This Row],[ROL_JEFE_CONT_CONTA_HOSP]]="*"),"*","")</f>
        <v>*</v>
      </c>
    </row>
    <row r="164" spans="1:29" x14ac:dyDescent="0.5">
      <c r="A164" s="2">
        <v>1</v>
      </c>
      <c r="B164" s="2">
        <v>154</v>
      </c>
      <c r="C164" s="2">
        <f>IF(Tabla_Contabilidad[[#This Row],[id_padre]]="",0,_xlfn.XLOOKUP(Tabla_Contabilidad[[#This Row],[id_padre]],Tabla_Contabilidad[Id],Tabla_Contabilidad[Nivel],0,0,1)+1)</f>
        <v>3</v>
      </c>
      <c r="D164" s="2" t="s">
        <v>153</v>
      </c>
      <c r="E164" s="2">
        <f>IF(Tabla_Contabilidad[[#This Row],[Id_anterior]]=1,ROW()-1,SUM(ROW()-1,Tabla_Contabilidad[[#This Row],[Id_anterior]]))</f>
        <v>163</v>
      </c>
      <c r="F16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CONTABILIDAD_INFORMES_POR_UNIDAD_RESOLUCION_PAGO</v>
      </c>
      <c r="G164" s="9" t="str">
        <f>CLEAN(PROPER(Tabla_Contabilidad[[#This Row],[Nombre Opción]]))</f>
        <v>Resolución De Pago</v>
      </c>
      <c r="H164" s="9" t="s">
        <v>1735</v>
      </c>
      <c r="I164" s="9" t="str">
        <f>_xlfn.XLOOKUP(Tabla_Contabilidad[[#This Row],[id_padre]],Tabla_Contabilidad[Id],Tabla_Contabilidad[Codigo_Tecnico],"",0,1)</f>
        <v>CONTABILIDAD_INFORMES_POR_UNIDAD</v>
      </c>
      <c r="J16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/contabilidad/informes/por-unidad/resolucion-pago</v>
      </c>
      <c r="K16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resolucion-pago</v>
      </c>
      <c r="L164" s="2" t="s">
        <v>1415</v>
      </c>
      <c r="M164" s="4" t="s">
        <v>1798</v>
      </c>
      <c r="N164" s="4" t="s">
        <v>360</v>
      </c>
      <c r="O164" s="4" t="s">
        <v>360</v>
      </c>
      <c r="P164" s="4" t="s">
        <v>360</v>
      </c>
      <c r="Q164" s="4" t="s">
        <v>360</v>
      </c>
      <c r="T164" s="4" t="s">
        <v>360</v>
      </c>
      <c r="W164" s="4" t="s">
        <v>360</v>
      </c>
      <c r="Y164" s="4" t="s">
        <v>360</v>
      </c>
      <c r="AB164" s="4" t="s">
        <v>360</v>
      </c>
      <c r="AC164" s="2" t="str">
        <f>IF(OR(Tabla_Contabilidad[[#This Row],[ROL_JEFE_CONT_CONTA]]="*",Tabla_Contabilidad[[#This Row],[ROL_JEFE_CONT_CONTA_HOSP]]="*"),"*","")</f>
        <v>*</v>
      </c>
    </row>
    <row r="165" spans="1:29" x14ac:dyDescent="0.5">
      <c r="A165" s="2">
        <v>1</v>
      </c>
      <c r="B165" s="2">
        <v>154</v>
      </c>
      <c r="C165" s="2">
        <f>IF(Tabla_Contabilidad[[#This Row],[id_padre]]="",0,_xlfn.XLOOKUP(Tabla_Contabilidad[[#This Row],[id_padre]],Tabla_Contabilidad[Id],Tabla_Contabilidad[Nivel],0,0,1)+1)</f>
        <v>3</v>
      </c>
      <c r="D165" s="2" t="s">
        <v>154</v>
      </c>
      <c r="E165" s="2">
        <f>IF(Tabla_Contabilidad[[#This Row],[Id_anterior]]=1,ROW()-1,SUM(ROW()-1,Tabla_Contabilidad[[#This Row],[Id_anterior]]))</f>
        <v>164</v>
      </c>
      <c r="F16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CONTABILIDAD_INFORMES_POR_UNIDAD_PAGO_PROVEEDORES</v>
      </c>
      <c r="G165" s="9" t="str">
        <f>CLEAN(PROPER(Tabla_Contabilidad[[#This Row],[Nombre Opción]]))</f>
        <v>Pago A Proveedores</v>
      </c>
      <c r="H165" s="9" t="s">
        <v>1735</v>
      </c>
      <c r="I165" s="9" t="str">
        <f>_xlfn.XLOOKUP(Tabla_Contabilidad[[#This Row],[id_padre]],Tabla_Contabilidad[Id],Tabla_Contabilidad[Codigo_Tecnico],"",0,1)</f>
        <v>CONTABILIDAD_INFORMES_POR_UNIDAD</v>
      </c>
      <c r="J16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/contabilidad/informes/por-unidad/pago-proveedores</v>
      </c>
      <c r="K16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pago-proveedores</v>
      </c>
      <c r="L165" s="2" t="s">
        <v>1348</v>
      </c>
      <c r="M165" s="4" t="s">
        <v>1798</v>
      </c>
      <c r="N165" s="4" t="s">
        <v>360</v>
      </c>
      <c r="O165" s="4" t="s">
        <v>360</v>
      </c>
      <c r="P165" s="4" t="s">
        <v>360</v>
      </c>
      <c r="Q165" s="4" t="s">
        <v>360</v>
      </c>
      <c r="T165" s="4" t="s">
        <v>360</v>
      </c>
      <c r="W165" s="4" t="s">
        <v>360</v>
      </c>
      <c r="Y165" s="4" t="s">
        <v>360</v>
      </c>
      <c r="AB165" s="4" t="s">
        <v>360</v>
      </c>
      <c r="AC165" s="2" t="str">
        <f>IF(OR(Tabla_Contabilidad[[#This Row],[ROL_JEFE_CONT_CONTA]]="*",Tabla_Contabilidad[[#This Row],[ROL_JEFE_CONT_CONTA_HOSP]]="*"),"*","")</f>
        <v>*</v>
      </c>
    </row>
    <row r="166" spans="1:29" x14ac:dyDescent="0.5">
      <c r="A166" s="2">
        <v>1</v>
      </c>
      <c r="B166" s="2">
        <v>154</v>
      </c>
      <c r="C166" s="2">
        <f>IF(Tabla_Contabilidad[[#This Row],[id_padre]]="",0,_xlfn.XLOOKUP(Tabla_Contabilidad[[#This Row],[id_padre]],Tabla_Contabilidad[Id],Tabla_Contabilidad[Nivel],0,0,1)+1)</f>
        <v>3</v>
      </c>
      <c r="D166" s="2" t="s">
        <v>100</v>
      </c>
      <c r="E166" s="2">
        <f>IF(Tabla_Contabilidad[[#This Row],[Id_anterior]]=1,ROW()-1,SUM(ROW()-1,Tabla_Contabilidad[[#This Row],[Id_anterior]]))</f>
        <v>165</v>
      </c>
      <c r="F16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CONTABILIDAD_INFORMES_POR_UNIDAD_ANALITICOS</v>
      </c>
      <c r="G166" s="9" t="str">
        <f>CLEAN(PROPER(Tabla_Contabilidad[[#This Row],[Nombre Opción]]))</f>
        <v>Analiticos</v>
      </c>
      <c r="H166" s="9" t="s">
        <v>1735</v>
      </c>
      <c r="I166" s="9" t="str">
        <f>_xlfn.XLOOKUP(Tabla_Contabilidad[[#This Row],[id_padre]],Tabla_Contabilidad[Id],Tabla_Contabilidad[Codigo_Tecnico],"",0,1)</f>
        <v>CONTABILIDAD_INFORMES_POR_UNIDAD</v>
      </c>
      <c r="J16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/contabilidad/informes/por-unidad/analiticos</v>
      </c>
      <c r="K16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</v>
      </c>
      <c r="L166" s="2" t="s">
        <v>1421</v>
      </c>
      <c r="M166" s="4" t="s">
        <v>1798</v>
      </c>
      <c r="N166" s="4" t="s">
        <v>360</v>
      </c>
      <c r="O166" s="4" t="s">
        <v>360</v>
      </c>
      <c r="P166" s="4" t="s">
        <v>360</v>
      </c>
      <c r="Q166" s="4" t="s">
        <v>360</v>
      </c>
      <c r="T166" s="4" t="s">
        <v>360</v>
      </c>
      <c r="W166" s="4" t="s">
        <v>360</v>
      </c>
      <c r="Y166" s="4" t="s">
        <v>360</v>
      </c>
      <c r="AB166" s="4" t="s">
        <v>360</v>
      </c>
      <c r="AC166" s="2" t="str">
        <f>IF(OR(Tabla_Contabilidad[[#This Row],[ROL_JEFE_CONT_CONTA]]="*",Tabla_Contabilidad[[#This Row],[ROL_JEFE_CONT_CONTA_HOSP]]="*"),"*","")</f>
        <v>*</v>
      </c>
    </row>
    <row r="167" spans="1:29" x14ac:dyDescent="0.5">
      <c r="A167" s="2">
        <v>1</v>
      </c>
      <c r="B167" s="2">
        <v>154</v>
      </c>
      <c r="C167" s="2">
        <f>IF(Tabla_Contabilidad[[#This Row],[id_padre]]="",0,_xlfn.XLOOKUP(Tabla_Contabilidad[[#This Row],[id_padre]],Tabla_Contabilidad[Id],Tabla_Contabilidad[Nivel],0,0,1)+1)</f>
        <v>3</v>
      </c>
      <c r="D167" s="2" t="s">
        <v>99</v>
      </c>
      <c r="E167" s="2">
        <f>IF(Tabla_Contabilidad[[#This Row],[Id_anterior]]=1,ROW()-1,SUM(ROW()-1,Tabla_Contabilidad[[#This Row],[Id_anterior]]))</f>
        <v>166</v>
      </c>
      <c r="F16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CONTABILIDAD_INFORMES_POR_UNIDAD_ANALITICOS_CUENTAS</v>
      </c>
      <c r="G167" s="9" t="str">
        <f>CLEAN(PROPER(Tabla_Contabilidad[[#This Row],[Nombre Opción]]))</f>
        <v>Analiticos De Cuentas</v>
      </c>
      <c r="H167" s="9" t="s">
        <v>1735</v>
      </c>
      <c r="I167" s="9" t="str">
        <f>_xlfn.XLOOKUP(Tabla_Contabilidad[[#This Row],[id_padre]],Tabla_Contabilidad[Id],Tabla_Contabilidad[Codigo_Tecnico],"",0,1)</f>
        <v>CONTABILIDAD_INFORMES_POR_UNIDAD</v>
      </c>
      <c r="J16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/contabilidad/informes/por-unidad/analiticos-cuentas</v>
      </c>
      <c r="K16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analiticos-cuentas</v>
      </c>
      <c r="L167" s="2" t="s">
        <v>1411</v>
      </c>
      <c r="M167" s="4" t="s">
        <v>1798</v>
      </c>
      <c r="N167" s="4" t="s">
        <v>360</v>
      </c>
      <c r="O167" s="4" t="s">
        <v>360</v>
      </c>
      <c r="P167" s="4" t="s">
        <v>360</v>
      </c>
      <c r="Q167" s="4" t="s">
        <v>360</v>
      </c>
      <c r="T167" s="4" t="s">
        <v>360</v>
      </c>
      <c r="W167" s="4" t="s">
        <v>360</v>
      </c>
      <c r="Y167" s="4" t="s">
        <v>360</v>
      </c>
      <c r="AB167" s="4" t="s">
        <v>360</v>
      </c>
      <c r="AC167" s="2" t="str">
        <f>IF(OR(Tabla_Contabilidad[[#This Row],[ROL_JEFE_CONT_CONTA]]="*",Tabla_Contabilidad[[#This Row],[ROL_JEFE_CONT_CONTA_HOSP]]="*"),"*","")</f>
        <v>*</v>
      </c>
    </row>
    <row r="168" spans="1:29" x14ac:dyDescent="0.5">
      <c r="A168" s="2">
        <v>1</v>
      </c>
      <c r="B168" s="2">
        <v>154</v>
      </c>
      <c r="C168" s="2">
        <f>IF(Tabla_Contabilidad[[#This Row],[id_padre]]="",0,_xlfn.XLOOKUP(Tabla_Contabilidad[[#This Row],[id_padre]],Tabla_Contabilidad[Id],Tabla_Contabilidad[Nivel],0,0,1)+1)</f>
        <v>3</v>
      </c>
      <c r="D168" s="2" t="s">
        <v>1326</v>
      </c>
      <c r="E168" s="2">
        <f>IF(Tabla_Contabilidad[[#This Row],[Id_anterior]]=1,ROW()-1,SUM(ROW()-1,Tabla_Contabilidad[[#This Row],[Id_anterior]]))</f>
        <v>167</v>
      </c>
      <c r="F16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CONTABILIDAD_INFORMES_POR_UNIDAD_DETALLE_ANALITICOS</v>
      </c>
      <c r="G168" s="9" t="str">
        <f>CLEAN(PROPER(Tabla_Contabilidad[[#This Row],[Nombre Opción]]))</f>
        <v>Detalle De Analiticos</v>
      </c>
      <c r="H168" s="9" t="s">
        <v>1735</v>
      </c>
      <c r="I168" s="9" t="str">
        <f>_xlfn.XLOOKUP(Tabla_Contabilidad[[#This Row],[id_padre]],Tabla_Contabilidad[Id],Tabla_Contabilidad[Codigo_Tecnico],"",0,1)</f>
        <v>CONTABILIDAD_INFORMES_POR_UNIDAD</v>
      </c>
      <c r="J16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/contabilidad/informes/por-unidad/detalle-analiticos</v>
      </c>
      <c r="K16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detalle-analiticos</v>
      </c>
      <c r="L168" s="2" t="s">
        <v>1438</v>
      </c>
      <c r="M168" s="4" t="s">
        <v>1798</v>
      </c>
      <c r="N168" s="4" t="s">
        <v>360</v>
      </c>
      <c r="O168" s="4" t="s">
        <v>360</v>
      </c>
      <c r="P168" s="4" t="s">
        <v>360</v>
      </c>
      <c r="Q168" s="4" t="s">
        <v>360</v>
      </c>
      <c r="T168" s="4" t="s">
        <v>360</v>
      </c>
      <c r="W168" s="4" t="s">
        <v>360</v>
      </c>
      <c r="Y168" s="4" t="s">
        <v>360</v>
      </c>
      <c r="AB168" s="4" t="s">
        <v>360</v>
      </c>
      <c r="AC168" s="2" t="str">
        <f>IF(OR(Tabla_Contabilidad[[#This Row],[ROL_JEFE_CONT_CONTA]]="*",Tabla_Contabilidad[[#This Row],[ROL_JEFE_CONT_CONTA_HOSP]]="*"),"*","")</f>
        <v>*</v>
      </c>
    </row>
    <row r="169" spans="1:29" x14ac:dyDescent="0.5">
      <c r="A169" s="2">
        <v>1</v>
      </c>
      <c r="B169" s="2">
        <v>154</v>
      </c>
      <c r="C169" s="2">
        <f>IF(Tabla_Contabilidad[[#This Row],[id_padre]]="",0,_xlfn.XLOOKUP(Tabla_Contabilidad[[#This Row],[id_padre]],Tabla_Contabilidad[Id],Tabla_Contabilidad[Nivel],0,0,1)+1)</f>
        <v>3</v>
      </c>
      <c r="D169" s="2" t="s">
        <v>155</v>
      </c>
      <c r="E169" s="2">
        <f>IF(Tabla_Contabilidad[[#This Row],[Id_anterior]]=1,ROW()-1,SUM(ROW()-1,Tabla_Contabilidad[[#This Row],[Id_anterior]]))</f>
        <v>168</v>
      </c>
      <c r="F16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CONTABILIDAD_INFORMES_POR_UNIDAD_DETALLE_DEUDORES_Y_ACREEDORES_PRESUPUESTARIOS</v>
      </c>
      <c r="G169" s="9" t="str">
        <f>CLEAN(PROPER(Tabla_Contabilidad[[#This Row],[Nombre Opción]]))</f>
        <v>Detalle Deudores Y Acreedores Presupuestarios.</v>
      </c>
      <c r="H169" s="9" t="s">
        <v>1735</v>
      </c>
      <c r="I169" s="9" t="str">
        <f>_xlfn.XLOOKUP(Tabla_Contabilidad[[#This Row],[id_padre]],Tabla_Contabilidad[Id],Tabla_Contabilidad[Codigo_Tecnico],"",0,1)</f>
        <v>CONTABILIDAD_INFORMES_POR_UNIDAD</v>
      </c>
      <c r="J16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/contabilidad/informes/por-unidad/detalle-deudores-y-acreedores-presupuestarios</v>
      </c>
      <c r="K16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detalle-deudores-y-acreedores-presupuestarios</v>
      </c>
      <c r="L169" s="2" t="s">
        <v>1461</v>
      </c>
      <c r="M169" s="4" t="s">
        <v>1798</v>
      </c>
      <c r="N169" s="4" t="s">
        <v>360</v>
      </c>
      <c r="O169" s="4" t="s">
        <v>360</v>
      </c>
      <c r="P169" s="4" t="s">
        <v>360</v>
      </c>
      <c r="Q169" s="4" t="s">
        <v>360</v>
      </c>
      <c r="T169" s="4" t="s">
        <v>360</v>
      </c>
      <c r="W169" s="4" t="s">
        <v>360</v>
      </c>
      <c r="Y169" s="4" t="s">
        <v>360</v>
      </c>
      <c r="AB169" s="4" t="s">
        <v>360</v>
      </c>
      <c r="AC169" s="2" t="str">
        <f>IF(OR(Tabla_Contabilidad[[#This Row],[ROL_JEFE_CONT_CONTA]]="*",Tabla_Contabilidad[[#This Row],[ROL_JEFE_CONT_CONTA_HOSP]]="*"),"*","")</f>
        <v>*</v>
      </c>
    </row>
    <row r="170" spans="1:29" hidden="1" x14ac:dyDescent="0.5">
      <c r="A170" s="2">
        <v>1</v>
      </c>
      <c r="B170" s="2">
        <v>168</v>
      </c>
      <c r="C170" s="2">
        <f>IF(Tabla_Contabilidad[[#This Row],[id_padre]]="",0,_xlfn.XLOOKUP(Tabla_Contabilidad[[#This Row],[id_padre]],Tabla_Contabilidad[Id],Tabla_Contabilidad[Nivel],0,0,1)+1)</f>
        <v>4</v>
      </c>
      <c r="D170" s="2">
        <v>2015</v>
      </c>
      <c r="E170" s="2">
        <f>IF(Tabla_Contabilidad[[#This Row],[Id_anterior]]=1,ROW()-1,SUM(ROW()-1,Tabla_Contabilidad[[#This Row],[Id_anterior]]))</f>
        <v>169</v>
      </c>
      <c r="F17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CONTABILIDAD_INFORMES_POR_UNIDAD_DETALLE_DEUDORES_Y_ACREEDORES_PRESUPUESTARIOS_2015</v>
      </c>
      <c r="G170" s="9" t="str">
        <f>CLEAN(PROPER(Tabla_Contabilidad[[#This Row],[Nombre Opción]]))</f>
        <v>2015</v>
      </c>
      <c r="H170" s="9" t="s">
        <v>1735</v>
      </c>
      <c r="I170" s="9" t="str">
        <f>_xlfn.XLOOKUP(Tabla_Contabilidad[[#This Row],[id_padre]],Tabla_Contabilidad[Id],Tabla_Contabilidad[Codigo_Tecnico],"",0,1)</f>
        <v>CONTABILIDAD_INFORMES_POR_UNIDAD_DETALLE_DEUDORES_Y_ACREEDORES_PRESUPUESTARIOS</v>
      </c>
      <c r="J17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/contabilidad/informes/por-unidad/detalle-deudores-y-acreedores-presupuestarios/2015</v>
      </c>
      <c r="K17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2015</v>
      </c>
      <c r="L170" s="2" t="s">
        <v>1439</v>
      </c>
      <c r="M170" s="4" t="s">
        <v>1798</v>
      </c>
      <c r="N170" s="4"/>
      <c r="O170" s="4"/>
      <c r="Q170" s="4" t="s">
        <v>360</v>
      </c>
      <c r="AB170" s="4" t="s">
        <v>360</v>
      </c>
      <c r="AC170" s="2" t="str">
        <f>IF(OR(Tabla_Contabilidad[[#This Row],[ROL_JEFE_CONT_CONTA]]="*",Tabla_Contabilidad[[#This Row],[ROL_JEFE_CONT_CONTA_HOSP]]="*"),"*","")</f>
        <v/>
      </c>
    </row>
    <row r="171" spans="1:29" x14ac:dyDescent="0.5">
      <c r="A171" s="2">
        <v>1</v>
      </c>
      <c r="B171" s="2">
        <v>154</v>
      </c>
      <c r="C171" s="2">
        <f>IF(Tabla_Contabilidad[[#This Row],[id_padre]]="",0,_xlfn.XLOOKUP(Tabla_Contabilidad[[#This Row],[id_padre]],Tabla_Contabilidad[Id],Tabla_Contabilidad[Nivel],0,0,1)+1)</f>
        <v>3</v>
      </c>
      <c r="D171" s="2" t="s">
        <v>156</v>
      </c>
      <c r="E171" s="2">
        <f>IF(Tabla_Contabilidad[[#This Row],[Id_anterior]]=1,ROW()-1,SUM(ROW()-1,Tabla_Contabilidad[[#This Row],[Id_anterior]]))</f>
        <v>170</v>
      </c>
      <c r="F17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CONTABILIDAD_INFORMES_POR_UNIDAD_COMPROBANTE_EGRESO</v>
      </c>
      <c r="G171" s="9" t="str">
        <f>CLEAN(PROPER(Tabla_Contabilidad[[#This Row],[Nombre Opción]]))</f>
        <v>Comprobante De Egreso</v>
      </c>
      <c r="H171" s="9" t="s">
        <v>1735</v>
      </c>
      <c r="I171" s="9" t="str">
        <f>_xlfn.XLOOKUP(Tabla_Contabilidad[[#This Row],[id_padre]],Tabla_Contabilidad[Id],Tabla_Contabilidad[Codigo_Tecnico],"",0,1)</f>
        <v>CONTABILIDAD_INFORMES_POR_UNIDAD</v>
      </c>
      <c r="J17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/contabilidad/informes/por-unidad/comprobante-egreso</v>
      </c>
      <c r="K17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comprobante-egreso</v>
      </c>
      <c r="L171" s="2" t="s">
        <v>1376</v>
      </c>
      <c r="M171" s="4" t="s">
        <v>1798</v>
      </c>
      <c r="N171" s="4" t="s">
        <v>360</v>
      </c>
      <c r="O171" s="4" t="s">
        <v>360</v>
      </c>
      <c r="P171" s="4" t="s">
        <v>360</v>
      </c>
      <c r="Q171" s="4" t="s">
        <v>360</v>
      </c>
      <c r="R171" s="4" t="s">
        <v>360</v>
      </c>
      <c r="S171" s="4" t="s">
        <v>360</v>
      </c>
      <c r="T171" s="4" t="s">
        <v>360</v>
      </c>
      <c r="U171" s="4" t="s">
        <v>360</v>
      </c>
      <c r="V171" s="4" t="s">
        <v>360</v>
      </c>
      <c r="W171" s="4" t="s">
        <v>360</v>
      </c>
      <c r="X171" s="4" t="s">
        <v>360</v>
      </c>
      <c r="Y171" s="4" t="s">
        <v>360</v>
      </c>
      <c r="Z171" s="4" t="s">
        <v>360</v>
      </c>
      <c r="AB171" s="4" t="s">
        <v>360</v>
      </c>
      <c r="AC171" s="2" t="str">
        <f>IF(OR(Tabla_Contabilidad[[#This Row],[ROL_JEFE_CONT_CONTA]]="*",Tabla_Contabilidad[[#This Row],[ROL_JEFE_CONT_CONTA_HOSP]]="*"),"*","")</f>
        <v>*</v>
      </c>
    </row>
    <row r="172" spans="1:29" x14ac:dyDescent="0.5">
      <c r="A172" s="2">
        <v>1</v>
      </c>
      <c r="B172" s="2">
        <v>154</v>
      </c>
      <c r="C172" s="2">
        <f>IF(Tabla_Contabilidad[[#This Row],[id_padre]]="",0,_xlfn.XLOOKUP(Tabla_Contabilidad[[#This Row],[id_padre]],Tabla_Contabilidad[Id],Tabla_Contabilidad[Nivel],0,0,1)+1)</f>
        <v>3</v>
      </c>
      <c r="D172" s="2" t="s">
        <v>157</v>
      </c>
      <c r="E172" s="2">
        <f>IF(Tabla_Contabilidad[[#This Row],[Id_anterior]]=1,ROW()-1,SUM(ROW()-1,Tabla_Contabilidad[[#This Row],[Id_anterior]]))</f>
        <v>171</v>
      </c>
      <c r="F17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CONTABILIDAD_INFORMES_POR_UNIDAD_RESUMEN_COMPROBANTE_EGRESO</v>
      </c>
      <c r="G172" s="9" t="str">
        <f>CLEAN(PROPER(Tabla_Contabilidad[[#This Row],[Nombre Opción]]))</f>
        <v>Resumen Comprobante De Egreso</v>
      </c>
      <c r="H172" s="9" t="s">
        <v>1735</v>
      </c>
      <c r="I172" s="9" t="str">
        <f>_xlfn.XLOOKUP(Tabla_Contabilidad[[#This Row],[id_padre]],Tabla_Contabilidad[Id],Tabla_Contabilidad[Codigo_Tecnico],"",0,1)</f>
        <v>CONTABILIDAD_INFORMES_POR_UNIDAD</v>
      </c>
      <c r="J17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/contabilidad/informes/por-unidad/resumen-comprobante-egreso</v>
      </c>
      <c r="K17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resumen-comprobante-egreso</v>
      </c>
      <c r="L172" s="2" t="s">
        <v>1387</v>
      </c>
      <c r="M172" s="4" t="s">
        <v>1798</v>
      </c>
      <c r="N172" s="4" t="s">
        <v>360</v>
      </c>
      <c r="O172" s="4" t="s">
        <v>360</v>
      </c>
      <c r="P172" s="4" t="s">
        <v>360</v>
      </c>
      <c r="Q172" s="4" t="s">
        <v>360</v>
      </c>
      <c r="R172" s="4" t="s">
        <v>360</v>
      </c>
      <c r="S172" s="4" t="s">
        <v>360</v>
      </c>
      <c r="T172" s="4" t="s">
        <v>360</v>
      </c>
      <c r="U172" s="4" t="s">
        <v>360</v>
      </c>
      <c r="V172" s="4" t="s">
        <v>360</v>
      </c>
      <c r="W172" s="4" t="s">
        <v>360</v>
      </c>
      <c r="X172" s="4" t="s">
        <v>360</v>
      </c>
      <c r="Y172" s="4" t="s">
        <v>360</v>
      </c>
      <c r="Z172" s="4" t="s">
        <v>360</v>
      </c>
      <c r="AB172" s="4" t="s">
        <v>360</v>
      </c>
      <c r="AC172" s="2" t="str">
        <f>IF(OR(Tabla_Contabilidad[[#This Row],[ROL_JEFE_CONT_CONTA]]="*",Tabla_Contabilidad[[#This Row],[ROL_JEFE_CONT_CONTA_HOSP]]="*"),"*","")</f>
        <v>*</v>
      </c>
    </row>
    <row r="173" spans="1:29" x14ac:dyDescent="0.5">
      <c r="A173" s="2">
        <v>1</v>
      </c>
      <c r="B173" s="2">
        <v>154</v>
      </c>
      <c r="C173" s="2">
        <f>IF(Tabla_Contabilidad[[#This Row],[id_padre]]="",0,_xlfn.XLOOKUP(Tabla_Contabilidad[[#This Row],[id_padre]],Tabla_Contabilidad[Id],Tabla_Contabilidad[Nivel],0,0,1)+1)</f>
        <v>3</v>
      </c>
      <c r="D173" s="2" t="s">
        <v>158</v>
      </c>
      <c r="E173" s="2">
        <f>IF(Tabla_Contabilidad[[#This Row],[Id_anterior]]=1,ROW()-1,SUM(ROW()-1,Tabla_Contabilidad[[#This Row],[Id_anterior]]))</f>
        <v>172</v>
      </c>
      <c r="F17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CONTABILIDAD_INFORMES_POR_UNIDAD_DESVIACION_CAJA</v>
      </c>
      <c r="G173" s="9" t="str">
        <f>CLEAN(PROPER(Tabla_Contabilidad[[#This Row],[Nombre Opción]]))</f>
        <v>Desviacion Caja</v>
      </c>
      <c r="H173" s="9" t="s">
        <v>1735</v>
      </c>
      <c r="I173" s="9" t="str">
        <f>_xlfn.XLOOKUP(Tabla_Contabilidad[[#This Row],[id_padre]],Tabla_Contabilidad[Id],Tabla_Contabilidad[Codigo_Tecnico],"",0,1)</f>
        <v>CONTABILIDAD_INFORMES_POR_UNIDAD</v>
      </c>
      <c r="J17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/contabilidad/informes/por-unidad/desviacion-caja</v>
      </c>
      <c r="K17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desviacion-caja</v>
      </c>
      <c r="L173" s="2" t="s">
        <v>1440</v>
      </c>
      <c r="M173" s="4" t="s">
        <v>1798</v>
      </c>
      <c r="N173" s="4" t="s">
        <v>360</v>
      </c>
      <c r="O173" s="4" t="s">
        <v>360</v>
      </c>
      <c r="P173" s="4" t="s">
        <v>360</v>
      </c>
      <c r="Q173" s="4" t="s">
        <v>360</v>
      </c>
      <c r="R173" s="4" t="s">
        <v>360</v>
      </c>
      <c r="S173" s="4" t="s">
        <v>360</v>
      </c>
      <c r="T173" s="4" t="s">
        <v>360</v>
      </c>
      <c r="U173" s="4" t="s">
        <v>360</v>
      </c>
      <c r="V173" s="4" t="s">
        <v>360</v>
      </c>
      <c r="W173" s="4" t="s">
        <v>360</v>
      </c>
      <c r="X173" s="4" t="s">
        <v>360</v>
      </c>
      <c r="Y173" s="4" t="s">
        <v>360</v>
      </c>
      <c r="Z173" s="4" t="s">
        <v>360</v>
      </c>
      <c r="AB173" s="4" t="s">
        <v>360</v>
      </c>
      <c r="AC173" s="2" t="str">
        <f>IF(OR(Tabla_Contabilidad[[#This Row],[ROL_JEFE_CONT_CONTA]]="*",Tabla_Contabilidad[[#This Row],[ROL_JEFE_CONT_CONTA_HOSP]]="*"),"*","")</f>
        <v>*</v>
      </c>
    </row>
    <row r="174" spans="1:29" x14ac:dyDescent="0.5">
      <c r="A174" s="2">
        <v>1</v>
      </c>
      <c r="B174" s="2">
        <v>6</v>
      </c>
      <c r="C174" s="2">
        <f>IF(Tabla_Contabilidad[[#This Row],[id_padre]]="",0,_xlfn.XLOOKUP(Tabla_Contabilidad[[#This Row],[id_padre]],Tabla_Contabilidad[Id],Tabla_Contabilidad[Nivel],0,0,1)+1)</f>
        <v>2</v>
      </c>
      <c r="D174" s="2" t="s">
        <v>129</v>
      </c>
      <c r="E174" s="2">
        <f>IF(Tabla_Contabilidad[[#This Row],[Id_anterior]]=1,ROW()-1,SUM(ROW()-1,Tabla_Contabilidad[[#This Row],[Id_anterior]]))</f>
        <v>173</v>
      </c>
      <c r="F17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</v>
      </c>
      <c r="G174" s="9" t="str">
        <f>CLEAN(PROPER(Tabla_Contabilidad[[#This Row],[Nombre Opción]]))</f>
        <v>Por Unidad Interna</v>
      </c>
      <c r="H174" s="9" t="s">
        <v>1735</v>
      </c>
      <c r="I174" s="9" t="str">
        <f>_xlfn.XLOOKUP(Tabla_Contabilidad[[#This Row],[id_padre]],Tabla_Contabilidad[Id],Tabla_Contabilidad[Codigo_Tecnico],"",0,1)</f>
        <v>CONTABILIDAD_INFORMES</v>
      </c>
      <c r="J17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</v>
      </c>
      <c r="K17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por-unidad-interna</v>
      </c>
      <c r="L174" s="2" t="s">
        <v>1389</v>
      </c>
      <c r="M174" s="4" t="s">
        <v>1798</v>
      </c>
      <c r="N174" s="4" t="s">
        <v>360</v>
      </c>
      <c r="O174" s="4" t="s">
        <v>360</v>
      </c>
      <c r="P174" s="4" t="s">
        <v>360</v>
      </c>
      <c r="Q174" s="4" t="s">
        <v>360</v>
      </c>
      <c r="R174" s="4" t="s">
        <v>360</v>
      </c>
      <c r="AB174" s="4" t="s">
        <v>360</v>
      </c>
      <c r="AC174" s="2" t="str">
        <f>IF(OR(Tabla_Contabilidad[[#This Row],[ROL_JEFE_CONT_CONTA]]="*",Tabla_Contabilidad[[#This Row],[ROL_JEFE_CONT_CONTA_HOSP]]="*"),"*","")</f>
        <v>*</v>
      </c>
    </row>
    <row r="175" spans="1:29" x14ac:dyDescent="0.5">
      <c r="A175" s="2">
        <v>1</v>
      </c>
      <c r="B175" s="2">
        <v>173</v>
      </c>
      <c r="C175" s="2">
        <f>IF(Tabla_Contabilidad[[#This Row],[id_padre]]="",0,_xlfn.XLOOKUP(Tabla_Contabilidad[[#This Row],[id_padre]],Tabla_Contabilidad[Id],Tabla_Contabilidad[Nivel],0,0,1)+1)</f>
        <v>3</v>
      </c>
      <c r="D175" s="2" t="s">
        <v>138</v>
      </c>
      <c r="E175" s="2">
        <f>IF(Tabla_Contabilidad[[#This Row],[Id_anterior]]=1,ROW()-1,SUM(ROW()-1,Tabla_Contabilidad[[#This Row],[Id_anterior]]))</f>
        <v>174</v>
      </c>
      <c r="F17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CONTABILIDAD_INFORMES_POR_UNIDAD_INTERNA_BALANCE_GENERAL</v>
      </c>
      <c r="G175" s="9" t="str">
        <f>CLEAN(PROPER(Tabla_Contabilidad[[#This Row],[Nombre Opción]]))</f>
        <v>Balance General</v>
      </c>
      <c r="H175" s="9" t="s">
        <v>1735</v>
      </c>
      <c r="I175" s="9" t="str">
        <f>_xlfn.XLOOKUP(Tabla_Contabilidad[[#This Row],[id_padre]],Tabla_Contabilidad[Id],Tabla_Contabilidad[Codigo_Tecnico],"",0,1)</f>
        <v>CONTABILIDAD_INFORMES_POR_UNIDAD_INTERNA</v>
      </c>
      <c r="J17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/contabilidad/informes/por-unidad-interna/balance-general</v>
      </c>
      <c r="K17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balance-general</v>
      </c>
      <c r="L175" s="2" t="s">
        <v>1431</v>
      </c>
      <c r="M175" s="4" t="s">
        <v>1798</v>
      </c>
      <c r="N175" s="4" t="s">
        <v>360</v>
      </c>
      <c r="O175" s="4" t="s">
        <v>360</v>
      </c>
      <c r="P175" s="4" t="s">
        <v>360</v>
      </c>
      <c r="Q175" s="4" t="s">
        <v>360</v>
      </c>
      <c r="R175" s="4" t="s">
        <v>360</v>
      </c>
      <c r="AB175" s="4" t="s">
        <v>360</v>
      </c>
      <c r="AC175" s="2" t="str">
        <f>IF(OR(Tabla_Contabilidad[[#This Row],[ROL_JEFE_CONT_CONTA]]="*",Tabla_Contabilidad[[#This Row],[ROL_JEFE_CONT_CONTA_HOSP]]="*"),"*","")</f>
        <v>*</v>
      </c>
    </row>
    <row r="176" spans="1:29" x14ac:dyDescent="0.5">
      <c r="A176" s="2">
        <v>1</v>
      </c>
      <c r="B176" s="2">
        <v>173</v>
      </c>
      <c r="C176" s="2">
        <f>IF(Tabla_Contabilidad[[#This Row],[id_padre]]="",0,_xlfn.XLOOKUP(Tabla_Contabilidad[[#This Row],[id_padre]],Tabla_Contabilidad[Id],Tabla_Contabilidad[Nivel],0,0,1)+1)</f>
        <v>3</v>
      </c>
      <c r="D176" s="2" t="s">
        <v>139</v>
      </c>
      <c r="E176" s="2">
        <f>IF(Tabla_Contabilidad[[#This Row],[Id_anterior]]=1,ROW()-1,SUM(ROW()-1,Tabla_Contabilidad[[#This Row],[Id_anterior]]))</f>
        <v>175</v>
      </c>
      <c r="F17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CONTABILIDAD_INFORMES_POR_UNIDAD_INTERNA_ESTADO_RESULTADO</v>
      </c>
      <c r="G176" s="9" t="str">
        <f>CLEAN(PROPER(Tabla_Contabilidad[[#This Row],[Nombre Opción]]))</f>
        <v>Estado Resultado</v>
      </c>
      <c r="H176" s="9" t="s">
        <v>1735</v>
      </c>
      <c r="I176" s="9" t="str">
        <f>_xlfn.XLOOKUP(Tabla_Contabilidad[[#This Row],[id_padre]],Tabla_Contabilidad[Id],Tabla_Contabilidad[Codigo_Tecnico],"",0,1)</f>
        <v>CONTABILIDAD_INFORMES_POR_UNIDAD_INTERNA</v>
      </c>
      <c r="J17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/contabilidad/informes/por-unidad-interna/estado-resultado</v>
      </c>
      <c r="K17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estado-resultado</v>
      </c>
      <c r="L176" s="2" t="s">
        <v>1427</v>
      </c>
      <c r="M176" s="4" t="s">
        <v>1798</v>
      </c>
      <c r="N176" s="4" t="s">
        <v>360</v>
      </c>
      <c r="O176" s="4" t="s">
        <v>360</v>
      </c>
      <c r="P176" s="4" t="s">
        <v>360</v>
      </c>
      <c r="Q176" s="4" t="s">
        <v>360</v>
      </c>
      <c r="R176" s="4" t="s">
        <v>360</v>
      </c>
      <c r="AB176" s="4" t="s">
        <v>360</v>
      </c>
      <c r="AC176" s="2" t="str">
        <f>IF(OR(Tabla_Contabilidad[[#This Row],[ROL_JEFE_CONT_CONTA]]="*",Tabla_Contabilidad[[#This Row],[ROL_JEFE_CONT_CONTA_HOSP]]="*"),"*","")</f>
        <v>*</v>
      </c>
    </row>
    <row r="177" spans="1:29" x14ac:dyDescent="0.5">
      <c r="A177" s="2">
        <v>1</v>
      </c>
      <c r="B177" s="2">
        <v>173</v>
      </c>
      <c r="C177" s="2">
        <f>IF(Tabla_Contabilidad[[#This Row],[id_padre]]="",0,_xlfn.XLOOKUP(Tabla_Contabilidad[[#This Row],[id_padre]],Tabla_Contabilidad[Id],Tabla_Contabilidad[Nivel],0,0,1)+1)</f>
        <v>3</v>
      </c>
      <c r="D177" s="2" t="s">
        <v>150</v>
      </c>
      <c r="E177" s="2">
        <f>IF(Tabla_Contabilidad[[#This Row],[Id_anterior]]=1,ROW()-1,SUM(ROW()-1,Tabla_Contabilidad[[#This Row],[Id_anterior]]))</f>
        <v>176</v>
      </c>
      <c r="F17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CONTABILIDAD_INFORMES_POR_UNIDAD_INTERNA_LIBRO_DIARIO</v>
      </c>
      <c r="G177" s="9" t="str">
        <f>CLEAN(PROPER(Tabla_Contabilidad[[#This Row],[Nombre Opción]]))</f>
        <v>Libro Diario</v>
      </c>
      <c r="H177" s="9" t="s">
        <v>1735</v>
      </c>
      <c r="I177" s="9" t="str">
        <f>_xlfn.XLOOKUP(Tabla_Contabilidad[[#This Row],[id_padre]],Tabla_Contabilidad[Id],Tabla_Contabilidad[Codigo_Tecnico],"",0,1)</f>
        <v>CONTABILIDAD_INFORMES_POR_UNIDAD_INTERNA</v>
      </c>
      <c r="J17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/contabilidad/informes/por-unidad-interna/libro-diario</v>
      </c>
      <c r="K17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libro-diario</v>
      </c>
      <c r="L177" s="2" t="s">
        <v>1432</v>
      </c>
      <c r="M177" s="4" t="s">
        <v>1798</v>
      </c>
      <c r="N177" s="4" t="s">
        <v>360</v>
      </c>
      <c r="O177" s="4" t="s">
        <v>360</v>
      </c>
      <c r="P177" s="4" t="s">
        <v>360</v>
      </c>
      <c r="Q177" s="4" t="s">
        <v>360</v>
      </c>
      <c r="R177" s="4" t="s">
        <v>360</v>
      </c>
      <c r="AB177" s="4" t="s">
        <v>360</v>
      </c>
      <c r="AC177" s="2" t="str">
        <f>IF(OR(Tabla_Contabilidad[[#This Row],[ROL_JEFE_CONT_CONTA]]="*",Tabla_Contabilidad[[#This Row],[ROL_JEFE_CONT_CONTA_HOSP]]="*"),"*","")</f>
        <v>*</v>
      </c>
    </row>
    <row r="178" spans="1:29" x14ac:dyDescent="0.5">
      <c r="A178" s="2">
        <v>1</v>
      </c>
      <c r="B178" s="2">
        <v>173</v>
      </c>
      <c r="C178" s="2">
        <f>IF(Tabla_Contabilidad[[#This Row],[id_padre]]="",0,_xlfn.XLOOKUP(Tabla_Contabilidad[[#This Row],[id_padre]],Tabla_Contabilidad[Id],Tabla_Contabilidad[Nivel],0,0,1)+1)</f>
        <v>3</v>
      </c>
      <c r="D178" s="2" t="s">
        <v>140</v>
      </c>
      <c r="E178" s="2">
        <f>IF(Tabla_Contabilidad[[#This Row],[Id_anterior]]=1,ROW()-1,SUM(ROW()-1,Tabla_Contabilidad[[#This Row],[Id_anterior]]))</f>
        <v>177</v>
      </c>
      <c r="F17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CONTABILIDAD_INFORMES_POR_UNIDAD_INTERNA_MOVIMIENTO_FONDOS</v>
      </c>
      <c r="G178" s="9" t="str">
        <f>CLEAN(PROPER(Tabla_Contabilidad[[#This Row],[Nombre Opción]]))</f>
        <v>Movimiento De Fondos</v>
      </c>
      <c r="H178" s="9" t="s">
        <v>1735</v>
      </c>
      <c r="I178" s="9" t="str">
        <f>_xlfn.XLOOKUP(Tabla_Contabilidad[[#This Row],[id_padre]],Tabla_Contabilidad[Id],Tabla_Contabilidad[Codigo_Tecnico],"",0,1)</f>
        <v>CONTABILIDAD_INFORMES_POR_UNIDAD_INTERNA</v>
      </c>
      <c r="J17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/contabilidad/informes/por-unidad-interna/movimiento-fondos</v>
      </c>
      <c r="K17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movimiento-fondos</v>
      </c>
      <c r="L178" s="2" t="s">
        <v>1379</v>
      </c>
      <c r="M178" s="4" t="s">
        <v>1798</v>
      </c>
      <c r="N178" s="4" t="s">
        <v>360</v>
      </c>
      <c r="O178" s="4" t="s">
        <v>360</v>
      </c>
      <c r="P178" s="4" t="s">
        <v>360</v>
      </c>
      <c r="Q178" s="4" t="s">
        <v>360</v>
      </c>
      <c r="R178" s="4" t="s">
        <v>360</v>
      </c>
      <c r="AB178" s="4" t="s">
        <v>360</v>
      </c>
      <c r="AC178" s="2" t="str">
        <f>IF(OR(Tabla_Contabilidad[[#This Row],[ROL_JEFE_CONT_CONTA]]="*",Tabla_Contabilidad[[#This Row],[ROL_JEFE_CONT_CONTA_HOSP]]="*"),"*","")</f>
        <v>*</v>
      </c>
    </row>
    <row r="179" spans="1:29" x14ac:dyDescent="0.5">
      <c r="A179" s="2">
        <v>1</v>
      </c>
      <c r="B179" s="2">
        <v>173</v>
      </c>
      <c r="C179" s="2">
        <f>IF(Tabla_Contabilidad[[#This Row],[id_padre]]="",0,_xlfn.XLOOKUP(Tabla_Contabilidad[[#This Row],[id_padre]],Tabla_Contabilidad[Id],Tabla_Contabilidad[Nivel],0,0,1)+1)</f>
        <v>3</v>
      </c>
      <c r="D179" s="2" t="s">
        <v>141</v>
      </c>
      <c r="E179" s="2">
        <f>IF(Tabla_Contabilidad[[#This Row],[Id_anterior]]=1,ROW()-1,SUM(ROW()-1,Tabla_Contabilidad[[#This Row],[Id_anterior]]))</f>
        <v>178</v>
      </c>
      <c r="F17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CONTABILIDAD_INFORMES_POR_UNIDAD_INTERNA_CUENTAS_COMPLEMENTARIAS</v>
      </c>
      <c r="G179" s="9" t="str">
        <f>CLEAN(PROPER(Tabla_Contabilidad[[#This Row],[Nombre Opción]]))</f>
        <v>Cuentas Complementarias</v>
      </c>
      <c r="H179" s="9" t="s">
        <v>1735</v>
      </c>
      <c r="I179" s="9" t="str">
        <f>_xlfn.XLOOKUP(Tabla_Contabilidad[[#This Row],[id_padre]],Tabla_Contabilidad[Id],Tabla_Contabilidad[Codigo_Tecnico],"",0,1)</f>
        <v>CONTABILIDAD_INFORMES_POR_UNIDAD_INTERNA</v>
      </c>
      <c r="J17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/contabilidad/informes/por-unidad-interna/cuentas-complementarias</v>
      </c>
      <c r="K17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cuentas-complementarias</v>
      </c>
      <c r="L179" s="2" t="s">
        <v>1433</v>
      </c>
      <c r="M179" s="4" t="s">
        <v>1798</v>
      </c>
      <c r="N179" s="4" t="s">
        <v>360</v>
      </c>
      <c r="O179" s="4" t="s">
        <v>360</v>
      </c>
      <c r="P179" s="4" t="s">
        <v>360</v>
      </c>
      <c r="Q179" s="4" t="s">
        <v>360</v>
      </c>
      <c r="R179" s="4" t="s">
        <v>360</v>
      </c>
      <c r="AB179" s="4" t="s">
        <v>360</v>
      </c>
      <c r="AC179" s="2" t="str">
        <f>IF(OR(Tabla_Contabilidad[[#This Row],[ROL_JEFE_CONT_CONTA]]="*",Tabla_Contabilidad[[#This Row],[ROL_JEFE_CONT_CONTA_HOSP]]="*"),"*","")</f>
        <v>*</v>
      </c>
    </row>
    <row r="180" spans="1:29" x14ac:dyDescent="0.5">
      <c r="A180" s="2">
        <v>1</v>
      </c>
      <c r="B180" s="2">
        <v>173</v>
      </c>
      <c r="C180" s="2">
        <f>IF(Tabla_Contabilidad[[#This Row],[id_padre]]="",0,_xlfn.XLOOKUP(Tabla_Contabilidad[[#This Row],[id_padre]],Tabla_Contabilidad[Id],Tabla_Contabilidad[Nivel],0,0,1)+1)</f>
        <v>3</v>
      </c>
      <c r="D180" s="2" t="s">
        <v>159</v>
      </c>
      <c r="E180" s="2">
        <f>IF(Tabla_Contabilidad[[#This Row],[Id_anterior]]=1,ROW()-1,SUM(ROW()-1,Tabla_Contabilidad[[#This Row],[Id_anterior]]))</f>
        <v>179</v>
      </c>
      <c r="F18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CONTABILIDAD_INFORMES_POR_UNIDAD_INTERNA_BALANCE_COMPROBACION_Y_SALDOS</v>
      </c>
      <c r="G180" s="9" t="str">
        <f>CLEAN(PROPER(Tabla_Contabilidad[[#This Row],[Nombre Opción]]))</f>
        <v>Balance Comprobacion Y Saldos</v>
      </c>
      <c r="H180" s="9" t="s">
        <v>1735</v>
      </c>
      <c r="I180" s="9" t="str">
        <f>_xlfn.XLOOKUP(Tabla_Contabilidad[[#This Row],[id_padre]],Tabla_Contabilidad[Id],Tabla_Contabilidad[Codigo_Tecnico],"",0,1)</f>
        <v>CONTABILIDAD_INFORMES_POR_UNIDAD_INTERNA</v>
      </c>
      <c r="J18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/contabilidad/informes/por-unidad-interna/balance-comprobacion-y-saldos</v>
      </c>
      <c r="K18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balance-comprobacion-y-saldos</v>
      </c>
      <c r="L180" s="2" t="s">
        <v>1386</v>
      </c>
      <c r="M180" s="4" t="s">
        <v>1798</v>
      </c>
      <c r="N180" s="4" t="s">
        <v>360</v>
      </c>
      <c r="O180" s="4" t="s">
        <v>360</v>
      </c>
      <c r="P180" s="4" t="s">
        <v>360</v>
      </c>
      <c r="Q180" s="4" t="s">
        <v>360</v>
      </c>
      <c r="R180" s="4" t="s">
        <v>360</v>
      </c>
      <c r="AB180" s="4" t="s">
        <v>360</v>
      </c>
      <c r="AC180" s="2" t="str">
        <f>IF(OR(Tabla_Contabilidad[[#This Row],[ROL_JEFE_CONT_CONTA]]="*",Tabla_Contabilidad[[#This Row],[ROL_JEFE_CONT_CONTA_HOSP]]="*"),"*","")</f>
        <v>*</v>
      </c>
    </row>
    <row r="181" spans="1:29" x14ac:dyDescent="0.5">
      <c r="A181" s="2">
        <v>1</v>
      </c>
      <c r="B181" s="2">
        <v>173</v>
      </c>
      <c r="C181" s="2">
        <f>IF(Tabla_Contabilidad[[#This Row],[id_padre]]="",0,_xlfn.XLOOKUP(Tabla_Contabilidad[[#This Row],[id_padre]],Tabla_Contabilidad[Id],Tabla_Contabilidad[Nivel],0,0,1)+1)</f>
        <v>3</v>
      </c>
      <c r="D181" s="2" t="s">
        <v>152</v>
      </c>
      <c r="E181" s="2">
        <f>IF(Tabla_Contabilidad[[#This Row],[Id_anterior]]=1,ROW()-1,SUM(ROW()-1,Tabla_Contabilidad[[#This Row],[Id_anterior]]))</f>
        <v>180</v>
      </c>
      <c r="F18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CONTABILIDAD_INFORMES_POR_UNIDAD_INTERNA_LIBRO_MAYOR</v>
      </c>
      <c r="G181" s="9" t="str">
        <f>CLEAN(PROPER(Tabla_Contabilidad[[#This Row],[Nombre Opción]]))</f>
        <v>Libro Mayor</v>
      </c>
      <c r="H181" s="9" t="s">
        <v>1735</v>
      </c>
      <c r="I181" s="9" t="str">
        <f>_xlfn.XLOOKUP(Tabla_Contabilidad[[#This Row],[id_padre]],Tabla_Contabilidad[Id],Tabla_Contabilidad[Codigo_Tecnico],"",0,1)</f>
        <v>CONTABILIDAD_INFORMES_POR_UNIDAD_INTERNA</v>
      </c>
      <c r="J18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/contabilidad/informes/por-unidad-interna/libro-mayor</v>
      </c>
      <c r="K18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libro-mayor</v>
      </c>
      <c r="L181" s="2" t="s">
        <v>1432</v>
      </c>
      <c r="M181" s="4" t="s">
        <v>1798</v>
      </c>
      <c r="N181" s="4" t="s">
        <v>360</v>
      </c>
      <c r="O181" s="4" t="s">
        <v>360</v>
      </c>
      <c r="P181" s="4" t="s">
        <v>360</v>
      </c>
      <c r="Q181" s="4" t="s">
        <v>360</v>
      </c>
      <c r="R181" s="4" t="s">
        <v>360</v>
      </c>
      <c r="AB181" s="4" t="s">
        <v>360</v>
      </c>
      <c r="AC181" s="2" t="str">
        <f>IF(OR(Tabla_Contabilidad[[#This Row],[ROL_JEFE_CONT_CONTA]]="*",Tabla_Contabilidad[[#This Row],[ROL_JEFE_CONT_CONTA_HOSP]]="*"),"*","")</f>
        <v>*</v>
      </c>
    </row>
    <row r="182" spans="1:29" x14ac:dyDescent="0.5">
      <c r="A182" s="2">
        <v>1</v>
      </c>
      <c r="B182" s="2">
        <v>173</v>
      </c>
      <c r="C182" s="2">
        <f>IF(Tabla_Contabilidad[[#This Row],[id_padre]]="",0,_xlfn.XLOOKUP(Tabla_Contabilidad[[#This Row],[id_padre]],Tabla_Contabilidad[Id],Tabla_Contabilidad[Nivel],0,0,1)+1)</f>
        <v>3</v>
      </c>
      <c r="D182" s="2" t="s">
        <v>100</v>
      </c>
      <c r="E182" s="2">
        <f>IF(Tabla_Contabilidad[[#This Row],[Id_anterior]]=1,ROW()-1,SUM(ROW()-1,Tabla_Contabilidad[[#This Row],[Id_anterior]]))</f>
        <v>181</v>
      </c>
      <c r="F18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CONTABILIDAD_INFORMES_POR_UNIDAD_INTERNA_ANALITICOS</v>
      </c>
      <c r="G182" s="9" t="str">
        <f>CLEAN(PROPER(Tabla_Contabilidad[[#This Row],[Nombre Opción]]))</f>
        <v>Analiticos</v>
      </c>
      <c r="H182" s="9" t="s">
        <v>1735</v>
      </c>
      <c r="I182" s="9" t="str">
        <f>_xlfn.XLOOKUP(Tabla_Contabilidad[[#This Row],[id_padre]],Tabla_Contabilidad[Id],Tabla_Contabilidad[Codigo_Tecnico],"",0,1)</f>
        <v>CONTABILIDAD_INFORMES_POR_UNIDAD_INTERNA</v>
      </c>
      <c r="J18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/contabilidad/informes/por-unidad-interna/analiticos</v>
      </c>
      <c r="K18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</v>
      </c>
      <c r="L182" s="2" t="s">
        <v>1421</v>
      </c>
      <c r="M182" s="4" t="s">
        <v>1798</v>
      </c>
      <c r="N182" s="4" t="s">
        <v>360</v>
      </c>
      <c r="O182" s="4" t="s">
        <v>360</v>
      </c>
      <c r="P182" s="4" t="s">
        <v>360</v>
      </c>
      <c r="Q182" s="4" t="s">
        <v>360</v>
      </c>
      <c r="T182" s="4" t="s">
        <v>360</v>
      </c>
      <c r="W182" s="4" t="s">
        <v>360</v>
      </c>
      <c r="Y182" s="4" t="s">
        <v>360</v>
      </c>
      <c r="AB182" s="4" t="s">
        <v>360</v>
      </c>
      <c r="AC182" s="2" t="str">
        <f>IF(OR(Tabla_Contabilidad[[#This Row],[ROL_JEFE_CONT_CONTA]]="*",Tabla_Contabilidad[[#This Row],[ROL_JEFE_CONT_CONTA_HOSP]]="*"),"*","")</f>
        <v>*</v>
      </c>
    </row>
    <row r="183" spans="1:29" x14ac:dyDescent="0.5">
      <c r="A183" s="2">
        <v>1</v>
      </c>
      <c r="B183" s="2">
        <v>181</v>
      </c>
      <c r="C183" s="2">
        <f>IF(Tabla_Contabilidad[[#This Row],[id_padre]]="",0,_xlfn.XLOOKUP(Tabla_Contabilidad[[#This Row],[id_padre]],Tabla_Contabilidad[Id],Tabla_Contabilidad[Nivel],0,0,1)+1)</f>
        <v>4</v>
      </c>
      <c r="D183" s="2" t="s">
        <v>104</v>
      </c>
      <c r="E183" s="2">
        <f>IF(Tabla_Contabilidad[[#This Row],[Id_anterior]]=1,ROW()-1,SUM(ROW()-1,Tabla_Contabilidad[[#This Row],[Id_anterior]]))</f>
        <v>182</v>
      </c>
      <c r="F18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CONTABILIDAD_INFORMES_POR_UNIDAD_INTERNA_ANALITICOS_ANALITICOS_CUENTAS_POR_UUII</v>
      </c>
      <c r="G183" s="9" t="str">
        <f>CLEAN(PROPER(Tabla_Contabilidad[[#This Row],[Nombre Opción]]))</f>
        <v>Analiticos De Cuentas Por Uu.Ii</v>
      </c>
      <c r="H183" s="9" t="s">
        <v>1735</v>
      </c>
      <c r="I183" s="9" t="str">
        <f>_xlfn.XLOOKUP(Tabla_Contabilidad[[#This Row],[id_padre]],Tabla_Contabilidad[Id],Tabla_Contabilidad[Codigo_Tecnico],"",0,1)</f>
        <v>CONTABILIDAD_INFORMES_POR_UNIDAD_INTERNA_ANALITICOS</v>
      </c>
      <c r="J18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/contabilidad/informes/por-unidad-interna/analiticos/analiticos-cuentas-por-uuii</v>
      </c>
      <c r="K18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analiticos-cuentas-por-uuii</v>
      </c>
      <c r="L183" s="2" t="s">
        <v>1411</v>
      </c>
      <c r="M183" s="4" t="s">
        <v>1798</v>
      </c>
      <c r="N183" s="4" t="s">
        <v>360</v>
      </c>
      <c r="O183" s="4" t="s">
        <v>360</v>
      </c>
      <c r="P183" s="4" t="s">
        <v>360</v>
      </c>
      <c r="Q183" s="4" t="s">
        <v>360</v>
      </c>
      <c r="T183" s="4" t="s">
        <v>360</v>
      </c>
      <c r="W183" s="4" t="s">
        <v>360</v>
      </c>
      <c r="Y183" s="4" t="s">
        <v>360</v>
      </c>
      <c r="AB183" s="4" t="s">
        <v>360</v>
      </c>
      <c r="AC183" s="2" t="str">
        <f>IF(OR(Tabla_Contabilidad[[#This Row],[ROL_JEFE_CONT_CONTA]]="*",Tabla_Contabilidad[[#This Row],[ROL_JEFE_CONT_CONTA_HOSP]]="*"),"*","")</f>
        <v>*</v>
      </c>
    </row>
    <row r="184" spans="1:29" x14ac:dyDescent="0.5">
      <c r="A184" s="2">
        <v>1</v>
      </c>
      <c r="B184" s="2">
        <v>181</v>
      </c>
      <c r="C184" s="2">
        <f>IF(Tabla_Contabilidad[[#This Row],[id_padre]]="",0,_xlfn.XLOOKUP(Tabla_Contabilidad[[#This Row],[id_padre]],Tabla_Contabilidad[Id],Tabla_Contabilidad[Nivel],0,0,1)+1)</f>
        <v>4</v>
      </c>
      <c r="D184" s="2" t="s">
        <v>160</v>
      </c>
      <c r="E184" s="2">
        <f>IF(Tabla_Contabilidad[[#This Row],[Id_anterior]]=1,ROW()-1,SUM(ROW()-1,Tabla_Contabilidad[[#This Row],[Id_anterior]]))</f>
        <v>183</v>
      </c>
      <c r="F18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CONTABILIDAD_INFORMES_POR_UNIDAD_INTERNA_ANALITICOS_DETALLE_CUENTAS_POR_UUII</v>
      </c>
      <c r="G184" s="9" t="str">
        <f>CLEAN(PROPER(Tabla_Contabilidad[[#This Row],[Nombre Opción]]))</f>
        <v>Detalle De Cuentas Por Uu.Ii</v>
      </c>
      <c r="H184" s="9" t="s">
        <v>1735</v>
      </c>
      <c r="I184" s="9" t="str">
        <f>_xlfn.XLOOKUP(Tabla_Contabilidad[[#This Row],[id_padre]],Tabla_Contabilidad[Id],Tabla_Contabilidad[Codigo_Tecnico],"",0,1)</f>
        <v>CONTABILIDAD_INFORMES_POR_UNIDAD_INTERNA_ANALITICOS</v>
      </c>
      <c r="J18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/contabilidad/informes/por-unidad-interna/analiticos/detalle-cuentas-por-uuii</v>
      </c>
      <c r="K18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detalle-cuentas-por-uuii</v>
      </c>
      <c r="L184" s="2" t="s">
        <v>1438</v>
      </c>
      <c r="M184" s="4" t="s">
        <v>1798</v>
      </c>
      <c r="N184" s="4" t="s">
        <v>360</v>
      </c>
      <c r="O184" s="4" t="s">
        <v>360</v>
      </c>
      <c r="P184" s="4" t="s">
        <v>360</v>
      </c>
      <c r="Q184" s="4" t="s">
        <v>360</v>
      </c>
      <c r="T184" s="4" t="s">
        <v>360</v>
      </c>
      <c r="W184" s="4" t="s">
        <v>360</v>
      </c>
      <c r="Y184" s="4" t="s">
        <v>360</v>
      </c>
      <c r="AB184" s="4" t="s">
        <v>360</v>
      </c>
      <c r="AC184" s="2" t="str">
        <f>IF(OR(Tabla_Contabilidad[[#This Row],[ROL_JEFE_CONT_CONTA]]="*",Tabla_Contabilidad[[#This Row],[ROL_JEFE_CONT_CONTA_HOSP]]="*"),"*","")</f>
        <v>*</v>
      </c>
    </row>
    <row r="185" spans="1:29" x14ac:dyDescent="0.5">
      <c r="A185" s="2">
        <v>1</v>
      </c>
      <c r="B185" s="2">
        <v>6</v>
      </c>
      <c r="C185" s="2">
        <f>IF(Tabla_Contabilidad[[#This Row],[id_padre]]="",0,_xlfn.XLOOKUP(Tabla_Contabilidad[[#This Row],[id_padre]],Tabla_Contabilidad[Id],Tabla_Contabilidad[Nivel],0,0,1)+1)</f>
        <v>2</v>
      </c>
      <c r="D185" s="2" t="s">
        <v>161</v>
      </c>
      <c r="E185" s="2">
        <f>IF(Tabla_Contabilidad[[#This Row],[Id_anterior]]=1,ROW()-1,SUM(ROW()-1,Tabla_Contabilidad[[#This Row],[Id_anterior]]))</f>
        <v>184</v>
      </c>
      <c r="F18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CONTABILIDAD_INFORMES_INFORMES_CONSOLIDADOS_POR_UNIDAD_INTERNA_CEAFOSS</v>
      </c>
      <c r="G185" s="9" t="str">
        <f>CLEAN(PROPER(Tabla_Contabilidad[[#This Row],[Nombre Opción]]))</f>
        <v>Informes Consolidados Por Unidad Interna Ceafoss</v>
      </c>
      <c r="H185" s="9" t="s">
        <v>1735</v>
      </c>
      <c r="I185" s="9" t="str">
        <f>_xlfn.XLOOKUP(Tabla_Contabilidad[[#This Row],[id_padre]],Tabla_Contabilidad[Id],Tabla_Contabilidad[Codigo_Tecnico],"",0,1)</f>
        <v>CONTABILIDAD_INFORMES</v>
      </c>
      <c r="J18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/contabilidad/informes/informes-consolidados-por-unidad-interna-ceafoss</v>
      </c>
      <c r="K18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informes-consolidados-por-unidad-interna-ceafoss</v>
      </c>
      <c r="L185" s="2" t="s">
        <v>1401</v>
      </c>
      <c r="M185" s="4" t="s">
        <v>1798</v>
      </c>
      <c r="N185" s="4" t="s">
        <v>360</v>
      </c>
      <c r="O185" s="4" t="s">
        <v>360</v>
      </c>
      <c r="P185" s="4" t="s">
        <v>360</v>
      </c>
      <c r="Q185" s="4" t="s">
        <v>360</v>
      </c>
      <c r="T185" s="4" t="s">
        <v>360</v>
      </c>
      <c r="W185" s="4" t="s">
        <v>360</v>
      </c>
      <c r="Y185" s="4" t="s">
        <v>360</v>
      </c>
      <c r="AB185" s="4" t="s">
        <v>360</v>
      </c>
      <c r="AC185" s="2" t="str">
        <f>IF(OR(Tabla_Contabilidad[[#This Row],[ROL_JEFE_CONT_CONTA]]="*",Tabla_Contabilidad[[#This Row],[ROL_JEFE_CONT_CONTA_HOSP]]="*"),"*","")</f>
        <v>*</v>
      </c>
    </row>
    <row r="186" spans="1:29" x14ac:dyDescent="0.5">
      <c r="A186" s="2">
        <v>1</v>
      </c>
      <c r="B186" s="2">
        <v>184</v>
      </c>
      <c r="C186" s="2">
        <f>IF(Tabla_Contabilidad[[#This Row],[id_padre]]="",0,_xlfn.XLOOKUP(Tabla_Contabilidad[[#This Row],[id_padre]],Tabla_Contabilidad[Id],Tabla_Contabilidad[Nivel],0,0,1)+1)</f>
        <v>3</v>
      </c>
      <c r="D186" s="2" t="s">
        <v>138</v>
      </c>
      <c r="E186" s="2">
        <f>IF(Tabla_Contabilidad[[#This Row],[Id_anterior]]=1,ROW()-1,SUM(ROW()-1,Tabla_Contabilidad[[#This Row],[Id_anterior]]))</f>
        <v>185</v>
      </c>
      <c r="F18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CONTABILIDAD_INFORMES_INFORMES_CONSOLIDADOS_POR_UNIDAD_INTERNA_CEAFOSS_BALANCE_GENERAL</v>
      </c>
      <c r="G186" s="9" t="str">
        <f>CLEAN(PROPER(Tabla_Contabilidad[[#This Row],[Nombre Opción]]))</f>
        <v>Balance General</v>
      </c>
      <c r="H186" s="9" t="s">
        <v>1735</v>
      </c>
      <c r="I186" s="9" t="str">
        <f>_xlfn.XLOOKUP(Tabla_Contabilidad[[#This Row],[id_padre]],Tabla_Contabilidad[Id],Tabla_Contabilidad[Codigo_Tecnico],"",0,1)</f>
        <v>CONTABILIDAD_INFORMES_INFORMES_CONSOLIDADOS_POR_UNIDAD_INTERNA_CEAFOSS</v>
      </c>
      <c r="J18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/contabilidad/informes/informes-consolidados-por-unidad-interna-ceafoss/balance-general</v>
      </c>
      <c r="K18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balance-general</v>
      </c>
      <c r="L186" s="2" t="s">
        <v>1431</v>
      </c>
      <c r="M186" s="4" t="s">
        <v>1798</v>
      </c>
      <c r="N186" s="4" t="s">
        <v>360</v>
      </c>
      <c r="O186" s="4" t="s">
        <v>360</v>
      </c>
      <c r="P186" s="4" t="s">
        <v>360</v>
      </c>
      <c r="Q186" s="4" t="s">
        <v>360</v>
      </c>
      <c r="T186" s="4" t="s">
        <v>360</v>
      </c>
      <c r="W186" s="4" t="s">
        <v>360</v>
      </c>
      <c r="Y186" s="4" t="s">
        <v>360</v>
      </c>
      <c r="AB186" s="4" t="s">
        <v>360</v>
      </c>
      <c r="AC186" s="2" t="str">
        <f>IF(OR(Tabla_Contabilidad[[#This Row],[ROL_JEFE_CONT_CONTA]]="*",Tabla_Contabilidad[[#This Row],[ROL_JEFE_CONT_CONTA_HOSP]]="*"),"*","")</f>
        <v>*</v>
      </c>
    </row>
    <row r="187" spans="1:29" x14ac:dyDescent="0.5">
      <c r="A187" s="2">
        <v>1</v>
      </c>
      <c r="B187" s="2">
        <v>184</v>
      </c>
      <c r="C187" s="2">
        <f>IF(Tabla_Contabilidad[[#This Row],[id_padre]]="",0,_xlfn.XLOOKUP(Tabla_Contabilidad[[#This Row],[id_padre]],Tabla_Contabilidad[Id],Tabla_Contabilidad[Nivel],0,0,1)+1)</f>
        <v>3</v>
      </c>
      <c r="D187" s="2" t="s">
        <v>162</v>
      </c>
      <c r="E187" s="2">
        <f>IF(Tabla_Contabilidad[[#This Row],[Id_anterior]]=1,ROW()-1,SUM(ROW()-1,Tabla_Contabilidad[[#This Row],[Id_anterior]]))</f>
        <v>186</v>
      </c>
      <c r="F18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CONTABILIDAD_INFORMES_INFORMES_CONSOLIDADOS_POR_UNIDAD_INTERNA_CEAFOSS_ESTADO_RENDIMIENTO_ECONOMICOS</v>
      </c>
      <c r="G187" s="9" t="str">
        <f>CLEAN(PROPER(Tabla_Contabilidad[[#This Row],[Nombre Opción]]))</f>
        <v>Estado De Rendimiento Economicos</v>
      </c>
      <c r="H187" s="9" t="s">
        <v>1735</v>
      </c>
      <c r="I187" s="9" t="str">
        <f>_xlfn.XLOOKUP(Tabla_Contabilidad[[#This Row],[id_padre]],Tabla_Contabilidad[Id],Tabla_Contabilidad[Codigo_Tecnico],"",0,1)</f>
        <v>CONTABILIDAD_INFORMES_INFORMES_CONSOLIDADOS_POR_UNIDAD_INTERNA_CEAFOSS</v>
      </c>
      <c r="J18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/contabilidad/informes/informes-consolidados-por-unidad-interna-ceafoss/estado-rendimiento-economicos</v>
      </c>
      <c r="K18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estado-rendimiento-economicos</v>
      </c>
      <c r="L187" s="2" t="s">
        <v>1413</v>
      </c>
      <c r="M187" s="4" t="s">
        <v>1798</v>
      </c>
      <c r="N187" s="4" t="s">
        <v>360</v>
      </c>
      <c r="O187" s="4" t="s">
        <v>360</v>
      </c>
      <c r="P187" s="4" t="s">
        <v>360</v>
      </c>
      <c r="Q187" s="4" t="s">
        <v>360</v>
      </c>
      <c r="T187" s="4" t="s">
        <v>360</v>
      </c>
      <c r="W187" s="4" t="s">
        <v>360</v>
      </c>
      <c r="Y187" s="4" t="s">
        <v>360</v>
      </c>
      <c r="AB187" s="4" t="s">
        <v>360</v>
      </c>
      <c r="AC187" s="2" t="str">
        <f>IF(OR(Tabla_Contabilidad[[#This Row],[ROL_JEFE_CONT_CONTA]]="*",Tabla_Contabilidad[[#This Row],[ROL_JEFE_CONT_CONTA_HOSP]]="*"),"*","")</f>
        <v>*</v>
      </c>
    </row>
    <row r="188" spans="1:29" x14ac:dyDescent="0.5">
      <c r="A188" s="2">
        <v>1</v>
      </c>
      <c r="B188" s="2">
        <v>184</v>
      </c>
      <c r="C188" s="2">
        <f>IF(Tabla_Contabilidad[[#This Row],[id_padre]]="",0,_xlfn.XLOOKUP(Tabla_Contabilidad[[#This Row],[id_padre]],Tabla_Contabilidad[Id],Tabla_Contabilidad[Nivel],0,0,1)+1)</f>
        <v>3</v>
      </c>
      <c r="D188" s="2" t="s">
        <v>140</v>
      </c>
      <c r="E188" s="2">
        <f>IF(Tabla_Contabilidad[[#This Row],[Id_anterior]]=1,ROW()-1,SUM(ROW()-1,Tabla_Contabilidad[[#This Row],[Id_anterior]]))</f>
        <v>187</v>
      </c>
      <c r="F18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CONTABILIDAD_INFORMES_INFORMES_CONSOLIDADOS_POR_UNIDAD_INTERNA_CEAFOSS_MOVIMIENTO_FONDOS</v>
      </c>
      <c r="G188" s="9" t="str">
        <f>CLEAN(PROPER(Tabla_Contabilidad[[#This Row],[Nombre Opción]]))</f>
        <v>Movimiento De Fondos</v>
      </c>
      <c r="H188" s="9" t="s">
        <v>1735</v>
      </c>
      <c r="I188" s="9" t="str">
        <f>_xlfn.XLOOKUP(Tabla_Contabilidad[[#This Row],[id_padre]],Tabla_Contabilidad[Id],Tabla_Contabilidad[Codigo_Tecnico],"",0,1)</f>
        <v>CONTABILIDAD_INFORMES_INFORMES_CONSOLIDADOS_POR_UNIDAD_INTERNA_CEAFOSS</v>
      </c>
      <c r="J18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/contabilidad/informes/informes-consolidados-por-unidad-interna-ceafoss/movimiento-fondos</v>
      </c>
      <c r="K18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movimiento-fondos</v>
      </c>
      <c r="L188" s="2" t="s">
        <v>1379</v>
      </c>
      <c r="M188" s="4" t="s">
        <v>1798</v>
      </c>
      <c r="N188" s="4" t="s">
        <v>360</v>
      </c>
      <c r="O188" s="4" t="s">
        <v>360</v>
      </c>
      <c r="P188" s="4" t="s">
        <v>360</v>
      </c>
      <c r="Q188" s="4" t="s">
        <v>360</v>
      </c>
      <c r="T188" s="4" t="s">
        <v>360</v>
      </c>
      <c r="W188" s="4" t="s">
        <v>360</v>
      </c>
      <c r="Y188" s="4" t="s">
        <v>360</v>
      </c>
      <c r="AB188" s="4" t="s">
        <v>360</v>
      </c>
      <c r="AC188" s="2" t="str">
        <f>IF(OR(Tabla_Contabilidad[[#This Row],[ROL_JEFE_CONT_CONTA]]="*",Tabla_Contabilidad[[#This Row],[ROL_JEFE_CONT_CONTA_HOSP]]="*"),"*","")</f>
        <v>*</v>
      </c>
    </row>
    <row r="189" spans="1:29" x14ac:dyDescent="0.5">
      <c r="A189" s="2">
        <v>1</v>
      </c>
      <c r="B189" s="2">
        <v>184</v>
      </c>
      <c r="C189" s="2">
        <f>IF(Tabla_Contabilidad[[#This Row],[id_padre]]="",0,_xlfn.XLOOKUP(Tabla_Contabilidad[[#This Row],[id_padre]],Tabla_Contabilidad[Id],Tabla_Contabilidad[Nivel],0,0,1)+1)</f>
        <v>3</v>
      </c>
      <c r="D189" s="2" t="s">
        <v>141</v>
      </c>
      <c r="E189" s="2">
        <f>IF(Tabla_Contabilidad[[#This Row],[Id_anterior]]=1,ROW()-1,SUM(ROW()-1,Tabla_Contabilidad[[#This Row],[Id_anterior]]))</f>
        <v>188</v>
      </c>
      <c r="F18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CONTABILIDAD_INFORMES_INFORMES_CONSOLIDADOS_POR_UNIDAD_INTERNA_CEAFOSS_CUENTAS_COMPLEMENTARIAS</v>
      </c>
      <c r="G189" s="9" t="str">
        <f>CLEAN(PROPER(Tabla_Contabilidad[[#This Row],[Nombre Opción]]))</f>
        <v>Cuentas Complementarias</v>
      </c>
      <c r="H189" s="9" t="s">
        <v>1735</v>
      </c>
      <c r="I189" s="9" t="str">
        <f>_xlfn.XLOOKUP(Tabla_Contabilidad[[#This Row],[id_padre]],Tabla_Contabilidad[Id],Tabla_Contabilidad[Codigo_Tecnico],"",0,1)</f>
        <v>CONTABILIDAD_INFORMES_INFORMES_CONSOLIDADOS_POR_UNIDAD_INTERNA_CEAFOSS</v>
      </c>
      <c r="J18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/contabilidad/informes/informes-consolidados-por-unidad-interna-ceafoss/cuentas-complementarias</v>
      </c>
      <c r="K18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cuentas-complementarias</v>
      </c>
      <c r="L189" s="2" t="s">
        <v>1433</v>
      </c>
      <c r="M189" s="4" t="s">
        <v>1798</v>
      </c>
      <c r="N189" s="4" t="s">
        <v>360</v>
      </c>
      <c r="O189" s="4" t="s">
        <v>360</v>
      </c>
      <c r="P189" s="4" t="s">
        <v>360</v>
      </c>
      <c r="Q189" s="4" t="s">
        <v>360</v>
      </c>
      <c r="T189" s="4" t="s">
        <v>360</v>
      </c>
      <c r="W189" s="4" t="s">
        <v>360</v>
      </c>
      <c r="Y189" s="4" t="s">
        <v>360</v>
      </c>
      <c r="AB189" s="4" t="s">
        <v>360</v>
      </c>
      <c r="AC189" s="2" t="str">
        <f>IF(OR(Tabla_Contabilidad[[#This Row],[ROL_JEFE_CONT_CONTA]]="*",Tabla_Contabilidad[[#This Row],[ROL_JEFE_CONT_CONTA_HOSP]]="*"),"*","")</f>
        <v>*</v>
      </c>
    </row>
    <row r="190" spans="1:29" x14ac:dyDescent="0.5">
      <c r="A190" s="2">
        <v>1</v>
      </c>
      <c r="B190" s="2">
        <v>6</v>
      </c>
      <c r="C190" s="2">
        <f>IF(Tabla_Contabilidad[[#This Row],[id_padre]]="",0,_xlfn.XLOOKUP(Tabla_Contabilidad[[#This Row],[id_padre]],Tabla_Contabilidad[Id],Tabla_Contabilidad[Nivel],0,0,1)+1)</f>
        <v>2</v>
      </c>
      <c r="D190" s="2" t="s">
        <v>63</v>
      </c>
      <c r="E190" s="2">
        <f>IF(Tabla_Contabilidad[[#This Row],[Id_anterior]]=1,ROW()-1,SUM(ROW()-1,Tabla_Contabilidad[[#This Row],[Id_anterior]]))</f>
        <v>189</v>
      </c>
      <c r="F19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</v>
      </c>
      <c r="G190" s="9" t="str">
        <f>CLEAN(PROPER(Tabla_Contabilidad[[#This Row],[Nombre Opción]]))</f>
        <v>Inversiones Y Colocaciones</v>
      </c>
      <c r="H190" s="9" t="s">
        <v>1735</v>
      </c>
      <c r="I190" s="9" t="str">
        <f>_xlfn.XLOOKUP(Tabla_Contabilidad[[#This Row],[id_padre]],Tabla_Contabilidad[Id],Tabla_Contabilidad[Codigo_Tecnico],"",0,1)</f>
        <v>CONTABILIDAD_INFORMES</v>
      </c>
      <c r="J19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</v>
      </c>
      <c r="K19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inversiones-y-colocaciones</v>
      </c>
      <c r="L190" s="2" t="s">
        <v>1444</v>
      </c>
      <c r="M190" s="4" t="s">
        <v>1798</v>
      </c>
      <c r="N190" s="4" t="s">
        <v>360</v>
      </c>
      <c r="O190" s="4" t="s">
        <v>360</v>
      </c>
      <c r="P190" s="4" t="s">
        <v>360</v>
      </c>
      <c r="Q190" s="4" t="s">
        <v>360</v>
      </c>
      <c r="R190" s="4" t="s">
        <v>360</v>
      </c>
      <c r="T190" s="4" t="s">
        <v>360</v>
      </c>
      <c r="W190" s="4" t="s">
        <v>360</v>
      </c>
      <c r="Y190" s="4" t="s">
        <v>360</v>
      </c>
      <c r="Z190" s="4" t="s">
        <v>360</v>
      </c>
      <c r="AB190" s="4" t="s">
        <v>360</v>
      </c>
      <c r="AC190" s="2" t="str">
        <f>IF(OR(Tabla_Contabilidad[[#This Row],[ROL_JEFE_CONT_CONTA]]="*",Tabla_Contabilidad[[#This Row],[ROL_JEFE_CONT_CONTA_HOSP]]="*"),"*","")</f>
        <v>*</v>
      </c>
    </row>
    <row r="191" spans="1:29" hidden="1" x14ac:dyDescent="0.5">
      <c r="A191" s="2">
        <v>1</v>
      </c>
      <c r="B191" s="2">
        <v>189</v>
      </c>
      <c r="C191" s="2">
        <f>IF(Tabla_Contabilidad[[#This Row],[id_padre]]="",0,_xlfn.XLOOKUP(Tabla_Contabilidad[[#This Row],[id_padre]],Tabla_Contabilidad[Id],Tabla_Contabilidad[Nivel],0,0,1)+1)</f>
        <v>3</v>
      </c>
      <c r="D191" s="2" t="s">
        <v>163</v>
      </c>
      <c r="E191" s="2">
        <f>IF(Tabla_Contabilidad[[#This Row],[Id_anterior]]=1,ROW()-1,SUM(ROW()-1,Tabla_Contabilidad[[#This Row],[Id_anterior]]))</f>
        <v>190</v>
      </c>
      <c r="F19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CONTABILIDAD_INFORMES_INVERSIONES_Y_COLOCACIONES_EN_CARTERA_NIVEL_CONSOLIDADO</v>
      </c>
      <c r="G191" s="9" t="str">
        <f>CLEAN(PROPER(Tabla_Contabilidad[[#This Row],[Nombre Opción]]))</f>
        <v>En Cartera Nivel Consolidado</v>
      </c>
      <c r="H191" s="9" t="s">
        <v>1735</v>
      </c>
      <c r="I191" s="9" t="str">
        <f>_xlfn.XLOOKUP(Tabla_Contabilidad[[#This Row],[id_padre]],Tabla_Contabilidad[Id],Tabla_Contabilidad[Codigo_Tecnico],"",0,1)</f>
        <v>CONTABILIDAD_INFORMES_INVERSIONES_Y_COLOCACIONES</v>
      </c>
      <c r="J19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/contabilidad/informes/inversiones-y-colocaciones/en-cartera-nivel-consolidado</v>
      </c>
      <c r="K19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en-cartera-nivel-consolidado</v>
      </c>
      <c r="L191" s="2" t="s">
        <v>1331</v>
      </c>
      <c r="M191" s="4" t="s">
        <v>1798</v>
      </c>
      <c r="N191" s="4"/>
      <c r="O191" s="4"/>
      <c r="Q191" s="4" t="s">
        <v>360</v>
      </c>
      <c r="AB191" s="4" t="s">
        <v>360</v>
      </c>
      <c r="AC191" s="2" t="str">
        <f>IF(OR(Tabla_Contabilidad[[#This Row],[ROL_JEFE_CONT_CONTA]]="*",Tabla_Contabilidad[[#This Row],[ROL_JEFE_CONT_CONTA_HOSP]]="*"),"*","")</f>
        <v/>
      </c>
    </row>
    <row r="192" spans="1:29" hidden="1" x14ac:dyDescent="0.5">
      <c r="A192" s="2">
        <v>1</v>
      </c>
      <c r="B192" s="2">
        <v>189</v>
      </c>
      <c r="C192" s="2">
        <f>IF(Tabla_Contabilidad[[#This Row],[id_padre]]="",0,_xlfn.XLOOKUP(Tabla_Contabilidad[[#This Row],[id_padre]],Tabla_Contabilidad[Id],Tabla_Contabilidad[Nivel],0,0,1)+1)</f>
        <v>3</v>
      </c>
      <c r="D192" s="2" t="s">
        <v>938</v>
      </c>
      <c r="E192" s="2">
        <f>IF(Tabla_Contabilidad[[#This Row],[Id_anterior]]=1,ROW()-1,SUM(ROW()-1,Tabla_Contabilidad[[#This Row],[Id_anterior]]))</f>
        <v>191</v>
      </c>
      <c r="F19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CONTABILIDAD_INFORMES_INVERSIONES_Y_COLOCACIONES_CONSOLIDADO</v>
      </c>
      <c r="G192" s="9" t="str">
        <f>CLEAN(PROPER(Tabla_Contabilidad[[#This Row],[Nombre Opción]]))</f>
        <v>Consolidado</v>
      </c>
      <c r="H192" s="9" t="s">
        <v>1735</v>
      </c>
      <c r="I192" s="9" t="str">
        <f>_xlfn.XLOOKUP(Tabla_Contabilidad[[#This Row],[id_padre]],Tabla_Contabilidad[Id],Tabla_Contabilidad[Codigo_Tecnico],"",0,1)</f>
        <v>CONTABILIDAD_INFORMES_INVERSIONES_Y_COLOCACIONES</v>
      </c>
      <c r="J19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/contabilidad/informes/inversiones-y-colocaciones/consolidado</v>
      </c>
      <c r="K19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</v>
      </c>
      <c r="L192" s="2" t="s">
        <v>1462</v>
      </c>
      <c r="M192" s="4" t="s">
        <v>1798</v>
      </c>
      <c r="N192" s="4"/>
      <c r="O192" s="4"/>
      <c r="Q192" s="4" t="s">
        <v>360</v>
      </c>
      <c r="W192" s="4" t="s">
        <v>360</v>
      </c>
      <c r="AB192" s="4" t="s">
        <v>360</v>
      </c>
      <c r="AC192" s="2" t="str">
        <f>IF(OR(Tabla_Contabilidad[[#This Row],[ROL_JEFE_CONT_CONTA]]="*",Tabla_Contabilidad[[#This Row],[ROL_JEFE_CONT_CONTA_HOSP]]="*"),"*","")</f>
        <v/>
      </c>
    </row>
    <row r="193" spans="1:29" hidden="1" x14ac:dyDescent="0.5">
      <c r="A193" s="2">
        <v>1</v>
      </c>
      <c r="B193" s="2">
        <v>191</v>
      </c>
      <c r="C193" s="2">
        <f>IF(Tabla_Contabilidad[[#This Row],[id_padre]]="",0,_xlfn.XLOOKUP(Tabla_Contabilidad[[#This Row],[id_padre]],Tabla_Contabilidad[Id],Tabla_Contabilidad[Nivel],0,0,1)+1)</f>
        <v>4</v>
      </c>
      <c r="D193" s="2" t="s">
        <v>940</v>
      </c>
      <c r="E193" s="2">
        <f>IF(Tabla_Contabilidad[[#This Row],[Id_anterior]]=1,ROW()-1,SUM(ROW()-1,Tabla_Contabilidad[[#This Row],[Id_anterior]]))</f>
        <v>192</v>
      </c>
      <c r="F19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CONTABILIDAD_INFORMES_INVERSIONES_Y_COLOCACIONES_CONSOLIDADO_RESUMEN_COLOCACIONES</v>
      </c>
      <c r="G193" s="9" t="str">
        <f>CLEAN(PROPER(Tabla_Contabilidad[[#This Row],[Nombre Opción]]))</f>
        <v>Resumen De Colocaciones</v>
      </c>
      <c r="H193" s="9" t="s">
        <v>1735</v>
      </c>
      <c r="I193" s="9" t="str">
        <f>_xlfn.XLOOKUP(Tabla_Contabilidad[[#This Row],[id_padre]],Tabla_Contabilidad[Id],Tabla_Contabilidad[Codigo_Tecnico],"",0,1)</f>
        <v>CONTABILIDAD_INFORMES_INVERSIONES_Y_COLOCACIONES_CONSOLIDADO</v>
      </c>
      <c r="J19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/contabilidad/informes/inversiones-y-colocaciones/consolidado/resumen-colocaciones</v>
      </c>
      <c r="K19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resumen-colocaciones</v>
      </c>
      <c r="L193" s="2" t="s">
        <v>1387</v>
      </c>
      <c r="M193" s="4" t="s">
        <v>1798</v>
      </c>
      <c r="N193" s="4"/>
      <c r="O193" s="4"/>
      <c r="Q193" s="4" t="s">
        <v>360</v>
      </c>
      <c r="W193" s="4" t="s">
        <v>360</v>
      </c>
      <c r="AB193" s="4" t="s">
        <v>360</v>
      </c>
      <c r="AC193" s="2" t="str">
        <f>IF(OR(Tabla_Contabilidad[[#This Row],[ROL_JEFE_CONT_CONTA]]="*",Tabla_Contabilidad[[#This Row],[ROL_JEFE_CONT_CONTA_HOSP]]="*"),"*","")</f>
        <v/>
      </c>
    </row>
    <row r="194" spans="1:29" hidden="1" x14ac:dyDescent="0.5">
      <c r="A194" s="2">
        <v>1</v>
      </c>
      <c r="B194" s="2">
        <v>191</v>
      </c>
      <c r="C194" s="2">
        <f>IF(Tabla_Contabilidad[[#This Row],[id_padre]]="",0,_xlfn.XLOOKUP(Tabla_Contabilidad[[#This Row],[id_padre]],Tabla_Contabilidad[Id],Tabla_Contabilidad[Nivel],0,0,1)+1)</f>
        <v>4</v>
      </c>
      <c r="D194" s="2" t="s">
        <v>941</v>
      </c>
      <c r="E194" s="2">
        <f>IF(Tabla_Contabilidad[[#This Row],[Id_anterior]]=1,ROW()-1,SUM(ROW()-1,Tabla_Contabilidad[[#This Row],[Id_anterior]]))</f>
        <v>193</v>
      </c>
      <c r="F19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CONTABILIDAD_INFORMES_INVERSIONES_Y_COLOCACIONES_CONSOLIDADO_RELACION_COLOCACIONES</v>
      </c>
      <c r="G194" s="9" t="str">
        <f>CLEAN(PROPER(Tabla_Contabilidad[[#This Row],[Nombre Opción]]))</f>
        <v>Relacion De Colocaciones</v>
      </c>
      <c r="H194" s="9" t="s">
        <v>1735</v>
      </c>
      <c r="I194" s="9" t="str">
        <f>_xlfn.XLOOKUP(Tabla_Contabilidad[[#This Row],[id_padre]],Tabla_Contabilidad[Id],Tabla_Contabilidad[Codigo_Tecnico],"",0,1)</f>
        <v>CONTABILIDAD_INFORMES_INVERSIONES_Y_COLOCACIONES_CONSOLIDADO</v>
      </c>
      <c r="J19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/contabilidad/informes/inversiones-y-colocaciones/consolidado/relacion-colocaciones</v>
      </c>
      <c r="K19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relacion-colocaciones</v>
      </c>
      <c r="L194" s="2" t="s">
        <v>1392</v>
      </c>
      <c r="M194" s="4" t="s">
        <v>1798</v>
      </c>
      <c r="N194" s="4"/>
      <c r="O194" s="4"/>
      <c r="Q194" s="4" t="s">
        <v>360</v>
      </c>
      <c r="W194" s="4" t="s">
        <v>360</v>
      </c>
      <c r="AB194" s="4" t="s">
        <v>360</v>
      </c>
      <c r="AC194" s="2" t="str">
        <f>IF(OR(Tabla_Contabilidad[[#This Row],[ROL_JEFE_CONT_CONTA]]="*",Tabla_Contabilidad[[#This Row],[ROL_JEFE_CONT_CONTA_HOSP]]="*"),"*","")</f>
        <v/>
      </c>
    </row>
    <row r="195" spans="1:29" hidden="1" x14ac:dyDescent="0.5">
      <c r="A195" s="2">
        <v>1</v>
      </c>
      <c r="B195" s="2">
        <v>191</v>
      </c>
      <c r="C195" s="2">
        <f>IF(Tabla_Contabilidad[[#This Row],[id_padre]]="",0,_xlfn.XLOOKUP(Tabla_Contabilidad[[#This Row],[id_padre]],Tabla_Contabilidad[Id],Tabla_Contabilidad[Nivel],0,0,1)+1)</f>
        <v>4</v>
      </c>
      <c r="D195" s="2" t="s">
        <v>942</v>
      </c>
      <c r="E195" s="2">
        <f>IF(Tabla_Contabilidad[[#This Row],[Id_anterior]]=1,ROW()-1,SUM(ROW()-1,Tabla_Contabilidad[[#This Row],[Id_anterior]]))</f>
        <v>194</v>
      </c>
      <c r="F19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CONTABILIDAD_INFORMES_INVERSIONES_Y_COLOCACIONES_CONSOLIDADO_DETALLE_COLOCACIONES</v>
      </c>
      <c r="G195" s="9" t="str">
        <f>CLEAN(PROPER(Tabla_Contabilidad[[#This Row],[Nombre Opción]]))</f>
        <v>Detalle De Colocaciones</v>
      </c>
      <c r="H195" s="9" t="s">
        <v>1735</v>
      </c>
      <c r="I195" s="9" t="str">
        <f>_xlfn.XLOOKUP(Tabla_Contabilidad[[#This Row],[id_padre]],Tabla_Contabilidad[Id],Tabla_Contabilidad[Codigo_Tecnico],"",0,1)</f>
        <v>CONTABILIDAD_INFORMES_INVERSIONES_Y_COLOCACIONES_CONSOLIDADO</v>
      </c>
      <c r="J19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/contabilidad/informes/inversiones-y-colocaciones/consolidado/detalle-colocaciones</v>
      </c>
      <c r="K19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detalle-colocaciones</v>
      </c>
      <c r="L195" s="2" t="s">
        <v>1463</v>
      </c>
      <c r="M195" s="4" t="s">
        <v>1798</v>
      </c>
      <c r="N195" s="4"/>
      <c r="O195" s="4"/>
      <c r="Q195" s="4" t="s">
        <v>360</v>
      </c>
      <c r="W195" s="4" t="s">
        <v>360</v>
      </c>
      <c r="AB195" s="4" t="s">
        <v>360</v>
      </c>
      <c r="AC195" s="2" t="str">
        <f>IF(OR(Tabla_Contabilidad[[#This Row],[ROL_JEFE_CONT_CONTA]]="*",Tabla_Contabilidad[[#This Row],[ROL_JEFE_CONT_CONTA_HOSP]]="*"),"*","")</f>
        <v/>
      </c>
    </row>
    <row r="196" spans="1:29" x14ac:dyDescent="0.5">
      <c r="A196" s="2">
        <v>1</v>
      </c>
      <c r="B196" s="2">
        <v>189</v>
      </c>
      <c r="C196" s="2">
        <f>IF(Tabla_Contabilidad[[#This Row],[id_padre]]="",0,_xlfn.XLOOKUP(Tabla_Contabilidad[[#This Row],[id_padre]],Tabla_Contabilidad[Id],Tabla_Contabilidad[Nivel],0,0,1)+1)</f>
        <v>3</v>
      </c>
      <c r="D196" s="2" t="s">
        <v>943</v>
      </c>
      <c r="E196" s="2">
        <f>IF(Tabla_Contabilidad[[#This Row],[Id_anterior]]=1,ROW()-1,SUM(ROW()-1,Tabla_Contabilidad[[#This Row],[Id_anterior]]))</f>
        <v>195</v>
      </c>
      <c r="F19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CONTABILIDAD_INFORMES_INVERSIONES_Y_COLOCACIONES_INVERSIONES</v>
      </c>
      <c r="G196" s="9" t="str">
        <f>CLEAN(PROPER(Tabla_Contabilidad[[#This Row],[Nombre Opción]]))</f>
        <v>Inversiones</v>
      </c>
      <c r="H196" s="9" t="s">
        <v>1735</v>
      </c>
      <c r="I196" s="9" t="str">
        <f>_xlfn.XLOOKUP(Tabla_Contabilidad[[#This Row],[id_padre]],Tabla_Contabilidad[Id],Tabla_Contabilidad[Codigo_Tecnico],"",0,1)</f>
        <v>CONTABILIDAD_INFORMES_INVERSIONES_Y_COLOCACIONES</v>
      </c>
      <c r="J19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/contabilidad/informes/inversiones-y-colocaciones/inversiones</v>
      </c>
      <c r="K19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inversiones</v>
      </c>
      <c r="L196" s="2" t="s">
        <v>1427</v>
      </c>
      <c r="M196" s="4" t="s">
        <v>1798</v>
      </c>
      <c r="N196" s="4" t="s">
        <v>360</v>
      </c>
      <c r="O196" s="4" t="s">
        <v>360</v>
      </c>
      <c r="Q196" s="4" t="s">
        <v>360</v>
      </c>
      <c r="R196" s="4" t="s">
        <v>360</v>
      </c>
      <c r="T196" s="4" t="s">
        <v>360</v>
      </c>
      <c r="W196" s="4" t="s">
        <v>360</v>
      </c>
      <c r="Y196" s="4" t="s">
        <v>360</v>
      </c>
      <c r="Z196" s="4" t="s">
        <v>360</v>
      </c>
      <c r="AB196" s="4" t="s">
        <v>360</v>
      </c>
      <c r="AC196" s="2" t="str">
        <f>IF(OR(Tabla_Contabilidad[[#This Row],[ROL_JEFE_CONT_CONTA]]="*",Tabla_Contabilidad[[#This Row],[ROL_JEFE_CONT_CONTA_HOSP]]="*"),"*","")</f>
        <v>*</v>
      </c>
    </row>
    <row r="197" spans="1:29" x14ac:dyDescent="0.5">
      <c r="A197" s="2">
        <v>1</v>
      </c>
      <c r="B197" s="2">
        <v>195</v>
      </c>
      <c r="C197" s="2">
        <f>IF(Tabla_Contabilidad[[#This Row],[id_padre]]="",0,_xlfn.XLOOKUP(Tabla_Contabilidad[[#This Row],[id_padre]],Tabla_Contabilidad[Id],Tabla_Contabilidad[Nivel],0,0,1)+1)</f>
        <v>4</v>
      </c>
      <c r="D197" s="2" t="s">
        <v>944</v>
      </c>
      <c r="E197" s="2">
        <f>IF(Tabla_Contabilidad[[#This Row],[Id_anterior]]=1,ROW()-1,SUM(ROW()-1,Tabla_Contabilidad[[#This Row],[Id_anterior]]))</f>
        <v>196</v>
      </c>
      <c r="F19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CONTABILIDAD_INFORMES_INVERSIONES_Y_COLOCACIONES_INVERSIONES_COMPROBANTE_INGRESO</v>
      </c>
      <c r="G197" s="9" t="str">
        <f>CLEAN(PROPER(Tabla_Contabilidad[[#This Row],[Nombre Opción]]))</f>
        <v>Comprobante De Ingreso</v>
      </c>
      <c r="H197" s="9" t="s">
        <v>1735</v>
      </c>
      <c r="I197" s="9" t="str">
        <f>_xlfn.XLOOKUP(Tabla_Contabilidad[[#This Row],[id_padre]],Tabla_Contabilidad[Id],Tabla_Contabilidad[Codigo_Tecnico],"",0,1)</f>
        <v>CONTABILIDAD_INFORMES_INVERSIONES_Y_COLOCACIONES_INVERSIONES</v>
      </c>
      <c r="J19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/contabilidad/informes/inversiones-y-colocaciones/inversiones/comprobante-ingreso</v>
      </c>
      <c r="K19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comprobante-ingreso</v>
      </c>
      <c r="L197" s="2" t="s">
        <v>1364</v>
      </c>
      <c r="M197" s="4" t="s">
        <v>1798</v>
      </c>
      <c r="N197" s="4" t="s">
        <v>360</v>
      </c>
      <c r="O197" s="4" t="s">
        <v>360</v>
      </c>
      <c r="Q197" s="4" t="s">
        <v>360</v>
      </c>
      <c r="R197" s="4" t="s">
        <v>360</v>
      </c>
      <c r="T197" s="4" t="s">
        <v>360</v>
      </c>
      <c r="W197" s="4" t="s">
        <v>360</v>
      </c>
      <c r="Y197" s="4" t="s">
        <v>360</v>
      </c>
      <c r="Z197" s="4" t="s">
        <v>360</v>
      </c>
      <c r="AB197" s="4" t="s">
        <v>360</v>
      </c>
      <c r="AC197" s="2" t="str">
        <f>IF(OR(Tabla_Contabilidad[[#This Row],[ROL_JEFE_CONT_CONTA]]="*",Tabla_Contabilidad[[#This Row],[ROL_JEFE_CONT_CONTA_HOSP]]="*"),"*","")</f>
        <v>*</v>
      </c>
    </row>
    <row r="198" spans="1:29" x14ac:dyDescent="0.5">
      <c r="A198" s="2">
        <v>1</v>
      </c>
      <c r="B198" s="2">
        <v>189</v>
      </c>
      <c r="C198" s="2">
        <f>IF(Tabla_Contabilidad[[#This Row],[id_padre]]="",0,_xlfn.XLOOKUP(Tabla_Contabilidad[[#This Row],[id_padre]],Tabla_Contabilidad[Id],Tabla_Contabilidad[Nivel],0,0,1)+1)</f>
        <v>3</v>
      </c>
      <c r="D198" s="2" t="s">
        <v>164</v>
      </c>
      <c r="E198" s="2">
        <f>IF(Tabla_Contabilidad[[#This Row],[Id_anterior]]=1,ROW()-1,SUM(ROW()-1,Tabla_Contabilidad[[#This Row],[Id_anterior]]))</f>
        <v>197</v>
      </c>
      <c r="F19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CONTABILIDAD_INFORMES_INVERSIONES_Y_COLOCACIONES_EN_CARTERA_NIVEL_UNIDAD</v>
      </c>
      <c r="G198" s="9" t="str">
        <f>CLEAN(PROPER(Tabla_Contabilidad[[#This Row],[Nombre Opción]]))</f>
        <v>En Cartera Nivel Unidad</v>
      </c>
      <c r="H198" s="9" t="s">
        <v>1735</v>
      </c>
      <c r="I198" s="9" t="str">
        <f>_xlfn.XLOOKUP(Tabla_Contabilidad[[#This Row],[id_padre]],Tabla_Contabilidad[Id],Tabla_Contabilidad[Codigo_Tecnico],"",0,1)</f>
        <v>CONTABILIDAD_INFORMES_INVERSIONES_Y_COLOCACIONES</v>
      </c>
      <c r="J19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/contabilidad/informes/inversiones-y-colocaciones/en-cartera-nivel-unidad</v>
      </c>
      <c r="K19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en-cartera-nivel-unidad</v>
      </c>
      <c r="L198" s="2" t="s">
        <v>1397</v>
      </c>
      <c r="M198" s="4" t="s">
        <v>1798</v>
      </c>
      <c r="N198" s="4" t="s">
        <v>360</v>
      </c>
      <c r="O198" s="4"/>
      <c r="P198" s="4" t="s">
        <v>360</v>
      </c>
      <c r="Q198" s="4" t="s">
        <v>360</v>
      </c>
      <c r="R198" s="4" t="s">
        <v>360</v>
      </c>
      <c r="T198" s="4" t="s">
        <v>360</v>
      </c>
      <c r="W198" s="4" t="s">
        <v>360</v>
      </c>
      <c r="Y198" s="4" t="s">
        <v>360</v>
      </c>
      <c r="Z198" s="4" t="s">
        <v>360</v>
      </c>
      <c r="AB198" s="4" t="s">
        <v>360</v>
      </c>
      <c r="AC198" s="2" t="str">
        <f>IF(OR(Tabla_Contabilidad[[#This Row],[ROL_JEFE_CONT_CONTA]]="*",Tabla_Contabilidad[[#This Row],[ROL_JEFE_CONT_CONTA_HOSP]]="*"),"*","")</f>
        <v>*</v>
      </c>
    </row>
    <row r="199" spans="1:29" x14ac:dyDescent="0.5">
      <c r="A199" s="2">
        <v>1</v>
      </c>
      <c r="B199" s="2">
        <v>189</v>
      </c>
      <c r="C199" s="2">
        <f>IF(Tabla_Contabilidad[[#This Row],[id_padre]]="",0,_xlfn.XLOOKUP(Tabla_Contabilidad[[#This Row],[id_padre]],Tabla_Contabilidad[Id],Tabla_Contabilidad[Nivel],0,0,1)+1)</f>
        <v>3</v>
      </c>
      <c r="D199" s="2" t="s">
        <v>26</v>
      </c>
      <c r="E199" s="2">
        <f>IF(Tabla_Contabilidad[[#This Row],[Id_anterior]]=1,ROW()-1,SUM(ROW()-1,Tabla_Contabilidad[[#This Row],[Id_anterior]]))</f>
        <v>198</v>
      </c>
      <c r="F19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CONTABILIDAD_INFORMES_INVERSIONES_Y_COLOCACIONES_UNIDAD</v>
      </c>
      <c r="G199" s="9" t="str">
        <f>CLEAN(PROPER(Tabla_Contabilidad[[#This Row],[Nombre Opción]]))</f>
        <v>Unidad</v>
      </c>
      <c r="H199" s="9" t="s">
        <v>1735</v>
      </c>
      <c r="I199" s="9" t="str">
        <f>_xlfn.XLOOKUP(Tabla_Contabilidad[[#This Row],[id_padre]],Tabla_Contabilidad[Id],Tabla_Contabilidad[Codigo_Tecnico],"",0,1)</f>
        <v>CONTABILIDAD_INFORMES_INVERSIONES_Y_COLOCACIONES</v>
      </c>
      <c r="J19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/contabilidad/informes/inversiones-y-colocaciones/unidad</v>
      </c>
      <c r="K19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</v>
      </c>
      <c r="L199" s="2" t="s">
        <v>1341</v>
      </c>
      <c r="M199" s="4" t="s">
        <v>1798</v>
      </c>
      <c r="N199" s="4" t="s">
        <v>360</v>
      </c>
      <c r="O199" s="4"/>
      <c r="Q199" s="4" t="s">
        <v>360</v>
      </c>
      <c r="W199" s="4" t="s">
        <v>360</v>
      </c>
      <c r="Y199" s="4" t="s">
        <v>360</v>
      </c>
      <c r="Z199" s="4" t="s">
        <v>360</v>
      </c>
      <c r="AB199" s="4" t="s">
        <v>360</v>
      </c>
      <c r="AC199" s="2" t="str">
        <f>IF(OR(Tabla_Contabilidad[[#This Row],[ROL_JEFE_CONT_CONTA]]="*",Tabla_Contabilidad[[#This Row],[ROL_JEFE_CONT_CONTA_HOSP]]="*"),"*","")</f>
        <v>*</v>
      </c>
    </row>
    <row r="200" spans="1:29" x14ac:dyDescent="0.5">
      <c r="A200" s="2">
        <v>1</v>
      </c>
      <c r="B200" s="2">
        <v>198</v>
      </c>
      <c r="C200" s="2">
        <f>IF(Tabla_Contabilidad[[#This Row],[id_padre]]="",0,_xlfn.XLOOKUP(Tabla_Contabilidad[[#This Row],[id_padre]],Tabla_Contabilidad[Id],Tabla_Contabilidad[Nivel],0,0,1)+1)</f>
        <v>4</v>
      </c>
      <c r="D200" s="2" t="s">
        <v>945</v>
      </c>
      <c r="E200" s="2">
        <f>IF(Tabla_Contabilidad[[#This Row],[Id_anterior]]=1,ROW()-1,SUM(ROW()-1,Tabla_Contabilidad[[#This Row],[Id_anterior]]))</f>
        <v>199</v>
      </c>
      <c r="F20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CONTABILIDAD_INFORMES_INVERSIONES_Y_COLOCACIONES_UNIDAD_RESUMEN_CONSOLIDADO</v>
      </c>
      <c r="G200" s="9" t="str">
        <f>CLEAN(PROPER(Tabla_Contabilidad[[#This Row],[Nombre Opción]]))</f>
        <v>Resumen Consolidado</v>
      </c>
      <c r="H200" s="9" t="s">
        <v>1735</v>
      </c>
      <c r="I200" s="9" t="str">
        <f>_xlfn.XLOOKUP(Tabla_Contabilidad[[#This Row],[id_padre]],Tabla_Contabilidad[Id],Tabla_Contabilidad[Codigo_Tecnico],"",0,1)</f>
        <v>CONTABILIDAD_INFORMES_INVERSIONES_Y_COLOCACIONES_UNIDAD</v>
      </c>
      <c r="J20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/contabilidad/informes/inversiones-y-colocaciones/unidad/resumen-consolidado</v>
      </c>
      <c r="K20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resumen-consolidado</v>
      </c>
      <c r="L200" s="2" t="s">
        <v>1464</v>
      </c>
      <c r="M200" s="4" t="s">
        <v>1798</v>
      </c>
      <c r="N200" s="4" t="s">
        <v>360</v>
      </c>
      <c r="O200" s="4"/>
      <c r="Q200" s="4" t="s">
        <v>360</v>
      </c>
      <c r="W200" s="4" t="s">
        <v>360</v>
      </c>
      <c r="Y200" s="4" t="s">
        <v>360</v>
      </c>
      <c r="Z200" s="4" t="s">
        <v>360</v>
      </c>
      <c r="AB200" s="4" t="s">
        <v>360</v>
      </c>
      <c r="AC200" s="2" t="str">
        <f>IF(OR(Tabla_Contabilidad[[#This Row],[ROL_JEFE_CONT_CONTA]]="*",Tabla_Contabilidad[[#This Row],[ROL_JEFE_CONT_CONTA_HOSP]]="*"),"*","")</f>
        <v>*</v>
      </c>
    </row>
    <row r="201" spans="1:29" x14ac:dyDescent="0.5">
      <c r="A201" s="2">
        <v>1</v>
      </c>
      <c r="B201" s="2">
        <v>198</v>
      </c>
      <c r="C201" s="2">
        <f>IF(Tabla_Contabilidad[[#This Row],[id_padre]]="",0,_xlfn.XLOOKUP(Tabla_Contabilidad[[#This Row],[id_padre]],Tabla_Contabilidad[Id],Tabla_Contabilidad[Nivel],0,0,1)+1)</f>
        <v>4</v>
      </c>
      <c r="D201" s="2" t="s">
        <v>940</v>
      </c>
      <c r="E201" s="2">
        <f>IF(Tabla_Contabilidad[[#This Row],[Id_anterior]]=1,ROW()-1,SUM(ROW()-1,Tabla_Contabilidad[[#This Row],[Id_anterior]]))</f>
        <v>200</v>
      </c>
      <c r="F20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CONTABILIDAD_INFORMES_INVERSIONES_Y_COLOCACIONES_UNIDAD_RESUMEN_COLOCACIONES</v>
      </c>
      <c r="G201" s="9" t="str">
        <f>CLEAN(PROPER(Tabla_Contabilidad[[#This Row],[Nombre Opción]]))</f>
        <v>Resumen De Colocaciones</v>
      </c>
      <c r="H201" s="9" t="s">
        <v>1735</v>
      </c>
      <c r="I201" s="9" t="str">
        <f>_xlfn.XLOOKUP(Tabla_Contabilidad[[#This Row],[id_padre]],Tabla_Contabilidad[Id],Tabla_Contabilidad[Codigo_Tecnico],"",0,1)</f>
        <v>CONTABILIDAD_INFORMES_INVERSIONES_Y_COLOCACIONES_UNIDAD</v>
      </c>
      <c r="J20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/contabilidad/informes/inversiones-y-colocaciones/unidad/resumen-colocaciones</v>
      </c>
      <c r="K20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resumen-colocaciones</v>
      </c>
      <c r="L201" s="2" t="s">
        <v>1387</v>
      </c>
      <c r="M201" s="4" t="s">
        <v>1798</v>
      </c>
      <c r="N201" s="4" t="s">
        <v>360</v>
      </c>
      <c r="O201" s="4"/>
      <c r="Q201" s="4" t="s">
        <v>360</v>
      </c>
      <c r="W201" s="4" t="s">
        <v>360</v>
      </c>
      <c r="Z201" s="4" t="s">
        <v>360</v>
      </c>
      <c r="AB201" s="4" t="s">
        <v>360</v>
      </c>
      <c r="AC201" s="2" t="str">
        <f>IF(OR(Tabla_Contabilidad[[#This Row],[ROL_JEFE_CONT_CONTA]]="*",Tabla_Contabilidad[[#This Row],[ROL_JEFE_CONT_CONTA_HOSP]]="*"),"*","")</f>
        <v>*</v>
      </c>
    </row>
    <row r="202" spans="1:29" x14ac:dyDescent="0.5">
      <c r="A202" s="2">
        <v>1</v>
      </c>
      <c r="B202" s="2">
        <v>198</v>
      </c>
      <c r="C202" s="2">
        <f>IF(Tabla_Contabilidad[[#This Row],[id_padre]]="",0,_xlfn.XLOOKUP(Tabla_Contabilidad[[#This Row],[id_padre]],Tabla_Contabilidad[Id],Tabla_Contabilidad[Nivel],0,0,1)+1)</f>
        <v>4</v>
      </c>
      <c r="D202" s="2" t="s">
        <v>941</v>
      </c>
      <c r="E202" s="2">
        <f>IF(Tabla_Contabilidad[[#This Row],[Id_anterior]]=1,ROW()-1,SUM(ROW()-1,Tabla_Contabilidad[[#This Row],[Id_anterior]]))</f>
        <v>201</v>
      </c>
      <c r="F202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CONTABILIDAD_INFORMES_INVERSIONES_Y_COLOCACIONES_UNIDAD_RELACION_COLOCACIONES</v>
      </c>
      <c r="G202" s="9" t="str">
        <f>CLEAN(PROPER(Tabla_Contabilidad[[#This Row],[Nombre Opción]]))</f>
        <v>Relacion De Colocaciones</v>
      </c>
      <c r="H202" s="9" t="s">
        <v>1735</v>
      </c>
      <c r="I202" s="9" t="str">
        <f>_xlfn.XLOOKUP(Tabla_Contabilidad[[#This Row],[id_padre]],Tabla_Contabilidad[Id],Tabla_Contabilidad[Codigo_Tecnico],"",0,1)</f>
        <v>CONTABILIDAD_INFORMES_INVERSIONES_Y_COLOCACIONES_UNIDAD</v>
      </c>
      <c r="J202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/contabilidad/informes/inversiones-y-colocaciones/unidad/relacion-colocaciones</v>
      </c>
      <c r="K202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relacion-colocaciones</v>
      </c>
      <c r="L202" s="2" t="s">
        <v>1392</v>
      </c>
      <c r="M202" s="4" t="s">
        <v>1798</v>
      </c>
      <c r="N202" s="4" t="s">
        <v>360</v>
      </c>
      <c r="O202" s="4" t="s">
        <v>360</v>
      </c>
      <c r="P202" s="4" t="s">
        <v>360</v>
      </c>
      <c r="Q202" s="4" t="s">
        <v>360</v>
      </c>
      <c r="R202" s="4" t="s">
        <v>360</v>
      </c>
      <c r="T202" s="4" t="s">
        <v>360</v>
      </c>
      <c r="W202" s="4" t="s">
        <v>360</v>
      </c>
      <c r="Y202" s="4" t="s">
        <v>360</v>
      </c>
      <c r="Z202" s="4" t="s">
        <v>360</v>
      </c>
      <c r="AB202" s="4" t="s">
        <v>360</v>
      </c>
      <c r="AC202" s="2" t="str">
        <f>IF(OR(Tabla_Contabilidad[[#This Row],[ROL_JEFE_CONT_CONTA]]="*",Tabla_Contabilidad[[#This Row],[ROL_JEFE_CONT_CONTA_HOSP]]="*"),"*","")</f>
        <v>*</v>
      </c>
    </row>
    <row r="203" spans="1:29" hidden="1" x14ac:dyDescent="0.5">
      <c r="A203" s="2">
        <v>1</v>
      </c>
      <c r="B203" s="2">
        <v>198</v>
      </c>
      <c r="C203" s="2">
        <f>IF(Tabla_Contabilidad[[#This Row],[id_padre]]="",0,_xlfn.XLOOKUP(Tabla_Contabilidad[[#This Row],[id_padre]],Tabla_Contabilidad[Id],Tabla_Contabilidad[Nivel],0,0,1)+1)</f>
        <v>4</v>
      </c>
      <c r="D203" s="2" t="s">
        <v>946</v>
      </c>
      <c r="E203" s="2">
        <f>IF(Tabla_Contabilidad[[#This Row],[Id_anterior]]=1,ROW()-1,SUM(ROW()-1,Tabla_Contabilidad[[#This Row],[Id_anterior]]))</f>
        <v>202</v>
      </c>
      <c r="F203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CONTABILIDAD_INFORMES_INVERSIONES_Y_COLOCACIONES_UNIDAD_DETALLE_OPERACIONES_CAMBIO</v>
      </c>
      <c r="G203" s="9" t="str">
        <f>CLEAN(PROPER(Tabla_Contabilidad[[#This Row],[Nombre Opción]]))</f>
        <v>Detalle De Operaciones De Cambio</v>
      </c>
      <c r="H203" s="9" t="s">
        <v>1735</v>
      </c>
      <c r="I203" s="9" t="str">
        <f>_xlfn.XLOOKUP(Tabla_Contabilidad[[#This Row],[id_padre]],Tabla_Contabilidad[Id],Tabla_Contabilidad[Codigo_Tecnico],"",0,1)</f>
        <v>CONTABILIDAD_INFORMES_INVERSIONES_Y_COLOCACIONES_UNIDAD</v>
      </c>
      <c r="J203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/contabilidad/informes/inversiones-y-colocaciones/unidad/detalle-operaciones-cambio</v>
      </c>
      <c r="K203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detalle-operaciones-cambio</v>
      </c>
      <c r="L203" s="2" t="s">
        <v>1362</v>
      </c>
      <c r="M203" s="4" t="s">
        <v>1798</v>
      </c>
      <c r="N203" s="4"/>
      <c r="O203" s="4"/>
      <c r="Q203" s="4" t="s">
        <v>360</v>
      </c>
      <c r="W203" s="4" t="s">
        <v>360</v>
      </c>
      <c r="Z203" s="4" t="s">
        <v>360</v>
      </c>
      <c r="AB203" s="4" t="s">
        <v>360</v>
      </c>
      <c r="AC203" s="2" t="str">
        <f>IF(OR(Tabla_Contabilidad[[#This Row],[ROL_JEFE_CONT_CONTA]]="*",Tabla_Contabilidad[[#This Row],[ROL_JEFE_CONT_CONTA_HOSP]]="*"),"*","")</f>
        <v/>
      </c>
    </row>
    <row r="204" spans="1:29" hidden="1" x14ac:dyDescent="0.5">
      <c r="A204" s="2">
        <v>1</v>
      </c>
      <c r="B204" s="2">
        <v>198</v>
      </c>
      <c r="C204" s="2">
        <f>IF(Tabla_Contabilidad[[#This Row],[id_padre]]="",0,_xlfn.XLOOKUP(Tabla_Contabilidad[[#This Row],[id_padre]],Tabla_Contabilidad[Id],Tabla_Contabilidad[Nivel],0,0,1)+1)</f>
        <v>4</v>
      </c>
      <c r="D204" s="2" t="s">
        <v>942</v>
      </c>
      <c r="E204" s="2">
        <f>IF(Tabla_Contabilidad[[#This Row],[Id_anterior]]=1,ROW()-1,SUM(ROW()-1,Tabla_Contabilidad[[#This Row],[Id_anterior]]))</f>
        <v>203</v>
      </c>
      <c r="F204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CONTABILIDAD_INFORMES_INVERSIONES_Y_COLOCACIONES_UNIDAD_DETALLE_COLOCACIONES</v>
      </c>
      <c r="G204" s="9" t="str">
        <f>CLEAN(PROPER(Tabla_Contabilidad[[#This Row],[Nombre Opción]]))</f>
        <v>Detalle De Colocaciones</v>
      </c>
      <c r="H204" s="9" t="s">
        <v>1735</v>
      </c>
      <c r="I204" s="9" t="str">
        <f>_xlfn.XLOOKUP(Tabla_Contabilidad[[#This Row],[id_padre]],Tabla_Contabilidad[Id],Tabla_Contabilidad[Codigo_Tecnico],"",0,1)</f>
        <v>CONTABILIDAD_INFORMES_INVERSIONES_Y_COLOCACIONES_UNIDAD</v>
      </c>
      <c r="J204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/contabilidad/informes/inversiones-y-colocaciones/unidad/detalle-colocaciones</v>
      </c>
      <c r="K204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detalle-colocaciones</v>
      </c>
      <c r="L204" s="2" t="s">
        <v>1463</v>
      </c>
      <c r="M204" s="4" t="s">
        <v>1798</v>
      </c>
      <c r="N204" s="4"/>
      <c r="O204" s="4"/>
      <c r="Q204" s="4" t="s">
        <v>360</v>
      </c>
      <c r="W204" s="4" t="s">
        <v>360</v>
      </c>
      <c r="Z204" s="4" t="s">
        <v>360</v>
      </c>
      <c r="AB204" s="4" t="s">
        <v>360</v>
      </c>
      <c r="AC204" s="2" t="str">
        <f>IF(OR(Tabla_Contabilidad[[#This Row],[ROL_JEFE_CONT_CONTA]]="*",Tabla_Contabilidad[[#This Row],[ROL_JEFE_CONT_CONTA_HOSP]]="*"),"*","")</f>
        <v/>
      </c>
    </row>
    <row r="205" spans="1:29" x14ac:dyDescent="0.5">
      <c r="A205" s="2">
        <v>1</v>
      </c>
      <c r="B205" s="2">
        <v>7</v>
      </c>
      <c r="C205" s="2">
        <f>IF(Tabla_Contabilidad[[#This Row],[id_padre]]="",0,_xlfn.XLOOKUP(Tabla_Contabilidad[[#This Row],[id_padre]],Tabla_Contabilidad[Id],Tabla_Contabilidad[Nivel],0,0,1)+1)</f>
        <v>2</v>
      </c>
      <c r="D205" s="2" t="s">
        <v>166</v>
      </c>
      <c r="E205" s="2">
        <f>IF(Tabla_Contabilidad[[#This Row],[Id_anterior]]=1,ROW()-1,SUM(ROW()-1,Tabla_Contabilidad[[#This Row],[Id_anterior]]))</f>
        <v>204</v>
      </c>
      <c r="F205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CONTABILIDAD_CIERRES_INFORMA_UNIDAD</v>
      </c>
      <c r="G205" s="9" t="str">
        <f>CLEAN(PROPER(Tabla_Contabilidad[[#This Row],[Nombre Opción]]))</f>
        <v>Informa Unidad</v>
      </c>
      <c r="H205" s="9" t="s">
        <v>1735</v>
      </c>
      <c r="I205" s="9" t="str">
        <f>_xlfn.XLOOKUP(Tabla_Contabilidad[[#This Row],[id_padre]],Tabla_Contabilidad[Id],Tabla_Contabilidad[Codigo_Tecnico],"",0,1)</f>
        <v>CONTABILIDAD_CIERRES</v>
      </c>
      <c r="J205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/contabilidad/cierres/informa-unidad</v>
      </c>
      <c r="K205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informa-unidad</v>
      </c>
      <c r="L205" s="2" t="s">
        <v>1396</v>
      </c>
      <c r="M205" s="4" t="s">
        <v>1798</v>
      </c>
      <c r="N205" s="4" t="s">
        <v>360</v>
      </c>
      <c r="O205" s="4"/>
      <c r="Q205" s="4" t="s">
        <v>360</v>
      </c>
      <c r="T205" s="4" t="s">
        <v>360</v>
      </c>
      <c r="W205" s="4" t="s">
        <v>360</v>
      </c>
      <c r="Z205" s="4" t="s">
        <v>360</v>
      </c>
      <c r="AB205" s="4" t="s">
        <v>360</v>
      </c>
      <c r="AC205" s="2" t="str">
        <f>IF(OR(Tabla_Contabilidad[[#This Row],[ROL_JEFE_CONT_CONTA]]="*",Tabla_Contabilidad[[#This Row],[ROL_JEFE_CONT_CONTA_HOSP]]="*"),"*","")</f>
        <v>*</v>
      </c>
    </row>
    <row r="206" spans="1:29" hidden="1" x14ac:dyDescent="0.5">
      <c r="A206" s="2">
        <v>1</v>
      </c>
      <c r="B206" s="2">
        <v>7</v>
      </c>
      <c r="C206" s="2">
        <f>IF(Tabla_Contabilidad[[#This Row],[id_padre]]="",0,_xlfn.XLOOKUP(Tabla_Contabilidad[[#This Row],[id_padre]],Tabla_Contabilidad[Id],Tabla_Contabilidad[Nivel],0,0,1)+1)</f>
        <v>2</v>
      </c>
      <c r="D206" s="2" t="s">
        <v>938</v>
      </c>
      <c r="E206" s="2">
        <f>IF(Tabla_Contabilidad[[#This Row],[Id_anterior]]=1,ROW()-1,SUM(ROW()-1,Tabla_Contabilidad[[#This Row],[Id_anterior]]))</f>
        <v>205</v>
      </c>
      <c r="F206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CONTABILIDAD_CIERRES_CONSOLIDADO</v>
      </c>
      <c r="G206" s="9" t="str">
        <f>CLEAN(PROPER(Tabla_Contabilidad[[#This Row],[Nombre Opción]]))</f>
        <v>Consolidado</v>
      </c>
      <c r="H206" s="9" t="s">
        <v>1735</v>
      </c>
      <c r="I206" s="9" t="str">
        <f>_xlfn.XLOOKUP(Tabla_Contabilidad[[#This Row],[id_padre]],Tabla_Contabilidad[Id],Tabla_Contabilidad[Codigo_Tecnico],"",0,1)</f>
        <v>CONTABILIDAD_CIERRES</v>
      </c>
      <c r="J206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/contabilidad/cierres/consolidado</v>
      </c>
      <c r="K206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</v>
      </c>
      <c r="L206" s="2" t="s">
        <v>1412</v>
      </c>
      <c r="M206" s="4" t="s">
        <v>1798</v>
      </c>
      <c r="N206" s="4"/>
      <c r="O206" s="4"/>
      <c r="Q206" s="4" t="s">
        <v>360</v>
      </c>
      <c r="W206" s="4" t="s">
        <v>360</v>
      </c>
      <c r="Z206" s="4" t="s">
        <v>360</v>
      </c>
      <c r="AB206" s="4" t="s">
        <v>360</v>
      </c>
      <c r="AC206" s="2" t="str">
        <f>IF(OR(Tabla_Contabilidad[[#This Row],[ROL_JEFE_CONT_CONTA]]="*",Tabla_Contabilidad[[#This Row],[ROL_JEFE_CONT_CONTA_HOSP]]="*"),"*","")</f>
        <v/>
      </c>
    </row>
    <row r="207" spans="1:29" hidden="1" x14ac:dyDescent="0.5">
      <c r="A207" s="2">
        <v>1</v>
      </c>
      <c r="B207" s="2">
        <v>205</v>
      </c>
      <c r="C207" s="2">
        <f>IF(Tabla_Contabilidad[[#This Row],[id_padre]]="",0,_xlfn.XLOOKUP(Tabla_Contabilidad[[#This Row],[id_padre]],Tabla_Contabilidad[Id],Tabla_Contabilidad[Nivel],0,0,1)+1)</f>
        <v>3</v>
      </c>
      <c r="D207" s="2" t="s">
        <v>939</v>
      </c>
      <c r="E207" s="2">
        <f>IF(Tabla_Contabilidad[[#This Row],[Id_anterior]]=1,ROW()-1,SUM(ROW()-1,Tabla_Contabilidad[[#This Row],[Id_anterior]]))</f>
        <v>206</v>
      </c>
      <c r="F207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CONTABILIDAD_CIERRES_CONSOLIDADO_NIVEL_CENTRAL</v>
      </c>
      <c r="G207" s="9" t="str">
        <f>CLEAN(PROPER(Tabla_Contabilidad[[#This Row],[Nombre Opción]]))</f>
        <v>Nivel Central</v>
      </c>
      <c r="H207" s="9" t="s">
        <v>1735</v>
      </c>
      <c r="I207" s="9" t="str">
        <f>_xlfn.XLOOKUP(Tabla_Contabilidad[[#This Row],[id_padre]],Tabla_Contabilidad[Id],Tabla_Contabilidad[Codigo_Tecnico],"",0,1)</f>
        <v>CONTABILIDAD_CIERRES_CONSOLIDADO</v>
      </c>
      <c r="J207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/contabilidad/cierres/consolidado/nivel-central</v>
      </c>
      <c r="K207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nivel-central</v>
      </c>
      <c r="L207" s="2" t="s">
        <v>1367</v>
      </c>
      <c r="M207" s="4" t="s">
        <v>1798</v>
      </c>
      <c r="N207" s="4"/>
      <c r="O207" s="4"/>
      <c r="Q207" s="4" t="s">
        <v>360</v>
      </c>
      <c r="W207" s="4" t="s">
        <v>360</v>
      </c>
      <c r="Z207" s="4" t="s">
        <v>360</v>
      </c>
      <c r="AB207" s="4" t="s">
        <v>360</v>
      </c>
      <c r="AC207" s="2" t="str">
        <f>IF(OR(Tabla_Contabilidad[[#This Row],[ROL_JEFE_CONT_CONTA]]="*",Tabla_Contabilidad[[#This Row],[ROL_JEFE_CONT_CONTA_HOSP]]="*"),"*","")</f>
        <v/>
      </c>
    </row>
    <row r="208" spans="1:29" hidden="1" x14ac:dyDescent="0.5">
      <c r="A208" s="2">
        <v>1</v>
      </c>
      <c r="B208" s="2">
        <v>7</v>
      </c>
      <c r="C208" s="2">
        <f>IF(Tabla_Contabilidad[[#This Row],[id_padre]]="",0,_xlfn.XLOOKUP(Tabla_Contabilidad[[#This Row],[id_padre]],Tabla_Contabilidad[Id],Tabla_Contabilidad[Nivel],0,0,1)+1)</f>
        <v>2</v>
      </c>
      <c r="D208" s="2" t="s">
        <v>167</v>
      </c>
      <c r="E208" s="2">
        <f>IF(Tabla_Contabilidad[[#This Row],[Id_anterior]]=1,ROW()-1,SUM(ROW()-1,Tabla_Contabilidad[[#This Row],[Id_anterior]]))</f>
        <v>207</v>
      </c>
      <c r="F208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CONTABILIDAD_CIERRES_CIERRE_MENSUAL</v>
      </c>
      <c r="G208" s="9" t="str">
        <f>CLEAN(PROPER(Tabla_Contabilidad[[#This Row],[Nombre Opción]]))</f>
        <v>Cierre Mensual</v>
      </c>
      <c r="H208" s="9" t="s">
        <v>1735</v>
      </c>
      <c r="I208" s="9" t="str">
        <f>_xlfn.XLOOKUP(Tabla_Contabilidad[[#This Row],[id_padre]],Tabla_Contabilidad[Id],Tabla_Contabilidad[Codigo_Tecnico],"",0,1)</f>
        <v>CONTABILIDAD_CIERRES</v>
      </c>
      <c r="J208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/contabilidad/cierres/cierre-mensual</v>
      </c>
      <c r="K208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cierre-mensual</v>
      </c>
      <c r="L208" s="2" t="s">
        <v>1372</v>
      </c>
      <c r="M208" s="4" t="s">
        <v>1798</v>
      </c>
      <c r="N208" s="4"/>
      <c r="O208" s="4"/>
      <c r="Q208" s="4" t="s">
        <v>360</v>
      </c>
      <c r="W208" s="4" t="s">
        <v>360</v>
      </c>
      <c r="Z208" s="4" t="s">
        <v>360</v>
      </c>
      <c r="AB208" s="4" t="s">
        <v>360</v>
      </c>
      <c r="AC208" s="2" t="str">
        <f>IF(OR(Tabla_Contabilidad[[#This Row],[ROL_JEFE_CONT_CONTA]]="*",Tabla_Contabilidad[[#This Row],[ROL_JEFE_CONT_CONTA_HOSP]]="*"),"*","")</f>
        <v/>
      </c>
    </row>
    <row r="209" spans="1:29" hidden="1" x14ac:dyDescent="0.5">
      <c r="A209" s="2">
        <v>1</v>
      </c>
      <c r="B209" s="2">
        <v>7</v>
      </c>
      <c r="C209" s="2">
        <f>IF(Tabla_Contabilidad[[#This Row],[id_padre]]="",0,_xlfn.XLOOKUP(Tabla_Contabilidad[[#This Row],[id_padre]],Tabla_Contabilidad[Id],Tabla_Contabilidad[Nivel],0,0,1)+1)</f>
        <v>2</v>
      </c>
      <c r="D209" s="2" t="s">
        <v>168</v>
      </c>
      <c r="E209" s="2">
        <f>IF(Tabla_Contabilidad[[#This Row],[Id_anterior]]=1,ROW()-1,SUM(ROW()-1,Tabla_Contabilidad[[#This Row],[Id_anterior]]))</f>
        <v>208</v>
      </c>
      <c r="F209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CONTABILIDAD_CIERRES_CIERRE_ANUAL</v>
      </c>
      <c r="G209" s="9" t="str">
        <f>CLEAN(PROPER(Tabla_Contabilidad[[#This Row],[Nombre Opción]]))</f>
        <v>Cierre Anual</v>
      </c>
      <c r="H209" s="9" t="s">
        <v>1735</v>
      </c>
      <c r="I209" s="9" t="str">
        <f>_xlfn.XLOOKUP(Tabla_Contabilidad[[#This Row],[id_padre]],Tabla_Contabilidad[Id],Tabla_Contabilidad[Codigo_Tecnico],"",0,1)</f>
        <v>CONTABILIDAD_CIERRES</v>
      </c>
      <c r="J209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/contabilidad/cierres/cierre-anual</v>
      </c>
      <c r="K209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cierre-anual</v>
      </c>
      <c r="L209" s="2" t="s">
        <v>1453</v>
      </c>
      <c r="M209" s="4" t="s">
        <v>1798</v>
      </c>
      <c r="N209" s="4"/>
      <c r="O209" s="4"/>
      <c r="Q209" s="4" t="s">
        <v>360</v>
      </c>
      <c r="W209" s="4" t="s">
        <v>360</v>
      </c>
      <c r="Z209" s="4" t="s">
        <v>360</v>
      </c>
      <c r="AB209" s="4" t="s">
        <v>360</v>
      </c>
      <c r="AC209" s="2" t="str">
        <f>IF(OR(Tabla_Contabilidad[[#This Row],[ROL_JEFE_CONT_CONTA]]="*",Tabla_Contabilidad[[#This Row],[ROL_JEFE_CONT_CONTA_HOSP]]="*"),"*","")</f>
        <v/>
      </c>
    </row>
    <row r="210" spans="1:29" x14ac:dyDescent="0.5">
      <c r="A210" s="2">
        <v>1</v>
      </c>
      <c r="B210" s="2">
        <v>7</v>
      </c>
      <c r="C210" s="2">
        <f>IF(Tabla_Contabilidad[[#This Row],[id_padre]]="",0,_xlfn.XLOOKUP(Tabla_Contabilidad[[#This Row],[id_padre]],Tabla_Contabilidad[Id],Tabla_Contabilidad[Nivel],0,0,1)+1)</f>
        <v>2</v>
      </c>
      <c r="D210" s="2" t="s">
        <v>169</v>
      </c>
      <c r="E210" s="2">
        <f>IF(Tabla_Contabilidad[[#This Row],[Id_anterior]]=1,ROW()-1,SUM(ROW()-1,Tabla_Contabilidad[[#This Row],[Id_anterior]]))</f>
        <v>209</v>
      </c>
      <c r="F210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CONTABILIDAD_CIERRES_ASIENTOS_CIERRE</v>
      </c>
      <c r="G210" s="9" t="str">
        <f>CLEAN(PROPER(Tabla_Contabilidad[[#This Row],[Nombre Opción]]))</f>
        <v>Asientos De Cierre</v>
      </c>
      <c r="H210" s="9" t="s">
        <v>1735</v>
      </c>
      <c r="I210" s="9" t="str">
        <f>_xlfn.XLOOKUP(Tabla_Contabilidad[[#This Row],[id_padre]],Tabla_Contabilidad[Id],Tabla_Contabilidad[Codigo_Tecnico],"",0,1)</f>
        <v>CONTABILIDAD_CIERRES</v>
      </c>
      <c r="J210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/contabilidad/cierres/asientos-cierre</v>
      </c>
      <c r="K210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asientos-cierre</v>
      </c>
      <c r="L210" s="2" t="s">
        <v>1342</v>
      </c>
      <c r="M210" s="4" t="s">
        <v>1798</v>
      </c>
      <c r="N210" s="4" t="s">
        <v>360</v>
      </c>
      <c r="O210" s="4"/>
      <c r="Q210" s="4" t="s">
        <v>360</v>
      </c>
      <c r="T210" s="4" t="s">
        <v>360</v>
      </c>
      <c r="W210" s="4" t="s">
        <v>360</v>
      </c>
      <c r="Z210" s="4" t="s">
        <v>360</v>
      </c>
      <c r="AB210" s="4" t="s">
        <v>360</v>
      </c>
      <c r="AC210" s="2" t="str">
        <f>IF(OR(Tabla_Contabilidad[[#This Row],[ROL_JEFE_CONT_CONTA]]="*",Tabla_Contabilidad[[#This Row],[ROL_JEFE_CONT_CONTA_HOSP]]="*"),"*","")</f>
        <v>*</v>
      </c>
    </row>
    <row r="211" spans="1:29" x14ac:dyDescent="0.5">
      <c r="A211" s="2">
        <v>1</v>
      </c>
      <c r="B211" s="2">
        <v>7</v>
      </c>
      <c r="C211" s="2">
        <f>IF(Tabla_Contabilidad[[#This Row],[id_padre]]="",0,_xlfn.XLOOKUP(Tabla_Contabilidad[[#This Row],[id_padre]],Tabla_Contabilidad[Id],Tabla_Contabilidad[Nivel],0,0,1)+1)</f>
        <v>2</v>
      </c>
      <c r="D211" s="2" t="s">
        <v>170</v>
      </c>
      <c r="E211" s="2">
        <f>IF(Tabla_Contabilidad[[#This Row],[Id_anterior]]=1,ROW()-1,SUM(ROW()-1,Tabla_Contabilidad[[#This Row],[Id_anterior]]))</f>
        <v>210</v>
      </c>
      <c r="F211" s="9" t="str">
        <f>IF(Tabla_Contabilidad[[#This Row],[id_padre]]="",SUBSTITUTE(UPPER(Tabla_Contabilidad[[#This Row],[Slug]]),"-","_"),CONCATENATE(_xlfn.XLOOKUP(Tabla_Contabilidad[[#This Row],[id_padre]],Tabla_Contabilidad[Id],Tabla_Contabilidad[Codigo_Tecnico],"",0,1),"_",SUBSTITUTE(UPPER(Tabla_Contabilidad[[#This Row],[Slug]]),"-","_")))</f>
        <v>CONTABILIDAD_CIERRES_ASIENTOS_APERTURA</v>
      </c>
      <c r="G211" s="9" t="str">
        <f>CLEAN(PROPER(Tabla_Contabilidad[[#This Row],[Nombre Opción]]))</f>
        <v>Asientos De Apertura</v>
      </c>
      <c r="H211" s="9" t="s">
        <v>1735</v>
      </c>
      <c r="I211" s="9" t="str">
        <f>_xlfn.XLOOKUP(Tabla_Contabilidad[[#This Row],[id_padre]],Tabla_Contabilidad[Id],Tabla_Contabilidad[Codigo_Tecnico],"",0,1)</f>
        <v>CONTABILIDAD_CIERRES</v>
      </c>
      <c r="J211" s="2" t="str">
        <f>IF(Tabla_Contabilidad[[#This Row],[Nivel]]=0,CONCATENATE("/",Tabla_Contabilidad[[#This Row],[Slug]]),CONCATENATE(_xlfn.XLOOKUP(Tabla_Contabilidad[[#This Row],[id_padre]],Tabla_Contabilidad[Id],Tabla_Contabilidad[Ruta_Web],"",0,1),"/",Tabla_Contabilidad[[#This Row],[Slug]]))</f>
        <v>/contabilidad/cierres/asientos-apertura</v>
      </c>
      <c r="K211" s="2" t="str">
        <f>SUBSTITUTE(SUBSTITUTE(SUBSTITUTE(SUBSTITUTE(SUBSTITUTE(SUBSTITUTE(SUBSTITUTE(SUBSTITUTE(SUBSTITUTE(SUBSTITUTE(SUBSTITUTE(SUBSTITUTE(SUBSTITUTE(SUBSTITUTE(SUBSTITUTE(SUBSTITUTE(SUBSTITUTE(SUBSTITUTE(SUBSTITUTE(SUBSTITUTE(SUBSTITUTE(LOWER(Tabla_Contabilidad[[#This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asientos-apertura</v>
      </c>
      <c r="L211" s="2" t="s">
        <v>1454</v>
      </c>
      <c r="M211" s="4" t="s">
        <v>1798</v>
      </c>
      <c r="N211" s="4" t="s">
        <v>360</v>
      </c>
      <c r="O211" s="4"/>
      <c r="Q211" s="4" t="s">
        <v>360</v>
      </c>
      <c r="T211" s="4" t="s">
        <v>360</v>
      </c>
      <c r="W211" s="4" t="s">
        <v>360</v>
      </c>
      <c r="Z211" s="4" t="s">
        <v>360</v>
      </c>
      <c r="AB211" s="4" t="s">
        <v>360</v>
      </c>
      <c r="AC211" s="2" t="str">
        <f>IF(OR(Tabla_Contabilidad[[#This Row],[ROL_JEFE_CONT_CONTA]]="*",Tabla_Contabilidad[[#This Row],[ROL_JEFE_CONT_CONTA_HOSP]]="*"),"*","")</f>
        <v>*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F16D48-CC09-4092-9BCF-0B7CB909C1CB}">
          <x14:formula1>
            <xm:f>Lista!$A$2:$A$3</xm:f>
          </x14:formula1>
          <xm:sqref>N2:Z211</xm:sqref>
        </x14:dataValidation>
        <x14:dataValidation type="list" allowBlank="1" showInputMessage="1" showErrorMessage="1" xr:uid="{CDC9F80D-385B-4F2A-A1FB-25208A652139}">
          <x14:formula1>
            <xm:f>Modulos!$C$2:$C$15</xm:f>
          </x14:formula1>
          <xm:sqref>M2:M211</xm:sqref>
        </x14:dataValidation>
        <x14:dataValidation type="list" allowBlank="1" showInputMessage="1" showErrorMessage="1" xr:uid="{446602B2-E3EA-4A60-AE3E-4EBFDDA62159}">
          <x14:formula1>
            <xm:f>Tipos!$B$2:$B$7</xm:f>
          </x14:formula1>
          <xm:sqref>H2:H211</xm:sqref>
        </x14:dataValidation>
        <x14:dataValidation type="list" allowBlank="1" showInputMessage="1" showErrorMessage="1" xr:uid="{11712A31-19E4-4149-AE03-642BE7E35CCD}">
          <x14:formula1>
            <xm:f>Equipo!$B$2:$B$7</xm:f>
          </x14:formula1>
          <xm:sqref>AD2:AD211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3F71-BFF0-41AF-AE0D-1672B4BC6E21}">
  <sheetPr codeName="Hoja8"/>
  <dimension ref="A1:AH194"/>
  <sheetViews>
    <sheetView zoomScale="70" zoomScaleNormal="70" workbookViewId="0">
      <pane xSplit="5" ySplit="1" topLeftCell="I7" activePane="bottomRight" state="frozen"/>
      <selection pane="topRight" activeCell="F1" sqref="F1"/>
      <selection pane="bottomLeft" activeCell="A2" sqref="A2"/>
      <selection pane="bottomRight" activeCell="D13" sqref="D13"/>
    </sheetView>
  </sheetViews>
  <sheetFormatPr baseColWidth="10" defaultColWidth="11.41015625" defaultRowHeight="14.35" x14ac:dyDescent="0.5"/>
  <cols>
    <col min="1" max="1" width="5.703125" style="5" customWidth="1"/>
    <col min="2" max="2" width="5.703125" customWidth="1"/>
    <col min="3" max="3" width="5.703125" style="2" customWidth="1"/>
    <col min="4" max="4" width="73.234375" bestFit="1" customWidth="1"/>
    <col min="5" max="5" width="5.703125" customWidth="1"/>
    <col min="6" max="6" width="10.64453125" style="2" customWidth="1"/>
    <col min="7" max="7" width="10.703125" customWidth="1"/>
    <col min="8" max="8" width="10.703125" style="5" customWidth="1"/>
    <col min="9" max="9" width="56.17578125" style="5" customWidth="1"/>
    <col min="10" max="13" width="10.703125" style="5" customWidth="1"/>
    <col min="14" max="15" width="5.703125" hidden="1" customWidth="1"/>
    <col min="16" max="17" width="5.703125" style="5" hidden="1" customWidth="1"/>
    <col min="18" max="23" width="5.703125" style="4" hidden="1" customWidth="1"/>
    <col min="24" max="24" width="5.703125" style="4" customWidth="1"/>
    <col min="25" max="27" width="5.703125" style="4" hidden="1" customWidth="1"/>
    <col min="28" max="28" width="6.703125" style="4" customWidth="1"/>
    <col min="29" max="31" width="5.703125" style="4" customWidth="1"/>
    <col min="32" max="32" width="5.703125" style="5" customWidth="1"/>
    <col min="33" max="33" width="5.64453125" customWidth="1"/>
    <col min="34" max="34" width="5.64453125" style="2" customWidth="1"/>
    <col min="35" max="16384" width="11.41015625" style="2"/>
  </cols>
  <sheetData>
    <row r="1" spans="1:34" ht="140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177</v>
      </c>
      <c r="O1" s="3" t="s">
        <v>178</v>
      </c>
      <c r="P1" s="3" t="s">
        <v>179</v>
      </c>
      <c r="Q1" s="3" t="s">
        <v>180</v>
      </c>
      <c r="R1" s="3" t="s">
        <v>181</v>
      </c>
      <c r="S1" s="3" t="s">
        <v>182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  <c r="Y1" s="3" t="s">
        <v>188</v>
      </c>
      <c r="Z1" s="3" t="s">
        <v>189</v>
      </c>
      <c r="AA1" s="3" t="s">
        <v>190</v>
      </c>
      <c r="AB1" s="3" t="s">
        <v>191</v>
      </c>
      <c r="AC1" s="3" t="s">
        <v>192</v>
      </c>
      <c r="AD1" s="3" t="s">
        <v>193</v>
      </c>
      <c r="AE1" s="3" t="s">
        <v>194</v>
      </c>
      <c r="AF1" s="11" t="s">
        <v>1932</v>
      </c>
      <c r="AG1" s="3" t="s">
        <v>2029</v>
      </c>
      <c r="AH1" s="3" t="s">
        <v>2030</v>
      </c>
    </row>
    <row r="2" spans="1:34" x14ac:dyDescent="0.5">
      <c r="A2" s="5">
        <f>MAX(Tabla_Contabilidad[Id])</f>
        <v>210</v>
      </c>
      <c r="B2" s="2" t="s">
        <v>98</v>
      </c>
      <c r="C2" s="5">
        <f>IF(Tabla_Presupuesto[[#This Row],[id_padre]]="",0,_xlfn.XLOOKUP(Tabla_Presupuesto[[#This Row],[id_padre]],Tabla_Presupuesto[Id],Tabla_Presupuesto[Nivel],0,0,1)+1)</f>
        <v>0</v>
      </c>
      <c r="D2" s="2" t="s">
        <v>206</v>
      </c>
      <c r="E2" s="2">
        <f>IF(Tabla_Presupuesto[[#This Row],[Id_anterior]]=1,ROW()-1,SUM(ROW()-1,Tabla_Presupuesto[[#This Row],[Id_anterior]]))</f>
        <v>211</v>
      </c>
      <c r="F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</v>
      </c>
      <c r="G2" s="2" t="str">
        <f>CLEAN(PROPER(Tabla_Presupuesto[[#This Row],[Nombre Opción]]))</f>
        <v>Presupuesto</v>
      </c>
      <c r="H2" s="2" t="s">
        <v>2028</v>
      </c>
      <c r="I2" s="2" t="str">
        <f>_xlfn.XLOOKUP(Tabla_Presupuesto[[#This Row],[id_padre]],Tabla_Presupuesto[Id],Tabla_Presupuesto[Codigo_Tecnico],"",0,1)</f>
        <v/>
      </c>
      <c r="J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presupuesto</v>
      </c>
      <c r="L2" s="2" t="s">
        <v>1395</v>
      </c>
      <c r="M2" s="2" t="s">
        <v>1792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4" t="s">
        <v>360</v>
      </c>
      <c r="X2" s="4" t="s">
        <v>360</v>
      </c>
      <c r="Y2" s="4" t="s">
        <v>360</v>
      </c>
      <c r="Z2" s="4" t="s">
        <v>360</v>
      </c>
      <c r="AA2" s="4" t="s">
        <v>360</v>
      </c>
      <c r="AB2" s="5" t="s">
        <v>360</v>
      </c>
      <c r="AC2" s="5" t="s">
        <v>360</v>
      </c>
      <c r="AD2" s="5" t="s">
        <v>360</v>
      </c>
      <c r="AE2" s="5" t="s">
        <v>360</v>
      </c>
      <c r="AF2" s="5" t="s">
        <v>360</v>
      </c>
      <c r="AG2" s="2" t="str">
        <f>IF(OR(Tabla_Presupuesto[[#This Row],[ROL_JEFE_CONT_PRESU]]="*",Tabla_Presupuesto[[#This Row],[ROL_JEFE_CONT_PRSU_HOSPI]]="*"),"*","")</f>
        <v>*</v>
      </c>
    </row>
    <row r="3" spans="1:34" x14ac:dyDescent="0.5">
      <c r="A3" s="5">
        <f>MAX(Tabla_Contabilidad[Id])</f>
        <v>210</v>
      </c>
      <c r="B3" s="2">
        <v>211</v>
      </c>
      <c r="C3" s="5">
        <f>IF(Tabla_Presupuesto[[#This Row],[id_padre]]="",0,_xlfn.XLOOKUP(Tabla_Presupuesto[[#This Row],[id_padre]],Tabla_Presupuesto[Id],Tabla_Presupuesto[Nivel],0,0,1)+1)</f>
        <v>1</v>
      </c>
      <c r="D3" s="2" t="s">
        <v>18</v>
      </c>
      <c r="E3" s="2">
        <f>IF(Tabla_Presupuesto[[#This Row],[Id_anterior]]=1,ROW()-1,SUM(ROW()-1,Tabla_Presupuesto[[#This Row],[Id_anterior]]))</f>
        <v>212</v>
      </c>
      <c r="F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</v>
      </c>
      <c r="G3" s="2" t="str">
        <f>CLEAN(PROPER(Tabla_Presupuesto[[#This Row],[Nombre Opción]]))</f>
        <v>Parámetros</v>
      </c>
      <c r="H3" s="2" t="s">
        <v>1735</v>
      </c>
      <c r="I3" s="2" t="str">
        <f>_xlfn.XLOOKUP(Tabla_Presupuesto[[#This Row],[id_padre]],Tabla_Presupuesto[Id],Tabla_Presupuesto[Codigo_Tecnico],"",0,1)</f>
        <v>PRESUPUESTO</v>
      </c>
      <c r="J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2" t="s">
        <v>1792</v>
      </c>
      <c r="N3" s="4"/>
      <c r="O3" s="4"/>
      <c r="P3" s="4" t="s">
        <v>360</v>
      </c>
      <c r="Q3" s="4"/>
      <c r="U3" s="4" t="s">
        <v>360</v>
      </c>
      <c r="X3" s="4" t="s">
        <v>360</v>
      </c>
      <c r="Y3" s="4" t="s">
        <v>360</v>
      </c>
      <c r="AA3" s="4" t="s">
        <v>360</v>
      </c>
      <c r="AB3" s="4" t="s">
        <v>360</v>
      </c>
      <c r="AD3" s="4" t="s">
        <v>360</v>
      </c>
      <c r="AE3" s="4" t="s">
        <v>360</v>
      </c>
      <c r="AF3" s="5" t="s">
        <v>360</v>
      </c>
      <c r="AG3" s="2" t="str">
        <f>IF(OR(Tabla_Presupuesto[[#This Row],[ROL_JEFE_CONT_PRESU]]="*",Tabla_Presupuesto[[#This Row],[ROL_JEFE_CONT_PRSU_HOSPI]]="*"),"*","")</f>
        <v>*</v>
      </c>
    </row>
    <row r="4" spans="1:34" x14ac:dyDescent="0.5">
      <c r="A4" s="5">
        <f>MAX(Tabla_Contabilidad[Id])</f>
        <v>210</v>
      </c>
      <c r="B4" s="2">
        <v>211</v>
      </c>
      <c r="C4" s="5">
        <f>IF(Tabla_Presupuesto[[#This Row],[id_padre]]="",0,_xlfn.XLOOKUP(Tabla_Presupuesto[[#This Row],[id_padre]],Tabla_Presupuesto[Id],Tabla_Presupuesto[Nivel],0,0,1)+1)</f>
        <v>1</v>
      </c>
      <c r="D4" s="2" t="s">
        <v>19</v>
      </c>
      <c r="E4" s="2">
        <f>IF(Tabla_Presupuesto[[#This Row],[Id_anterior]]=1,ROW()-1,SUM(ROW()-1,Tabla_Presupuesto[[#This Row],[Id_anterior]]))</f>
        <v>213</v>
      </c>
      <c r="F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</v>
      </c>
      <c r="G4" s="2" t="str">
        <f>CLEAN(PROPER(Tabla_Presupuesto[[#This Row],[Nombre Opción]]))</f>
        <v>Procesos</v>
      </c>
      <c r="H4" s="2" t="s">
        <v>1735</v>
      </c>
      <c r="I4" s="2" t="str">
        <f>_xlfn.XLOOKUP(Tabla_Presupuesto[[#This Row],[id_padre]],Tabla_Presupuesto[Id],Tabla_Presupuesto[Codigo_Tecnico],"",0,1)</f>
        <v>PRESUPUESTO</v>
      </c>
      <c r="J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2" t="s">
        <v>1338</v>
      </c>
      <c r="M4" s="2" t="s">
        <v>1792</v>
      </c>
      <c r="N4" s="4"/>
      <c r="O4" s="4"/>
      <c r="P4" s="4" t="s">
        <v>360</v>
      </c>
      <c r="Q4" s="4" t="s">
        <v>360</v>
      </c>
      <c r="U4" s="4" t="s">
        <v>360</v>
      </c>
      <c r="X4" s="4" t="s">
        <v>360</v>
      </c>
      <c r="Y4" s="4" t="s">
        <v>360</v>
      </c>
      <c r="Z4" s="4" t="s">
        <v>360</v>
      </c>
      <c r="AA4" s="4" t="s">
        <v>360</v>
      </c>
      <c r="AB4" s="4" t="s">
        <v>360</v>
      </c>
      <c r="AD4" s="4" t="s">
        <v>360</v>
      </c>
      <c r="AE4" s="4" t="s">
        <v>360</v>
      </c>
      <c r="AF4" s="5" t="s">
        <v>360</v>
      </c>
      <c r="AG4" s="2" t="str">
        <f>IF(OR(Tabla_Presupuesto[[#This Row],[ROL_JEFE_CONT_PRESU]]="*",Tabla_Presupuesto[[#This Row],[ROL_JEFE_CONT_PRSU_HOSPI]]="*"),"*","")</f>
        <v>*</v>
      </c>
    </row>
    <row r="5" spans="1:34" x14ac:dyDescent="0.5">
      <c r="A5" s="5">
        <f>MAX(Tabla_Contabilidad[Id])</f>
        <v>210</v>
      </c>
      <c r="B5" s="2">
        <v>211</v>
      </c>
      <c r="C5" s="5">
        <f>IF(Tabla_Presupuesto[[#This Row],[id_padre]]="",0,_xlfn.XLOOKUP(Tabla_Presupuesto[[#This Row],[id_padre]],Tabla_Presupuesto[Id],Tabla_Presupuesto[Nivel],0,0,1)+1)</f>
        <v>1</v>
      </c>
      <c r="D5" s="2" t="s">
        <v>20</v>
      </c>
      <c r="E5" s="2">
        <f>IF(Tabla_Presupuesto[[#This Row],[Id_anterior]]=1,ROW()-1,SUM(ROW()-1,Tabla_Presupuesto[[#This Row],[Id_anterior]]))</f>
        <v>214</v>
      </c>
      <c r="F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</v>
      </c>
      <c r="G5" s="2" t="str">
        <f>CLEAN(PROPER(Tabla_Presupuesto[[#This Row],[Nombre Opción]]))</f>
        <v>Consultas</v>
      </c>
      <c r="H5" s="2" t="s">
        <v>1735</v>
      </c>
      <c r="I5" s="2" t="str">
        <f>_xlfn.XLOOKUP(Tabla_Presupuesto[[#This Row],[id_padre]],Tabla_Presupuesto[Id],Tabla_Presupuesto[Codigo_Tecnico],"",0,1)</f>
        <v>PRESUPUESTO</v>
      </c>
      <c r="J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2" t="s">
        <v>1339</v>
      </c>
      <c r="M5" s="2" t="s">
        <v>1792</v>
      </c>
      <c r="N5" s="4"/>
      <c r="O5" s="4"/>
      <c r="P5" s="4" t="s">
        <v>360</v>
      </c>
      <c r="Q5" s="4" t="s">
        <v>360</v>
      </c>
      <c r="R5" s="4" t="s">
        <v>360</v>
      </c>
      <c r="U5" s="4" t="s">
        <v>360</v>
      </c>
      <c r="W5" s="4" t="s">
        <v>360</v>
      </c>
      <c r="X5" s="4" t="s">
        <v>360</v>
      </c>
      <c r="Y5" s="4" t="s">
        <v>360</v>
      </c>
      <c r="Z5" s="4" t="s">
        <v>360</v>
      </c>
      <c r="AA5" s="4" t="s">
        <v>360</v>
      </c>
      <c r="AB5" s="4" t="s">
        <v>360</v>
      </c>
      <c r="AD5" s="4" t="s">
        <v>360</v>
      </c>
      <c r="AE5" s="4" t="s">
        <v>360</v>
      </c>
      <c r="AF5" s="5" t="s">
        <v>360</v>
      </c>
      <c r="AG5" s="2" t="str">
        <f>IF(OR(Tabla_Presupuesto[[#This Row],[ROL_JEFE_CONT_PRESU]]="*",Tabla_Presupuesto[[#This Row],[ROL_JEFE_CONT_PRSU_HOSPI]]="*"),"*","")</f>
        <v>*</v>
      </c>
    </row>
    <row r="6" spans="1:34" x14ac:dyDescent="0.5">
      <c r="A6" s="5">
        <f>MAX(Tabla_Contabilidad[Id])</f>
        <v>210</v>
      </c>
      <c r="B6" s="2">
        <v>211</v>
      </c>
      <c r="C6" s="5">
        <f>IF(Tabla_Presupuesto[[#This Row],[id_padre]]="",0,_xlfn.XLOOKUP(Tabla_Presupuesto[[#This Row],[id_padre]],Tabla_Presupuesto[Id],Tabla_Presupuesto[Nivel],0,0,1)+1)</f>
        <v>1</v>
      </c>
      <c r="D6" s="2" t="s">
        <v>21</v>
      </c>
      <c r="E6" s="2">
        <f>IF(Tabla_Presupuesto[[#This Row],[Id_anterior]]=1,ROW()-1,SUM(ROW()-1,Tabla_Presupuesto[[#This Row],[Id_anterior]]))</f>
        <v>215</v>
      </c>
      <c r="F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</v>
      </c>
      <c r="G6" s="2" t="str">
        <f>CLEAN(PROPER(Tabla_Presupuesto[[#This Row],[Nombre Opción]]))</f>
        <v>Informes</v>
      </c>
      <c r="H6" s="2" t="s">
        <v>1735</v>
      </c>
      <c r="I6" s="2" t="str">
        <f>_xlfn.XLOOKUP(Tabla_Presupuesto[[#This Row],[id_padre]],Tabla_Presupuesto[Id],Tabla_Presupuesto[Codigo_Tecnico],"",0,1)</f>
        <v>PRESUPUESTO</v>
      </c>
      <c r="J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2" t="s">
        <v>1340</v>
      </c>
      <c r="M6" s="2" t="s">
        <v>1792</v>
      </c>
      <c r="N6" s="4"/>
      <c r="O6" s="4"/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U6" s="4" t="s">
        <v>360</v>
      </c>
      <c r="V6" s="4" t="s">
        <v>360</v>
      </c>
      <c r="W6" s="4" t="s">
        <v>360</v>
      </c>
      <c r="X6" s="4" t="s">
        <v>360</v>
      </c>
      <c r="Y6" s="4" t="s">
        <v>360</v>
      </c>
      <c r="Z6" s="4" t="s">
        <v>360</v>
      </c>
      <c r="AA6" s="4" t="s">
        <v>360</v>
      </c>
      <c r="AB6" s="4" t="s">
        <v>360</v>
      </c>
      <c r="AD6" s="4" t="s">
        <v>360</v>
      </c>
      <c r="AE6" s="4" t="s">
        <v>360</v>
      </c>
      <c r="AF6" s="5" t="s">
        <v>360</v>
      </c>
      <c r="AG6" s="2" t="str">
        <f>IF(OR(Tabla_Presupuesto[[#This Row],[ROL_JEFE_CONT_PRESU]]="*",Tabla_Presupuesto[[#This Row],[ROL_JEFE_CONT_PRSU_HOSPI]]="*"),"*","")</f>
        <v>*</v>
      </c>
    </row>
    <row r="7" spans="1:34" x14ac:dyDescent="0.5">
      <c r="A7" s="5">
        <f>MAX(Tabla_Contabilidad[Id])</f>
        <v>210</v>
      </c>
      <c r="B7" s="2">
        <v>211</v>
      </c>
      <c r="C7" s="5">
        <f>IF(Tabla_Presupuesto[[#This Row],[id_padre]]="",0,_xlfn.XLOOKUP(Tabla_Presupuesto[[#This Row],[id_padre]],Tabla_Presupuesto[Id],Tabla_Presupuesto[Nivel],0,0,1)+1)</f>
        <v>1</v>
      </c>
      <c r="D7" s="2" t="s">
        <v>165</v>
      </c>
      <c r="E7" s="2">
        <f>IF(Tabla_Presupuesto[[#This Row],[Id_anterior]]=1,ROW()-1,SUM(ROW()-1,Tabla_Presupuesto[[#This Row],[Id_anterior]]))</f>
        <v>216</v>
      </c>
      <c r="F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</v>
      </c>
      <c r="G7" s="2" t="str">
        <f>CLEAN(PROPER(Tabla_Presupuesto[[#This Row],[Nombre Opción]]))</f>
        <v>Cierres</v>
      </c>
      <c r="H7" s="2" t="s">
        <v>1735</v>
      </c>
      <c r="I7" s="2" t="str">
        <f>_xlfn.XLOOKUP(Tabla_Presupuesto[[#This Row],[id_padre]],Tabla_Presupuesto[Id],Tabla_Presupuesto[Codigo_Tecnico],"",0,1)</f>
        <v>PRESUPUESTO</v>
      </c>
      <c r="J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cierres</v>
      </c>
      <c r="L7" s="2" t="s">
        <v>1400</v>
      </c>
      <c r="M7" s="2" t="s">
        <v>1792</v>
      </c>
      <c r="N7" s="4"/>
      <c r="O7" s="4"/>
      <c r="P7" s="4" t="s">
        <v>360</v>
      </c>
      <c r="Q7" s="4"/>
      <c r="X7" s="4" t="s">
        <v>360</v>
      </c>
      <c r="AB7" s="4" t="s">
        <v>360</v>
      </c>
      <c r="AE7" s="4" t="s">
        <v>360</v>
      </c>
      <c r="AF7" s="5" t="s">
        <v>360</v>
      </c>
      <c r="AG7" s="2" t="str">
        <f>IF(OR(Tabla_Presupuesto[[#This Row],[ROL_JEFE_CONT_PRESU]]="*",Tabla_Presupuesto[[#This Row],[ROL_JEFE_CONT_PRSU_HOSPI]]="*"),"*","")</f>
        <v>*</v>
      </c>
    </row>
    <row r="8" spans="1:34" hidden="1" x14ac:dyDescent="0.5">
      <c r="A8" s="5">
        <f>MAX(Tabla_Contabilidad[Id])</f>
        <v>210</v>
      </c>
      <c r="B8" s="2">
        <v>212</v>
      </c>
      <c r="C8" s="5">
        <f>IF(Tabla_Presupuesto[[#This Row],[id_padre]]="",0,_xlfn.XLOOKUP(Tabla_Presupuesto[[#This Row],[id_padre]],Tabla_Presupuesto[Id],Tabla_Presupuesto[Nivel],0,0,1)+1)</f>
        <v>2</v>
      </c>
      <c r="D8" s="2" t="s">
        <v>195</v>
      </c>
      <c r="E8" s="2">
        <f>IF(Tabla_Presupuesto[[#This Row],[Id_anterior]]=1,ROW()-1,SUM(ROW()-1,Tabla_Presupuesto[[#This Row],[Id_anterior]]))</f>
        <v>217</v>
      </c>
      <c r="F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PRESUPUESTO_PARAMETROS_ADMINISTRADORES_PROGRAMA</v>
      </c>
      <c r="G8" s="2" t="str">
        <f>CLEAN(PROPER(Tabla_Presupuesto[[#This Row],[Nombre Opción]]))</f>
        <v>Administradores De Programa</v>
      </c>
      <c r="H8" s="2" t="s">
        <v>1735</v>
      </c>
      <c r="I8" s="2" t="str">
        <f>_xlfn.XLOOKUP(Tabla_Presupuesto[[#This Row],[id_padre]],Tabla_Presupuesto[Id],Tabla_Presupuesto[Codigo_Tecnico],"",0,1)</f>
        <v>PRESUPUESTO_PARAMETROS</v>
      </c>
      <c r="J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/presupuesto/parametros/administradores-programa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administradores-programa</v>
      </c>
      <c r="L8" s="2" t="s">
        <v>1450</v>
      </c>
      <c r="M8" s="2" t="s">
        <v>1792</v>
      </c>
      <c r="N8" s="4"/>
      <c r="O8" s="4"/>
      <c r="P8" s="4" t="s">
        <v>360</v>
      </c>
      <c r="Q8" s="4"/>
      <c r="U8" s="4" t="s">
        <v>360</v>
      </c>
      <c r="AA8" s="4" t="s">
        <v>360</v>
      </c>
      <c r="AD8" s="5"/>
      <c r="AE8" s="5"/>
      <c r="AF8" s="5" t="s">
        <v>360</v>
      </c>
      <c r="AG8" s="2" t="str">
        <f>IF(OR(Tabla_Presupuesto[[#This Row],[ROL_JEFE_CONT_PRESU]]="*",Tabla_Presupuesto[[#This Row],[ROL_JEFE_CONT_PRSU_HOSPI]]="*"),"*","")</f>
        <v/>
      </c>
    </row>
    <row r="9" spans="1:34" hidden="1" x14ac:dyDescent="0.5">
      <c r="A9" s="5">
        <f>MAX(Tabla_Contabilidad[Id])</f>
        <v>210</v>
      </c>
      <c r="B9" s="2">
        <v>212</v>
      </c>
      <c r="C9" s="5">
        <f>IF(Tabla_Presupuesto[[#This Row],[id_padre]]="",0,_xlfn.XLOOKUP(Tabla_Presupuesto[[#This Row],[id_padre]],Tabla_Presupuesto[Id],Tabla_Presupuesto[Nivel],0,0,1)+1)</f>
        <v>2</v>
      </c>
      <c r="D9" s="2" t="s">
        <v>196</v>
      </c>
      <c r="E9" s="2">
        <f>IF(Tabla_Presupuesto[[#This Row],[Id_anterior]]=1,ROW()-1,SUM(ROW()-1,Tabla_Presupuesto[[#This Row],[Id_anterior]]))</f>
        <v>218</v>
      </c>
      <c r="F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PRESUPUESTO_PARAMETROS_PROGRAMAS</v>
      </c>
      <c r="G9" s="2" t="str">
        <f>CLEAN(PROPER(Tabla_Presupuesto[[#This Row],[Nombre Opción]]))</f>
        <v>Programas</v>
      </c>
      <c r="H9" s="2" t="s">
        <v>1735</v>
      </c>
      <c r="I9" s="2" t="str">
        <f>_xlfn.XLOOKUP(Tabla_Presupuesto[[#This Row],[id_padre]],Tabla_Presupuesto[Id],Tabla_Presupuesto[Codigo_Tecnico],"",0,1)</f>
        <v>PRESUPUESTO_PARAMETROS</v>
      </c>
      <c r="J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/presupuesto/parametros/programas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programas</v>
      </c>
      <c r="L9" s="2" t="s">
        <v>1463</v>
      </c>
      <c r="M9" s="2" t="s">
        <v>1792</v>
      </c>
      <c r="N9" s="4"/>
      <c r="O9" s="4"/>
      <c r="P9" s="4" t="s">
        <v>360</v>
      </c>
      <c r="Q9" s="4"/>
      <c r="U9" s="4" t="s">
        <v>360</v>
      </c>
      <c r="AA9" s="4" t="s">
        <v>360</v>
      </c>
      <c r="AB9" s="5"/>
      <c r="AC9" s="5"/>
      <c r="AD9" s="5"/>
      <c r="AE9" s="5"/>
      <c r="AF9" s="5" t="s">
        <v>360</v>
      </c>
      <c r="AG9" s="2" t="str">
        <f>IF(OR(Tabla_Presupuesto[[#This Row],[ROL_JEFE_CONT_PRESU]]="*",Tabla_Presupuesto[[#This Row],[ROL_JEFE_CONT_PRSU_HOSPI]]="*"),"*","")</f>
        <v/>
      </c>
    </row>
    <row r="10" spans="1:34" hidden="1" x14ac:dyDescent="0.5">
      <c r="A10" s="5">
        <f>MAX(Tabla_Contabilidad[Id])</f>
        <v>210</v>
      </c>
      <c r="B10" s="2">
        <v>212</v>
      </c>
      <c r="C10" s="5">
        <f>IF(Tabla_Presupuesto[[#This Row],[id_padre]]="",0,_xlfn.XLOOKUP(Tabla_Presupuesto[[#This Row],[id_padre]],Tabla_Presupuesto[Id],Tabla_Presupuesto[Nivel],0,0,1)+1)</f>
        <v>2</v>
      </c>
      <c r="D10" s="2" t="s">
        <v>197</v>
      </c>
      <c r="E10" s="2">
        <f>IF(Tabla_Presupuesto[[#This Row],[Id_anterior]]=1,ROW()-1,SUM(ROW()-1,Tabla_Presupuesto[[#This Row],[Id_anterior]]))</f>
        <v>219</v>
      </c>
      <c r="F1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PRESUPUESTO_PARAMETROS_SUBPROGRAMAS</v>
      </c>
      <c r="G10" s="2" t="str">
        <f>CLEAN(PROPER(Tabla_Presupuesto[[#This Row],[Nombre Opción]]))</f>
        <v>Subprogramas</v>
      </c>
      <c r="H10" s="2" t="s">
        <v>1735</v>
      </c>
      <c r="I10" s="2" t="str">
        <f>_xlfn.XLOOKUP(Tabla_Presupuesto[[#This Row],[id_padre]],Tabla_Presupuesto[Id],Tabla_Presupuesto[Codigo_Tecnico],"",0,1)</f>
        <v>PRESUPUESTO_PARAMETROS</v>
      </c>
      <c r="J1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/presupuesto/parametros/subprogramas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subprogramas</v>
      </c>
      <c r="L10" s="2" t="s">
        <v>1465</v>
      </c>
      <c r="M10" s="2" t="s">
        <v>1792</v>
      </c>
      <c r="N10" s="4"/>
      <c r="O10" s="4"/>
      <c r="P10" s="4" t="s">
        <v>360</v>
      </c>
      <c r="Q10" s="4"/>
      <c r="U10" s="4" t="s">
        <v>360</v>
      </c>
      <c r="AA10" s="4" t="s">
        <v>360</v>
      </c>
      <c r="AB10" s="5"/>
      <c r="AC10" s="5"/>
      <c r="AD10" s="5"/>
      <c r="AE10" s="5"/>
      <c r="AF10" s="5" t="s">
        <v>360</v>
      </c>
      <c r="AG10" s="2" t="str">
        <f>IF(OR(Tabla_Presupuesto[[#This Row],[ROL_JEFE_CONT_PRESU]]="*",Tabla_Presupuesto[[#This Row],[ROL_JEFE_CONT_PRSU_HOSPI]]="*"),"*","")</f>
        <v/>
      </c>
    </row>
    <row r="11" spans="1:34" hidden="1" x14ac:dyDescent="0.5">
      <c r="A11" s="5">
        <f>MAX(Tabla_Contabilidad[Id])</f>
        <v>210</v>
      </c>
      <c r="B11" s="2">
        <v>212</v>
      </c>
      <c r="C11" s="5">
        <f>IF(Tabla_Presupuesto[[#This Row],[id_padre]]="",0,_xlfn.XLOOKUP(Tabla_Presupuesto[[#This Row],[id_padre]],Tabla_Presupuesto[Id],Tabla_Presupuesto[Nivel],0,0,1)+1)</f>
        <v>2</v>
      </c>
      <c r="D11" s="2" t="s">
        <v>198</v>
      </c>
      <c r="E11" s="2">
        <f>IF(Tabla_Presupuesto[[#This Row],[Id_anterior]]=1,ROW()-1,SUM(ROW()-1,Tabla_Presupuesto[[#This Row],[Id_anterior]]))</f>
        <v>220</v>
      </c>
      <c r="F1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PRESUPUESTO_PARAMETROS_ACTIVIDADES</v>
      </c>
      <c r="G11" s="2" t="str">
        <f>CLEAN(PROPER(Tabla_Presupuesto[[#This Row],[Nombre Opción]]))</f>
        <v>Actividades</v>
      </c>
      <c r="H11" s="2" t="s">
        <v>1735</v>
      </c>
      <c r="I11" s="2" t="str">
        <f>_xlfn.XLOOKUP(Tabla_Presupuesto[[#This Row],[id_padre]],Tabla_Presupuesto[Id],Tabla_Presupuesto[Codigo_Tecnico],"",0,1)</f>
        <v>PRESUPUESTO_PARAMETROS</v>
      </c>
      <c r="J1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/presupuesto/parametros/actividades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actividades</v>
      </c>
      <c r="L11" s="2" t="s">
        <v>1466</v>
      </c>
      <c r="M11" s="2" t="s">
        <v>1792</v>
      </c>
      <c r="N11" s="4"/>
      <c r="O11" s="4"/>
      <c r="P11" s="4" t="s">
        <v>360</v>
      </c>
      <c r="Q11" s="4"/>
      <c r="U11" s="4" t="s">
        <v>360</v>
      </c>
      <c r="AA11" s="4" t="s">
        <v>360</v>
      </c>
      <c r="AB11" s="5"/>
      <c r="AC11" s="5"/>
      <c r="AD11" s="5"/>
      <c r="AE11" s="5"/>
      <c r="AF11" s="5" t="s">
        <v>360</v>
      </c>
      <c r="AG11" s="2" t="str">
        <f>IF(OR(Tabla_Presupuesto[[#This Row],[ROL_JEFE_CONT_PRESU]]="*",Tabla_Presupuesto[[#This Row],[ROL_JEFE_CONT_PRSU_HOSPI]]="*"),"*","")</f>
        <v/>
      </c>
    </row>
    <row r="12" spans="1:34" hidden="1" x14ac:dyDescent="0.5">
      <c r="A12" s="5">
        <f>MAX(Tabla_Contabilidad[Id])</f>
        <v>210</v>
      </c>
      <c r="B12" s="2">
        <v>212</v>
      </c>
      <c r="C12" s="5">
        <f>IF(Tabla_Presupuesto[[#This Row],[id_padre]]="",0,_xlfn.XLOOKUP(Tabla_Presupuesto[[#This Row],[id_padre]],Tabla_Presupuesto[Id],Tabla_Presupuesto[Nivel],0,0,1)+1)</f>
        <v>2</v>
      </c>
      <c r="D12" s="2" t="s">
        <v>199</v>
      </c>
      <c r="E12" s="2">
        <f>IF(Tabla_Presupuesto[[#This Row],[Id_anterior]]=1,ROW()-1,SUM(ROW()-1,Tabla_Presupuesto[[#This Row],[Id_anterior]]))</f>
        <v>221</v>
      </c>
      <c r="F1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PRESUPUESTO_PARAMETROS_PERIODOS_PLURIANUALES</v>
      </c>
      <c r="G12" s="2" t="str">
        <f>CLEAN(PROPER(Tabla_Presupuesto[[#This Row],[Nombre Opción]]))</f>
        <v>Periodos Plurianuales</v>
      </c>
      <c r="H12" s="2" t="s">
        <v>1735</v>
      </c>
      <c r="I12" s="2" t="str">
        <f>_xlfn.XLOOKUP(Tabla_Presupuesto[[#This Row],[id_padre]],Tabla_Presupuesto[Id],Tabla_Presupuesto[Codigo_Tecnico],"",0,1)</f>
        <v>PRESUPUESTO_PARAMETROS</v>
      </c>
      <c r="J1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/presupuesto/parametros/periodos-plurianuales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periodos-plurianuales</v>
      </c>
      <c r="L12" s="2" t="s">
        <v>1436</v>
      </c>
      <c r="M12" s="2" t="s">
        <v>1792</v>
      </c>
      <c r="N12" s="4"/>
      <c r="O12" s="4"/>
      <c r="P12" s="4" t="s">
        <v>360</v>
      </c>
      <c r="Q12" s="4"/>
      <c r="U12" s="4" t="s">
        <v>360</v>
      </c>
      <c r="AA12" s="4" t="s">
        <v>360</v>
      </c>
      <c r="AB12" s="5"/>
      <c r="AC12" s="5"/>
      <c r="AD12" s="5"/>
      <c r="AE12" s="5"/>
      <c r="AF12" s="5" t="s">
        <v>360</v>
      </c>
      <c r="AG12" s="2" t="str">
        <f>IF(OR(Tabla_Presupuesto[[#This Row],[ROL_JEFE_CONT_PRESU]]="*",Tabla_Presupuesto[[#This Row],[ROL_JEFE_CONT_PRSU_HOSPI]]="*"),"*","")</f>
        <v/>
      </c>
    </row>
    <row r="13" spans="1:34" x14ac:dyDescent="0.5">
      <c r="A13" s="5">
        <f>MAX(Tabla_Contabilidad[Id])</f>
        <v>210</v>
      </c>
      <c r="B13" s="2">
        <v>212</v>
      </c>
      <c r="C13" s="5">
        <f>IF(Tabla_Presupuesto[[#This Row],[id_padre]]="",0,_xlfn.XLOOKUP(Tabla_Presupuesto[[#This Row],[id_padre]],Tabla_Presupuesto[Id],Tabla_Presupuesto[Nivel],0,0,1)+1)</f>
        <v>2</v>
      </c>
      <c r="D13" s="2" t="s">
        <v>200</v>
      </c>
      <c r="E13" s="2">
        <f>IF(Tabla_Presupuesto[[#This Row],[Id_anterior]]=1,ROW()-1,SUM(ROW()-1,Tabla_Presupuesto[[#This Row],[Id_anterior]]))</f>
        <v>222</v>
      </c>
      <c r="F1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PRESUPUESTO_PARAMETROS_BLOQUEO/DESBLOQUEO_UNIDADES</v>
      </c>
      <c r="G13" s="2" t="str">
        <f>CLEAN(PROPER(Tabla_Presupuesto[[#This Row],[Nombre Opción]]))</f>
        <v>Bloqueo/Desbloqueo Unidades</v>
      </c>
      <c r="H13" s="2" t="s">
        <v>1735</v>
      </c>
      <c r="I13" s="2" t="str">
        <f>_xlfn.XLOOKUP(Tabla_Presupuesto[[#This Row],[id_padre]],Tabla_Presupuesto[Id],Tabla_Presupuesto[Codigo_Tecnico],"",0,1)</f>
        <v>PRESUPUESTO_PARAMETROS</v>
      </c>
      <c r="J1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/presupuesto/parametros/bloqueo/desbloqueo-unidades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bloqueo/desbloqueo-unidades</v>
      </c>
      <c r="L13" s="2" t="s">
        <v>1467</v>
      </c>
      <c r="M13" s="2" t="s">
        <v>1792</v>
      </c>
      <c r="N13" s="4"/>
      <c r="O13" s="4"/>
      <c r="P13" s="4" t="s">
        <v>360</v>
      </c>
      <c r="Q13" s="4"/>
      <c r="AA13" s="4" t="s">
        <v>360</v>
      </c>
      <c r="AB13" s="4" t="s">
        <v>360</v>
      </c>
      <c r="AC13" s="5"/>
      <c r="AD13" s="5"/>
      <c r="AE13" s="5"/>
      <c r="AF13" s="5" t="s">
        <v>360</v>
      </c>
      <c r="AG13" s="2" t="str">
        <f>IF(OR(Tabla_Presupuesto[[#This Row],[ROL_JEFE_CONT_PRESU]]="*",Tabla_Presupuesto[[#This Row],[ROL_JEFE_CONT_PRSU_HOSPI]]="*"),"*","")</f>
        <v>*</v>
      </c>
    </row>
    <row r="14" spans="1:34" x14ac:dyDescent="0.5">
      <c r="A14" s="5">
        <f>MAX(Tabla_Contabilidad[Id])</f>
        <v>210</v>
      </c>
      <c r="B14" s="2">
        <v>212</v>
      </c>
      <c r="C14" s="5">
        <f>IF(Tabla_Presupuesto[[#This Row],[id_padre]]="",0,_xlfn.XLOOKUP(Tabla_Presupuesto[[#This Row],[id_padre]],Tabla_Presupuesto[Id],Tabla_Presupuesto[Nivel],0,0,1)+1)</f>
        <v>2</v>
      </c>
      <c r="D14" s="2" t="s">
        <v>201</v>
      </c>
      <c r="E14" s="2">
        <f>IF(Tabla_Presupuesto[[#This Row],[Id_anterior]]=1,ROW()-1,SUM(ROW()-1,Tabla_Presupuesto[[#This Row],[Id_anterior]]))</f>
        <v>223</v>
      </c>
      <c r="F1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PRESUPUESTO_PARAMETROS_BLOQUEO/DESBLOQUEO_PRESUPUESTO_CENTRAL</v>
      </c>
      <c r="G14" s="2" t="str">
        <f>CLEAN(PROPER(Tabla_Presupuesto[[#This Row],[Nombre Opción]]))</f>
        <v>Bloqueo/Desbloqueo Presupuesto Central</v>
      </c>
      <c r="H14" s="2" t="s">
        <v>1735</v>
      </c>
      <c r="I14" s="2" t="str">
        <f>_xlfn.XLOOKUP(Tabla_Presupuesto[[#This Row],[id_padre]],Tabla_Presupuesto[Id],Tabla_Presupuesto[Codigo_Tecnico],"",0,1)</f>
        <v>PRESUPUESTO_PARAMETROS</v>
      </c>
      <c r="J1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/presupuesto/parametros/bloqueo/desbloqueo-presupuesto-central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bloqueo/desbloqueo-presupuesto-central</v>
      </c>
      <c r="L14" s="2" t="s">
        <v>1468</v>
      </c>
      <c r="M14" s="2" t="s">
        <v>1792</v>
      </c>
      <c r="N14" s="4"/>
      <c r="O14" s="4"/>
      <c r="P14" s="4" t="s">
        <v>360</v>
      </c>
      <c r="Q14" s="4"/>
      <c r="AA14" s="4" t="s">
        <v>360</v>
      </c>
      <c r="AB14" s="4" t="s">
        <v>360</v>
      </c>
      <c r="AC14" s="5"/>
      <c r="AD14" s="5"/>
      <c r="AE14" s="5"/>
      <c r="AF14" s="5" t="s">
        <v>360</v>
      </c>
      <c r="AG14" s="2" t="str">
        <f>IF(OR(Tabla_Presupuesto[[#This Row],[ROL_JEFE_CONT_PRESU]]="*",Tabla_Presupuesto[[#This Row],[ROL_JEFE_CONT_PRSU_HOSPI]]="*"),"*","")</f>
        <v>*</v>
      </c>
    </row>
    <row r="15" spans="1:34" x14ac:dyDescent="0.5">
      <c r="A15" s="5">
        <f>MAX(Tabla_Contabilidad[Id])</f>
        <v>210</v>
      </c>
      <c r="B15" s="2">
        <v>212</v>
      </c>
      <c r="C15" s="5">
        <f>IF(Tabla_Presupuesto[[#This Row],[id_padre]]="",0,_xlfn.XLOOKUP(Tabla_Presupuesto[[#This Row],[id_padre]],Tabla_Presupuesto[Id],Tabla_Presupuesto[Nivel],0,0,1)+1)</f>
        <v>2</v>
      </c>
      <c r="D15" s="2" t="s">
        <v>202</v>
      </c>
      <c r="E15" s="2">
        <f>IF(Tabla_Presupuesto[[#This Row],[Id_anterior]]=1,ROW()-1,SUM(ROW()-1,Tabla_Presupuesto[[#This Row],[Id_anterior]]))</f>
        <v>224</v>
      </c>
      <c r="F1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PRESUPUESTO_PARAMETROS_CREACION_Y_MANTENCION_VERSIONES</v>
      </c>
      <c r="G15" s="2" t="str">
        <f>CLEAN(PROPER(Tabla_Presupuesto[[#This Row],[Nombre Opción]]))</f>
        <v>Creacion Y Mantención De Versiones</v>
      </c>
      <c r="H15" s="2" t="s">
        <v>1735</v>
      </c>
      <c r="I15" s="2" t="str">
        <f>_xlfn.XLOOKUP(Tabla_Presupuesto[[#This Row],[id_padre]],Tabla_Presupuesto[Id],Tabla_Presupuesto[Codigo_Tecnico],"",0,1)</f>
        <v>PRESUPUESTO_PARAMETROS</v>
      </c>
      <c r="J1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/presupuesto/parametros/creacion-y-mantencion-versiones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creacion-y-mantencion-versiones</v>
      </c>
      <c r="L15" s="2" t="s">
        <v>1439</v>
      </c>
      <c r="M15" s="2" t="s">
        <v>1792</v>
      </c>
      <c r="N15" s="4"/>
      <c r="O15" s="4"/>
      <c r="P15" s="4" t="s">
        <v>360</v>
      </c>
      <c r="Q15" s="4"/>
      <c r="U15" s="4" t="s">
        <v>360</v>
      </c>
      <c r="X15" s="4" t="s">
        <v>360</v>
      </c>
      <c r="Y15" s="4" t="s">
        <v>360</v>
      </c>
      <c r="AA15" s="4" t="s">
        <v>360</v>
      </c>
      <c r="AB15" s="5" t="s">
        <v>360</v>
      </c>
      <c r="AC15" s="5"/>
      <c r="AD15" s="5"/>
      <c r="AE15" s="5"/>
      <c r="AF15" s="5" t="s">
        <v>360</v>
      </c>
      <c r="AG15" s="2" t="str">
        <f>IF(OR(Tabla_Presupuesto[[#This Row],[ROL_JEFE_CONT_PRESU]]="*",Tabla_Presupuesto[[#This Row],[ROL_JEFE_CONT_PRSU_HOSPI]]="*"),"*","")</f>
        <v>*</v>
      </c>
    </row>
    <row r="16" spans="1:34" x14ac:dyDescent="0.5">
      <c r="A16" s="5">
        <f>MAX(Tabla_Contabilidad[Id])</f>
        <v>210</v>
      </c>
      <c r="B16" s="2">
        <v>212</v>
      </c>
      <c r="C16" s="5">
        <f>IF(Tabla_Presupuesto[[#This Row],[id_padre]]="",0,_xlfn.XLOOKUP(Tabla_Presupuesto[[#This Row],[id_padre]],Tabla_Presupuesto[Id],Tabla_Presupuesto[Nivel],0,0,1)+1)</f>
        <v>2</v>
      </c>
      <c r="D16" s="2" t="s">
        <v>203</v>
      </c>
      <c r="E16" s="2">
        <f>IF(Tabla_Presupuesto[[#This Row],[Id_anterior]]=1,ROW()-1,SUM(ROW()-1,Tabla_Presupuesto[[#This Row],[Id_anterior]]))</f>
        <v>225</v>
      </c>
      <c r="F1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PRESUPUESTO_PARAMETROS_INFORMACION_ENTIDAD_CONSOLIDADORA</v>
      </c>
      <c r="G16" s="2" t="str">
        <f>CLEAN(PROPER(Tabla_Presupuesto[[#This Row],[Nombre Opción]]))</f>
        <v>Información Entidad Consolidadora</v>
      </c>
      <c r="H16" s="2" t="s">
        <v>1735</v>
      </c>
      <c r="I16" s="2" t="str">
        <f>_xlfn.XLOOKUP(Tabla_Presupuesto[[#This Row],[id_padre]],Tabla_Presupuesto[Id],Tabla_Presupuesto[Codigo_Tecnico],"",0,1)</f>
        <v>PRESUPUESTO_PARAMETROS</v>
      </c>
      <c r="J1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/presupuesto/parametros/informacion-entidad-consolidadora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informacion-entidad-consolidadora</v>
      </c>
      <c r="L16" s="2" t="s">
        <v>1401</v>
      </c>
      <c r="M16" s="2" t="s">
        <v>1792</v>
      </c>
      <c r="N16" s="4"/>
      <c r="O16" s="4"/>
      <c r="P16" s="4" t="s">
        <v>360</v>
      </c>
      <c r="Q16" s="4"/>
      <c r="U16" s="4" t="s">
        <v>360</v>
      </c>
      <c r="AA16" s="4" t="s">
        <v>360</v>
      </c>
      <c r="AB16" s="5" t="s">
        <v>360</v>
      </c>
      <c r="AC16" s="5"/>
      <c r="AD16" s="5"/>
      <c r="AE16" s="5"/>
      <c r="AF16" s="5" t="s">
        <v>360</v>
      </c>
      <c r="AG16" s="2" t="str">
        <f>IF(OR(Tabla_Presupuesto[[#This Row],[ROL_JEFE_CONT_PRESU]]="*",Tabla_Presupuesto[[#This Row],[ROL_JEFE_CONT_PRSU_HOSPI]]="*"),"*","")</f>
        <v>*</v>
      </c>
    </row>
    <row r="17" spans="1:33" x14ac:dyDescent="0.5">
      <c r="A17" s="5">
        <f>MAX(Tabla_Contabilidad[Id])</f>
        <v>210</v>
      </c>
      <c r="B17" s="2">
        <v>212</v>
      </c>
      <c r="C17" s="5">
        <f>IF(Tabla_Presupuesto[[#This Row],[id_padre]]="",0,_xlfn.XLOOKUP(Tabla_Presupuesto[[#This Row],[id_padre]],Tabla_Presupuesto[Id],Tabla_Presupuesto[Nivel],0,0,1)+1)</f>
        <v>2</v>
      </c>
      <c r="D17" s="2" t="s">
        <v>204</v>
      </c>
      <c r="E17" s="2">
        <f>IF(Tabla_Presupuesto[[#This Row],[Id_anterior]]=1,ROW()-1,SUM(ROW()-1,Tabla_Presupuesto[[#This Row],[Id_anterior]]))</f>
        <v>226</v>
      </c>
      <c r="F1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PRESUPUESTO_PARAMETROS_MARCO_ENTIDAD</v>
      </c>
      <c r="G17" s="2" t="str">
        <f>CLEAN(PROPER(Tabla_Presupuesto[[#This Row],[Nombre Opción]]))</f>
        <v>Marco Entidad</v>
      </c>
      <c r="H17" s="2" t="s">
        <v>1735</v>
      </c>
      <c r="I17" s="2" t="str">
        <f>_xlfn.XLOOKUP(Tabla_Presupuesto[[#This Row],[id_padre]],Tabla_Presupuesto[Id],Tabla_Presupuesto[Codigo_Tecnico],"",0,1)</f>
        <v>PRESUPUESTO_PARAMETROS</v>
      </c>
      <c r="J1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/presupuesto/parametros/marco-entidad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marco-entidad</v>
      </c>
      <c r="L17" s="2" t="s">
        <v>1469</v>
      </c>
      <c r="M17" s="2" t="s">
        <v>1792</v>
      </c>
      <c r="N17" s="4"/>
      <c r="O17" s="4"/>
      <c r="P17" s="4" t="s">
        <v>360</v>
      </c>
      <c r="Q17" s="4"/>
      <c r="U17" s="4" t="s">
        <v>360</v>
      </c>
      <c r="AA17" s="4" t="s">
        <v>360</v>
      </c>
      <c r="AB17" s="5" t="s">
        <v>360</v>
      </c>
      <c r="AC17" s="5"/>
      <c r="AD17" s="5"/>
      <c r="AE17" s="5"/>
      <c r="AF17" s="5" t="s">
        <v>360</v>
      </c>
      <c r="AG17" s="2" t="str">
        <f>IF(OR(Tabla_Presupuesto[[#This Row],[ROL_JEFE_CONT_PRESU]]="*",Tabla_Presupuesto[[#This Row],[ROL_JEFE_CONT_PRSU_HOSPI]]="*"),"*","")</f>
        <v>*</v>
      </c>
    </row>
    <row r="18" spans="1:33" x14ac:dyDescent="0.5">
      <c r="A18" s="5">
        <f>MAX(Tabla_Contabilidad[Id])</f>
        <v>210</v>
      </c>
      <c r="B18" s="2">
        <v>212</v>
      </c>
      <c r="C18" s="5">
        <f>IF(Tabla_Presupuesto[[#This Row],[id_padre]]="",0,_xlfn.XLOOKUP(Tabla_Presupuesto[[#This Row],[id_padre]],Tabla_Presupuesto[Id],Tabla_Presupuesto[Nivel],0,0,1)+1)</f>
        <v>2</v>
      </c>
      <c r="D18" s="2" t="s">
        <v>215</v>
      </c>
      <c r="E18" s="2">
        <f>IF(Tabla_Presupuesto[[#This Row],[Id_anterior]]=1,ROW()-1,SUM(ROW()-1,Tabla_Presupuesto[[#This Row],[Id_anterior]]))</f>
        <v>227</v>
      </c>
      <c r="F1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PRESUPUESTO_PARAMETROS_INFORMACION_UNIDAD</v>
      </c>
      <c r="G18" s="2" t="str">
        <f>CLEAN(PROPER(Tabla_Presupuesto[[#This Row],[Nombre Opción]]))</f>
        <v>Informacion Unidad</v>
      </c>
      <c r="H18" s="2" t="s">
        <v>1735</v>
      </c>
      <c r="I18" s="2" t="str">
        <f>_xlfn.XLOOKUP(Tabla_Presupuesto[[#This Row],[id_padre]],Tabla_Presupuesto[Id],Tabla_Presupuesto[Codigo_Tecnico],"",0,1)</f>
        <v>PRESUPUESTO_PARAMETROS</v>
      </c>
      <c r="J1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/presupuesto/parametros/informacion-unidad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informacion-unidad</v>
      </c>
      <c r="L18" s="2" t="s">
        <v>1341</v>
      </c>
      <c r="M18" s="2" t="s">
        <v>1792</v>
      </c>
      <c r="N18" s="4"/>
      <c r="O18" s="4"/>
      <c r="P18" s="4" t="s">
        <v>360</v>
      </c>
      <c r="Q18" s="4"/>
      <c r="U18" s="4" t="s">
        <v>360</v>
      </c>
      <c r="X18" s="4" t="s">
        <v>360</v>
      </c>
      <c r="Y18" s="4" t="s">
        <v>360</v>
      </c>
      <c r="AA18" s="4" t="s">
        <v>360</v>
      </c>
      <c r="AB18" s="5" t="s">
        <v>360</v>
      </c>
      <c r="AC18" s="5"/>
      <c r="AD18" s="5"/>
      <c r="AE18" s="5"/>
      <c r="AF18" s="5" t="s">
        <v>360</v>
      </c>
      <c r="AG18" s="2" t="str">
        <f>IF(OR(Tabla_Presupuesto[[#This Row],[ROL_JEFE_CONT_PRESU]]="*",Tabla_Presupuesto[[#This Row],[ROL_JEFE_CONT_PRSU_HOSPI]]="*"),"*","")</f>
        <v>*</v>
      </c>
    </row>
    <row r="19" spans="1:33" x14ac:dyDescent="0.5">
      <c r="A19" s="5">
        <f>MAX(Tabla_Contabilidad[Id])</f>
        <v>210</v>
      </c>
      <c r="B19" s="2">
        <v>212</v>
      </c>
      <c r="C19" s="5">
        <f>IF(Tabla_Presupuesto[[#This Row],[id_padre]]="",0,_xlfn.XLOOKUP(Tabla_Presupuesto[[#This Row],[id_padre]],Tabla_Presupuesto[Id],Tabla_Presupuesto[Nivel],0,0,1)+1)</f>
        <v>2</v>
      </c>
      <c r="D19" s="2" t="s">
        <v>1325</v>
      </c>
      <c r="E19" s="2">
        <f>IF(Tabla_Presupuesto[[#This Row],[Id_anterior]]=1,ROW()-1,SUM(ROW()-1,Tabla_Presupuesto[[#This Row],[Id_anterior]]))</f>
        <v>228</v>
      </c>
      <c r="F1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PRESUPUESTO_PARAMETROS_MARCO_UNIDAD</v>
      </c>
      <c r="G19" s="2" t="str">
        <f>CLEAN(PROPER(Tabla_Presupuesto[[#This Row],[Nombre Opción]]))</f>
        <v>Marco Unidad</v>
      </c>
      <c r="H19" s="2" t="s">
        <v>1735</v>
      </c>
      <c r="I19" s="2" t="str">
        <f>_xlfn.XLOOKUP(Tabla_Presupuesto[[#This Row],[id_padre]],Tabla_Presupuesto[Id],Tabla_Presupuesto[Codigo_Tecnico],"",0,1)</f>
        <v>PRESUPUESTO_PARAMETROS</v>
      </c>
      <c r="J1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/presupuesto/parametros/marco-unidad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marco-unidad</v>
      </c>
      <c r="L19" s="2" t="s">
        <v>1470</v>
      </c>
      <c r="M19" s="2" t="s">
        <v>1792</v>
      </c>
      <c r="N19" s="4"/>
      <c r="O19" s="4"/>
      <c r="P19" s="4" t="s">
        <v>360</v>
      </c>
      <c r="Q19" s="4"/>
      <c r="U19" s="4" t="s">
        <v>360</v>
      </c>
      <c r="X19" s="4" t="s">
        <v>360</v>
      </c>
      <c r="Y19" s="4" t="s">
        <v>360</v>
      </c>
      <c r="AA19" s="4" t="s">
        <v>360</v>
      </c>
      <c r="AB19" s="5" t="s">
        <v>360</v>
      </c>
      <c r="AC19" s="5"/>
      <c r="AD19" s="5"/>
      <c r="AE19" s="5"/>
      <c r="AF19" s="5" t="s">
        <v>360</v>
      </c>
      <c r="AG19" s="2" t="str">
        <f>IF(OR(Tabla_Presupuesto[[#This Row],[ROL_JEFE_CONT_PRESU]]="*",Tabla_Presupuesto[[#This Row],[ROL_JEFE_CONT_PRSU_HOSPI]]="*"),"*","")</f>
        <v>*</v>
      </c>
    </row>
    <row r="20" spans="1:33" x14ac:dyDescent="0.5">
      <c r="A20" s="5">
        <f>MAX(Tabla_Contabilidad[Id])</f>
        <v>210</v>
      </c>
      <c r="B20" s="2">
        <v>228</v>
      </c>
      <c r="C20" s="5">
        <f>IF(Tabla_Presupuesto[[#This Row],[id_padre]]="",0,_xlfn.XLOOKUP(Tabla_Presupuesto[[#This Row],[id_padre]],Tabla_Presupuesto[Id],Tabla_Presupuesto[Nivel],0,0,1)+1)</f>
        <v>3</v>
      </c>
      <c r="D20" s="2" t="s">
        <v>434</v>
      </c>
      <c r="E20" s="2">
        <f>IF(Tabla_Presupuesto[[#This Row],[Id_anterior]]=1,ROW()-1,SUM(ROW()-1,Tabla_Presupuesto[[#This Row],[Id_anterior]]))</f>
        <v>229</v>
      </c>
      <c r="F2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PRESUPUESTO_PARAMETROS_MARCO_UNIDAD_UNIDAD_INTERNA</v>
      </c>
      <c r="G20" s="2" t="str">
        <f>CLEAN(PROPER(Tabla_Presupuesto[[#This Row],[Nombre Opción]]))</f>
        <v>Unidad Interna</v>
      </c>
      <c r="H20" s="2" t="s">
        <v>1735</v>
      </c>
      <c r="I20" s="2" t="str">
        <f>_xlfn.XLOOKUP(Tabla_Presupuesto[[#This Row],[id_padre]],Tabla_Presupuesto[Id],Tabla_Presupuesto[Codigo_Tecnico],"",0,1)</f>
        <v>PRESUPUESTO_PARAMETROS_MARCO_UNIDAD</v>
      </c>
      <c r="J2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/presupuesto/parametros/marco-unidad/unidad-interna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unidad-interna</v>
      </c>
      <c r="L20" s="2" t="s">
        <v>1389</v>
      </c>
      <c r="M20" s="2" t="s">
        <v>1792</v>
      </c>
      <c r="N20" s="4"/>
      <c r="O20" s="4"/>
      <c r="P20" s="4" t="s">
        <v>360</v>
      </c>
      <c r="Q20" s="4"/>
      <c r="U20" s="4" t="s">
        <v>360</v>
      </c>
      <c r="X20" s="4" t="s">
        <v>360</v>
      </c>
      <c r="Y20" s="4" t="s">
        <v>360</v>
      </c>
      <c r="AA20" s="4" t="s">
        <v>360</v>
      </c>
      <c r="AB20" s="5" t="s">
        <v>360</v>
      </c>
      <c r="AC20" s="5"/>
      <c r="AD20" s="5"/>
      <c r="AE20" s="5"/>
      <c r="AF20" s="5" t="s">
        <v>360</v>
      </c>
      <c r="AG20" s="2" t="str">
        <f>IF(OR(Tabla_Presupuesto[[#This Row],[ROL_JEFE_CONT_PRESU]]="*",Tabla_Presupuesto[[#This Row],[ROL_JEFE_CONT_PRSU_HOSPI]]="*"),"*","")</f>
        <v>*</v>
      </c>
    </row>
    <row r="21" spans="1:33" x14ac:dyDescent="0.5">
      <c r="A21" s="5">
        <f>MAX(Tabla_Contabilidad[Id])</f>
        <v>210</v>
      </c>
      <c r="B21" s="2">
        <v>212</v>
      </c>
      <c r="C21" s="5">
        <f>IF(Tabla_Presupuesto[[#This Row],[id_padre]]="",0,_xlfn.XLOOKUP(Tabla_Presupuesto[[#This Row],[id_padre]],Tabla_Presupuesto[Id],Tabla_Presupuesto[Nivel],0,0,1)+1)</f>
        <v>2</v>
      </c>
      <c r="D21" s="2" t="s">
        <v>216</v>
      </c>
      <c r="E21" s="2">
        <f>IF(Tabla_Presupuesto[[#This Row],[Id_anterior]]=1,ROW()-1,SUM(ROW()-1,Tabla_Presupuesto[[#This Row],[Id_anterior]]))</f>
        <v>230</v>
      </c>
      <c r="F2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PRESUPUESTO_PARAMETROS_PIE_FIRMA_RESOLUCION_PAGO</v>
      </c>
      <c r="G21" s="2" t="str">
        <f>CLEAN(PROPER(Tabla_Presupuesto[[#This Row],[Nombre Opción]]))</f>
        <v>Pie De Firma Resolucion De Pago</v>
      </c>
      <c r="H21" s="2" t="s">
        <v>1735</v>
      </c>
      <c r="I21" s="2" t="str">
        <f>_xlfn.XLOOKUP(Tabla_Presupuesto[[#This Row],[id_padre]],Tabla_Presupuesto[Id],Tabla_Presupuesto[Codigo_Tecnico],"",0,1)</f>
        <v>PRESUPUESTO_PARAMETROS</v>
      </c>
      <c r="J2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/presupuesto/parametros/pie-firma-resolucion-pago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pie-firma-resolucion-pago</v>
      </c>
      <c r="L21" s="2" t="s">
        <v>1471</v>
      </c>
      <c r="M21" s="2" t="s">
        <v>1792</v>
      </c>
      <c r="N21" s="4"/>
      <c r="O21" s="4"/>
      <c r="P21" s="4" t="s">
        <v>360</v>
      </c>
      <c r="Q21" s="4"/>
      <c r="U21" s="4" t="s">
        <v>360</v>
      </c>
      <c r="X21" s="4" t="s">
        <v>360</v>
      </c>
      <c r="Y21" s="4" t="s">
        <v>360</v>
      </c>
      <c r="AA21" s="4" t="s">
        <v>360</v>
      </c>
      <c r="AB21" s="5" t="s">
        <v>360</v>
      </c>
      <c r="AC21" s="5"/>
      <c r="AD21" s="5"/>
      <c r="AE21" s="5"/>
      <c r="AF21" s="5" t="s">
        <v>360</v>
      </c>
      <c r="AG21" s="2" t="str">
        <f>IF(OR(Tabla_Presupuesto[[#This Row],[ROL_JEFE_CONT_PRESU]]="*",Tabla_Presupuesto[[#This Row],[ROL_JEFE_CONT_PRSU_HOSPI]]="*"),"*","")</f>
        <v>*</v>
      </c>
    </row>
    <row r="22" spans="1:33" x14ac:dyDescent="0.5">
      <c r="A22" s="5">
        <f>MAX(Tabla_Contabilidad[Id])</f>
        <v>210</v>
      </c>
      <c r="B22" s="2">
        <v>212</v>
      </c>
      <c r="C22" s="5">
        <f>IF(Tabla_Presupuesto[[#This Row],[id_padre]]="",0,_xlfn.XLOOKUP(Tabla_Presupuesto[[#This Row],[id_padre]],Tabla_Presupuesto[Id],Tabla_Presupuesto[Nivel],0,0,1)+1)</f>
        <v>2</v>
      </c>
      <c r="D22" s="2" t="s">
        <v>217</v>
      </c>
      <c r="E22" s="2">
        <f>IF(Tabla_Presupuesto[[#This Row],[Id_anterior]]=1,ROW()-1,SUM(ROW()-1,Tabla_Presupuesto[[#This Row],[Id_anterior]]))</f>
        <v>231</v>
      </c>
      <c r="F2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PRESUPUESTO_PARAMETROS_PIE_FIRMA_FLUJO_CAJA</v>
      </c>
      <c r="G22" s="2" t="str">
        <f>CLEAN(PROPER(Tabla_Presupuesto[[#This Row],[Nombre Opción]]))</f>
        <v>Pie De Firma Flujo De Caja</v>
      </c>
      <c r="H22" s="2" t="s">
        <v>1735</v>
      </c>
      <c r="I22" s="2" t="str">
        <f>_xlfn.XLOOKUP(Tabla_Presupuesto[[#This Row],[id_padre]],Tabla_Presupuesto[Id],Tabla_Presupuesto[Codigo_Tecnico],"",0,1)</f>
        <v>PRESUPUESTO_PARAMETROS</v>
      </c>
      <c r="J2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/presupuesto/parametros/pie-firma-flujo-caja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pie-firma-flujo-caja</v>
      </c>
      <c r="L22" s="2" t="s">
        <v>1405</v>
      </c>
      <c r="M22" s="2" t="s">
        <v>1792</v>
      </c>
      <c r="N22" s="4"/>
      <c r="O22" s="4"/>
      <c r="P22" s="4" t="s">
        <v>360</v>
      </c>
      <c r="Q22" s="4"/>
      <c r="U22" s="4" t="s">
        <v>360</v>
      </c>
      <c r="X22" s="4" t="s">
        <v>360</v>
      </c>
      <c r="Y22" s="4" t="s">
        <v>360</v>
      </c>
      <c r="AA22" s="4" t="s">
        <v>360</v>
      </c>
      <c r="AB22" s="5" t="s">
        <v>360</v>
      </c>
      <c r="AC22" s="5"/>
      <c r="AD22" s="5"/>
      <c r="AE22" s="5"/>
      <c r="AF22" s="5" t="s">
        <v>360</v>
      </c>
      <c r="AG22" s="2" t="str">
        <f>IF(OR(Tabla_Presupuesto[[#This Row],[ROL_JEFE_CONT_PRESU]]="*",Tabla_Presupuesto[[#This Row],[ROL_JEFE_CONT_PRSU_HOSPI]]="*"),"*","")</f>
        <v>*</v>
      </c>
    </row>
    <row r="23" spans="1:33" hidden="1" x14ac:dyDescent="0.5">
      <c r="A23" s="5">
        <f>MAX(Tabla_Contabilidad[Id])</f>
        <v>210</v>
      </c>
      <c r="B23" s="2">
        <v>213</v>
      </c>
      <c r="C23" s="5">
        <f>IF(Tabla_Presupuesto[[#This Row],[id_padre]]="",0,_xlfn.XLOOKUP(Tabla_Presupuesto[[#This Row],[id_padre]],Tabla_Presupuesto[Id],Tabla_Presupuesto[Nivel],0,0,1)+1)</f>
        <v>2</v>
      </c>
      <c r="D23" s="2" t="s">
        <v>218</v>
      </c>
      <c r="E23" s="2">
        <f>IF(Tabla_Presupuesto[[#This Row],[Id_anterior]]=1,ROW()-1,SUM(ROW()-1,Tabla_Presupuesto[[#This Row],[Id_anterior]]))</f>
        <v>232</v>
      </c>
      <c r="F2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PRESUPUESTO_PROCESOS_MODIFICACIONES_PRESUPUESTARIAS</v>
      </c>
      <c r="G23" s="2" t="str">
        <f>CLEAN(PROPER(Tabla_Presupuesto[[#This Row],[Nombre Opción]]))</f>
        <v>Modificaciones Presupuestarias</v>
      </c>
      <c r="H23" s="2" t="s">
        <v>1735</v>
      </c>
      <c r="I23" s="2" t="str">
        <f>_xlfn.XLOOKUP(Tabla_Presupuesto[[#This Row],[id_padre]],Tabla_Presupuesto[Id],Tabla_Presupuesto[Codigo_Tecnico],"",0,1)</f>
        <v>PRESUPUESTO_PROCESOS</v>
      </c>
      <c r="J2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/presupuesto/procesos/modificaciones-presupuestarias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modificaciones-presupuestarias</v>
      </c>
      <c r="L23" s="2" t="s">
        <v>1472</v>
      </c>
      <c r="M23" s="2" t="s">
        <v>1792</v>
      </c>
      <c r="N23" s="4"/>
      <c r="O23" s="4"/>
      <c r="P23" s="4" t="s">
        <v>360</v>
      </c>
      <c r="Q23" s="4" t="s">
        <v>360</v>
      </c>
      <c r="U23" s="4" t="s">
        <v>360</v>
      </c>
      <c r="X23" s="4" t="s">
        <v>360</v>
      </c>
      <c r="Y23" s="4" t="s">
        <v>360</v>
      </c>
      <c r="AA23" s="4" t="s">
        <v>360</v>
      </c>
      <c r="AB23" s="5"/>
      <c r="AC23" s="5"/>
      <c r="AD23" s="5"/>
      <c r="AE23" s="5"/>
      <c r="AF23" s="5" t="s">
        <v>360</v>
      </c>
      <c r="AG23" s="2" t="str">
        <f>IF(OR(Tabla_Presupuesto[[#This Row],[ROL_JEFE_CONT_PRESU]]="*",Tabla_Presupuesto[[#This Row],[ROL_JEFE_CONT_PRSU_HOSPI]]="*"),"*","")</f>
        <v>*</v>
      </c>
    </row>
    <row r="24" spans="1:33" hidden="1" x14ac:dyDescent="0.5">
      <c r="A24" s="5">
        <f>MAX(Tabla_Contabilidad[Id])</f>
        <v>210</v>
      </c>
      <c r="B24" s="2">
        <v>232</v>
      </c>
      <c r="C24" s="5">
        <f>IF(Tabla_Presupuesto[[#This Row],[id_padre]]="",0,_xlfn.XLOOKUP(Tabla_Presupuesto[[#This Row],[id_padre]],Tabla_Presupuesto[Id],Tabla_Presupuesto[Nivel],0,0,1)+1)</f>
        <v>3</v>
      </c>
      <c r="D24" s="2" t="s">
        <v>219</v>
      </c>
      <c r="E24" s="2">
        <f>IF(Tabla_Presupuesto[[#This Row],[Id_anterior]]=1,ROW()-1,SUM(ROW()-1,Tabla_Presupuesto[[#This Row],[Id_anterior]]))</f>
        <v>233</v>
      </c>
      <c r="F2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PRESUPUESTO_PROCESOS_MODIFICACIONES_PRESUPUESTARIAS_NUEVAS_TAREAS_ASOCIACION_ITEM_TAREAS</v>
      </c>
      <c r="G24" s="2" t="str">
        <f>CLEAN(PROPER(Tabla_Presupuesto[[#This Row],[Nombre Opción]]))</f>
        <v>Nuevas Tareas Y/O Asociacion Item A Tareas</v>
      </c>
      <c r="H24" s="2" t="s">
        <v>1735</v>
      </c>
      <c r="I24" s="2" t="str">
        <f>_xlfn.XLOOKUP(Tabla_Presupuesto[[#This Row],[id_padre]],Tabla_Presupuesto[Id],Tabla_Presupuesto[Codigo_Tecnico],"",0,1)</f>
        <v>PRESUPUESTO_PROCESOS_MODIFICACIONES_PRESUPUESTARIAS</v>
      </c>
      <c r="J2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/presupuesto/procesos/modificaciones-presupuestarias/nuevas-tareas-asociacion-item-tareas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nuevas-tareas-asociacion-item-tareas</v>
      </c>
      <c r="L24" s="2" t="s">
        <v>1473</v>
      </c>
      <c r="M24" s="2" t="s">
        <v>1792</v>
      </c>
      <c r="N24" s="4"/>
      <c r="O24" s="4"/>
      <c r="P24" s="4" t="s">
        <v>360</v>
      </c>
      <c r="Q24" s="4" t="s">
        <v>360</v>
      </c>
      <c r="U24" s="4" t="s">
        <v>360</v>
      </c>
      <c r="X24" s="4" t="s">
        <v>360</v>
      </c>
      <c r="Y24" s="4" t="s">
        <v>360</v>
      </c>
      <c r="AA24" s="4" t="s">
        <v>360</v>
      </c>
      <c r="AB24" s="5"/>
      <c r="AC24" s="5"/>
      <c r="AD24" s="5"/>
      <c r="AE24" s="5"/>
      <c r="AF24" s="5" t="s">
        <v>360</v>
      </c>
      <c r="AG24" s="2" t="str">
        <f>IF(OR(Tabla_Presupuesto[[#This Row],[ROL_JEFE_CONT_PRESU]]="*",Tabla_Presupuesto[[#This Row],[ROL_JEFE_CONT_PRSU_HOSPI]]="*"),"*","")</f>
        <v>*</v>
      </c>
    </row>
    <row r="25" spans="1:33" hidden="1" x14ac:dyDescent="0.5">
      <c r="A25" s="5">
        <f>MAX(Tabla_Contabilidad[Id])</f>
        <v>210</v>
      </c>
      <c r="B25" s="2">
        <v>232</v>
      </c>
      <c r="C25" s="5">
        <f>IF(Tabla_Presupuesto[[#This Row],[id_padre]]="",0,_xlfn.XLOOKUP(Tabla_Presupuesto[[#This Row],[id_padre]],Tabla_Presupuesto[Id],Tabla_Presupuesto[Nivel],0,0,1)+1)</f>
        <v>3</v>
      </c>
      <c r="D25" s="2" t="s">
        <v>220</v>
      </c>
      <c r="E25" s="2">
        <f>IF(Tabla_Presupuesto[[#This Row],[Id_anterior]]=1,ROW()-1,SUM(ROW()-1,Tabla_Presupuesto[[#This Row],[Id_anterior]]))</f>
        <v>234</v>
      </c>
      <c r="F2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PRESUPUESTO_PROCESOS_MODIFICACIONES_PRESUPUESTARIAS_ENTRADA_MODIFICACIONES_PRESUPUESTARIAS</v>
      </c>
      <c r="G25" s="2" t="str">
        <f>CLEAN(PROPER(Tabla_Presupuesto[[#This Row],[Nombre Opción]]))</f>
        <v>Entrada De Modificaciones Presupuestarias</v>
      </c>
      <c r="H25" s="2" t="s">
        <v>1735</v>
      </c>
      <c r="I25" s="2" t="str">
        <f>_xlfn.XLOOKUP(Tabla_Presupuesto[[#This Row],[id_padre]],Tabla_Presupuesto[Id],Tabla_Presupuesto[Codigo_Tecnico],"",0,1)</f>
        <v>PRESUPUESTO_PROCESOS_MODIFICACIONES_PRESUPUESTARIAS</v>
      </c>
      <c r="J2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/presupuesto/procesos/modificaciones-presupuestarias/entrada-modificaciones-presupuestarias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entrada-modificaciones-presupuestarias</v>
      </c>
      <c r="L25" s="2" t="s">
        <v>1419</v>
      </c>
      <c r="M25" s="2" t="s">
        <v>1792</v>
      </c>
      <c r="N25" s="4"/>
      <c r="O25" s="4"/>
      <c r="P25" s="4" t="s">
        <v>360</v>
      </c>
      <c r="Q25" s="4" t="s">
        <v>360</v>
      </c>
      <c r="U25" s="4" t="s">
        <v>360</v>
      </c>
      <c r="X25" s="4" t="s">
        <v>360</v>
      </c>
      <c r="Y25" s="4" t="s">
        <v>360</v>
      </c>
      <c r="AA25" s="4" t="s">
        <v>360</v>
      </c>
      <c r="AB25" s="5"/>
      <c r="AC25" s="5"/>
      <c r="AD25" s="5"/>
      <c r="AE25" s="5"/>
      <c r="AF25" s="5" t="s">
        <v>360</v>
      </c>
      <c r="AG25" s="2" t="str">
        <f>IF(OR(Tabla_Presupuesto[[#This Row],[ROL_JEFE_CONT_PRESU]]="*",Tabla_Presupuesto[[#This Row],[ROL_JEFE_CONT_PRSU_HOSPI]]="*"),"*","")</f>
        <v>*</v>
      </c>
    </row>
    <row r="26" spans="1:33" hidden="1" x14ac:dyDescent="0.5">
      <c r="A26" s="5">
        <f>MAX(Tabla_Contabilidad[Id])</f>
        <v>210</v>
      </c>
      <c r="B26" s="2">
        <v>213</v>
      </c>
      <c r="C26" s="5">
        <f>IF(Tabla_Presupuesto[[#This Row],[id_padre]]="",0,_xlfn.XLOOKUP(Tabla_Presupuesto[[#This Row],[id_padre]],Tabla_Presupuesto[Id],Tabla_Presupuesto[Nivel],0,0,1)+1)</f>
        <v>2</v>
      </c>
      <c r="D26" s="2" t="s">
        <v>221</v>
      </c>
      <c r="E26" s="2">
        <f>IF(Tabla_Presupuesto[[#This Row],[Id_anterior]]=1,ROW()-1,SUM(ROW()-1,Tabla_Presupuesto[[#This Row],[Id_anterior]]))</f>
        <v>235</v>
      </c>
      <c r="F2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PRESUPUESTO_PROCESOS_PROGRAMA_CAJA</v>
      </c>
      <c r="G26" s="2" t="str">
        <f>CLEAN(PROPER(Tabla_Presupuesto[[#This Row],[Nombre Opción]]))</f>
        <v>Programa Caja</v>
      </c>
      <c r="H26" s="2" t="s">
        <v>1735</v>
      </c>
      <c r="I26" s="2" t="str">
        <f>_xlfn.XLOOKUP(Tabla_Presupuesto[[#This Row],[id_padre]],Tabla_Presupuesto[Id],Tabla_Presupuesto[Codigo_Tecnico],"",0,1)</f>
        <v>PRESUPUESTO_PROCESOS</v>
      </c>
      <c r="J2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/presupuesto/procesos/programa-caja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programa-caja</v>
      </c>
      <c r="L26" s="2" t="s">
        <v>1393</v>
      </c>
      <c r="M26" s="2" t="s">
        <v>1792</v>
      </c>
      <c r="N26" s="4"/>
      <c r="O26" s="4"/>
      <c r="P26" s="4" t="s">
        <v>360</v>
      </c>
      <c r="Q26" s="4"/>
      <c r="AA26" s="4" t="s">
        <v>360</v>
      </c>
      <c r="AB26" s="5"/>
      <c r="AC26" s="5"/>
      <c r="AD26" s="5"/>
      <c r="AE26" s="5"/>
      <c r="AF26" s="5" t="s">
        <v>360</v>
      </c>
      <c r="AG26" s="2" t="str">
        <f>IF(OR(Tabla_Presupuesto[[#This Row],[ROL_JEFE_CONT_PRESU]]="*",Tabla_Presupuesto[[#This Row],[ROL_JEFE_CONT_PRSU_HOSPI]]="*"),"*","")</f>
        <v/>
      </c>
    </row>
    <row r="27" spans="1:33" hidden="1" x14ac:dyDescent="0.5">
      <c r="A27" s="5">
        <f>MAX(Tabla_Contabilidad[Id])</f>
        <v>210</v>
      </c>
      <c r="B27" s="2">
        <v>235</v>
      </c>
      <c r="C27" s="5">
        <f>IF(Tabla_Presupuesto[[#This Row],[id_padre]]="",0,_xlfn.XLOOKUP(Tabla_Presupuesto[[#This Row],[id_padre]],Tabla_Presupuesto[Id],Tabla_Presupuesto[Nivel],0,0,1)+1)</f>
        <v>3</v>
      </c>
      <c r="D27" s="2" t="s">
        <v>223</v>
      </c>
      <c r="E27" s="2">
        <f>IF(Tabla_Presupuesto[[#This Row],[Id_anterior]]=1,ROW()-1,SUM(ROW()-1,Tabla_Presupuesto[[#This Row],[Id_anterior]]))</f>
        <v>236</v>
      </c>
      <c r="F2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PRESUPUESTO_PROCESOS_PROGRAMA_CAJA_ENTRADA_PROGRAMA_CAJA</v>
      </c>
      <c r="G27" s="2" t="str">
        <f>CLEAN(PROPER(Tabla_Presupuesto[[#This Row],[Nombre Opción]]))</f>
        <v>Entrada Programa De Caja</v>
      </c>
      <c r="H27" s="2" t="s">
        <v>1735</v>
      </c>
      <c r="I27" s="2" t="str">
        <f>_xlfn.XLOOKUP(Tabla_Presupuesto[[#This Row],[id_padre]],Tabla_Presupuesto[Id],Tabla_Presupuesto[Codigo_Tecnico],"",0,1)</f>
        <v>PRESUPUESTO_PROCESOS_PROGRAMA_CAJA</v>
      </c>
      <c r="J2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/presupuesto/procesos/programa-caja/entrada-programa-caja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entrada-programa-caja</v>
      </c>
      <c r="L27" s="2" t="s">
        <v>1365</v>
      </c>
      <c r="M27" s="2" t="s">
        <v>1792</v>
      </c>
      <c r="N27" s="4"/>
      <c r="O27" s="4"/>
      <c r="P27" s="4" t="s">
        <v>360</v>
      </c>
      <c r="Q27" s="4"/>
      <c r="AA27" s="4" t="s">
        <v>360</v>
      </c>
      <c r="AB27" s="5"/>
      <c r="AC27" s="5"/>
      <c r="AD27" s="5"/>
      <c r="AE27" s="5"/>
      <c r="AF27" s="5" t="s">
        <v>360</v>
      </c>
      <c r="AG27" s="2" t="str">
        <f>IF(OR(Tabla_Presupuesto[[#This Row],[ROL_JEFE_CONT_PRESU]]="*",Tabla_Presupuesto[[#This Row],[ROL_JEFE_CONT_PRSU_HOSPI]]="*"),"*","")</f>
        <v/>
      </c>
    </row>
    <row r="28" spans="1:33" hidden="1" x14ac:dyDescent="0.5">
      <c r="A28" s="5">
        <f>MAX(Tabla_Contabilidad[Id])</f>
        <v>210</v>
      </c>
      <c r="B28" s="2">
        <v>235</v>
      </c>
      <c r="C28" s="5">
        <f>IF(Tabla_Presupuesto[[#This Row],[id_padre]]="",0,_xlfn.XLOOKUP(Tabla_Presupuesto[[#This Row],[id_padre]],Tabla_Presupuesto[Id],Tabla_Presupuesto[Nivel],0,0,1)+1)</f>
        <v>3</v>
      </c>
      <c r="D28" s="2" t="s">
        <v>222</v>
      </c>
      <c r="E28" s="2">
        <f>IF(Tabla_Presupuesto[[#This Row],[Id_anterior]]=1,ROW()-1,SUM(ROW()-1,Tabla_Presupuesto[[#This Row],[Id_anterior]]))</f>
        <v>237</v>
      </c>
      <c r="F2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PRESUPUESTO_PROCESOS_PROGRAMA_CAJA_ACTUALIZACION_PROGRAMA_CAJA</v>
      </c>
      <c r="G28" s="2" t="str">
        <f>CLEAN(PROPER(Tabla_Presupuesto[[#This Row],[Nombre Opción]]))</f>
        <v>Actualización Programa De Caja</v>
      </c>
      <c r="H28" s="2" t="s">
        <v>1735</v>
      </c>
      <c r="I28" s="2" t="str">
        <f>_xlfn.XLOOKUP(Tabla_Presupuesto[[#This Row],[id_padre]],Tabla_Presupuesto[Id],Tabla_Presupuesto[Codigo_Tecnico],"",0,1)</f>
        <v>PRESUPUESTO_PROCESOS_PROGRAMA_CAJA</v>
      </c>
      <c r="J2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/presupuesto/procesos/programa-caja/actualizacion-programa-caja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actualizacion-programa-caja</v>
      </c>
      <c r="L28" s="2" t="s">
        <v>1420</v>
      </c>
      <c r="M28" s="2" t="s">
        <v>1792</v>
      </c>
      <c r="N28" s="4"/>
      <c r="O28" s="4"/>
      <c r="P28" s="4" t="s">
        <v>360</v>
      </c>
      <c r="Q28" s="4"/>
      <c r="AA28" s="4" t="s">
        <v>360</v>
      </c>
      <c r="AB28" s="5"/>
      <c r="AC28" s="5"/>
      <c r="AD28" s="5"/>
      <c r="AE28" s="5"/>
      <c r="AF28" s="5" t="s">
        <v>360</v>
      </c>
      <c r="AG28" s="2" t="str">
        <f>IF(OR(Tabla_Presupuesto[[#This Row],[ROL_JEFE_CONT_PRESU]]="*",Tabla_Presupuesto[[#This Row],[ROL_JEFE_CONT_PRSU_HOSPI]]="*"),"*","")</f>
        <v/>
      </c>
    </row>
    <row r="29" spans="1:33" x14ac:dyDescent="0.5">
      <c r="A29" s="5">
        <f>MAX(Tabla_Contabilidad[Id])</f>
        <v>210</v>
      </c>
      <c r="B29" s="2">
        <v>235</v>
      </c>
      <c r="C29" s="5">
        <f>IF(Tabla_Presupuesto[[#This Row],[id_padre]]="",0,_xlfn.XLOOKUP(Tabla_Presupuesto[[#This Row],[id_padre]],Tabla_Presupuesto[Id],Tabla_Presupuesto[Nivel],0,0,1)+1)</f>
        <v>3</v>
      </c>
      <c r="D29" s="2" t="s">
        <v>224</v>
      </c>
      <c r="E29" s="2">
        <f>IF(Tabla_Presupuesto[[#This Row],[Id_anterior]]=1,ROW()-1,SUM(ROW()-1,Tabla_Presupuesto[[#This Row],[Id_anterior]]))</f>
        <v>238</v>
      </c>
      <c r="F2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PRESUPUESTO_PROCESOS_PROGRAMA_CAJA_CALENDARIZACION_PROGRAMA_CAJA</v>
      </c>
      <c r="G29" s="2" t="str">
        <f>CLEAN(PROPER(Tabla_Presupuesto[[#This Row],[Nombre Opción]]))</f>
        <v>Calendarizacion Programa De Caja</v>
      </c>
      <c r="H29" s="2" t="s">
        <v>1735</v>
      </c>
      <c r="I29" s="2" t="str">
        <f>_xlfn.XLOOKUP(Tabla_Presupuesto[[#This Row],[id_padre]],Tabla_Presupuesto[Id],Tabla_Presupuesto[Codigo_Tecnico],"",0,1)</f>
        <v>PRESUPUESTO_PROCESOS_PROGRAMA_CAJA</v>
      </c>
      <c r="J2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/presupuesto/procesos/programa-caja/calendarizacion-programa-caja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calendarizacion-programa-caja</v>
      </c>
      <c r="L29" s="2" t="s">
        <v>1372</v>
      </c>
      <c r="M29" s="2" t="s">
        <v>1792</v>
      </c>
      <c r="N29" s="4"/>
      <c r="O29" s="4"/>
      <c r="P29" s="4" t="s">
        <v>360</v>
      </c>
      <c r="Q29" s="4" t="s">
        <v>360</v>
      </c>
      <c r="R29" s="4" t="s">
        <v>360</v>
      </c>
      <c r="V29" s="4" t="s">
        <v>360</v>
      </c>
      <c r="X29" s="4" t="s">
        <v>360</v>
      </c>
      <c r="Y29" s="4" t="s">
        <v>360</v>
      </c>
      <c r="Z29" s="4" t="s">
        <v>360</v>
      </c>
      <c r="AB29" s="5" t="s">
        <v>360</v>
      </c>
      <c r="AC29" s="5"/>
      <c r="AD29" s="5"/>
      <c r="AE29" s="5"/>
      <c r="AF29" s="5" t="s">
        <v>360</v>
      </c>
      <c r="AG29" s="2" t="str">
        <f>IF(OR(Tabla_Presupuesto[[#This Row],[ROL_JEFE_CONT_PRESU]]="*",Tabla_Presupuesto[[#This Row],[ROL_JEFE_CONT_PRSU_HOSPI]]="*"),"*","")</f>
        <v>*</v>
      </c>
    </row>
    <row r="30" spans="1:33" hidden="1" x14ac:dyDescent="0.5">
      <c r="A30" s="5">
        <f>MAX(Tabla_Contabilidad[Id])</f>
        <v>210</v>
      </c>
      <c r="B30" s="2">
        <v>213</v>
      </c>
      <c r="C30" s="5">
        <f>IF(Tabla_Presupuesto[[#This Row],[id_padre]]="",0,_xlfn.XLOOKUP(Tabla_Presupuesto[[#This Row],[id_padre]],Tabla_Presupuesto[Id],Tabla_Presupuesto[Nivel],0,0,1)+1)</f>
        <v>2</v>
      </c>
      <c r="D30" s="2" t="s">
        <v>225</v>
      </c>
      <c r="E30" s="2">
        <f>IF(Tabla_Presupuesto[[#This Row],[Id_anterior]]=1,ROW()-1,SUM(ROW()-1,Tabla_Presupuesto[[#This Row],[Id_anterior]]))</f>
        <v>239</v>
      </c>
      <c r="F3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</v>
      </c>
      <c r="G30" s="2" t="str">
        <f>CLEAN(PROPER(Tabla_Presupuesto[[#This Row],[Nombre Opción]]))</f>
        <v>Flujo De Caja</v>
      </c>
      <c r="H30" s="2" t="s">
        <v>1735</v>
      </c>
      <c r="I30" s="2" t="str">
        <f>_xlfn.XLOOKUP(Tabla_Presupuesto[[#This Row],[id_padre]],Tabla_Presupuesto[Id],Tabla_Presupuesto[Codigo_Tecnico],"",0,1)</f>
        <v>PRESUPUESTO_PROCESOS</v>
      </c>
      <c r="J3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flujo-caja</v>
      </c>
      <c r="L30" s="2" t="s">
        <v>1379</v>
      </c>
      <c r="M30" s="2" t="s">
        <v>1792</v>
      </c>
      <c r="N30" s="4"/>
      <c r="O30" s="4"/>
      <c r="P30" s="4"/>
      <c r="Q30" s="4"/>
      <c r="W30" s="4" t="s">
        <v>360</v>
      </c>
      <c r="AB30" s="5"/>
      <c r="AC30" s="5"/>
      <c r="AD30" s="5" t="s">
        <v>360</v>
      </c>
      <c r="AE30" s="5" t="s">
        <v>360</v>
      </c>
      <c r="AF30" s="5" t="s">
        <v>360</v>
      </c>
      <c r="AG30" s="2" t="str">
        <f>IF(OR(Tabla_Presupuesto[[#This Row],[ROL_JEFE_CONT_PRESU]]="*",Tabla_Presupuesto[[#This Row],[ROL_JEFE_CONT_PRSU_HOSPI]]="*"),"*","")</f>
        <v/>
      </c>
    </row>
    <row r="31" spans="1:33" hidden="1" x14ac:dyDescent="0.5">
      <c r="A31" s="5">
        <f>MAX(Tabla_Contabilidad[Id])</f>
        <v>210</v>
      </c>
      <c r="B31" s="2">
        <v>239</v>
      </c>
      <c r="C31" s="5">
        <f>IF(Tabla_Presupuesto[[#This Row],[id_padre]]="",0,_xlfn.XLOOKUP(Tabla_Presupuesto[[#This Row],[id_padre]],Tabla_Presupuesto[Id],Tabla_Presupuesto[Nivel],0,0,1)+1)</f>
        <v>3</v>
      </c>
      <c r="D31" s="2" t="s">
        <v>226</v>
      </c>
      <c r="E31" s="2">
        <f>IF(Tabla_Presupuesto[[#This Row],[Id_anterior]]=1,ROW()-1,SUM(ROW()-1,Tabla_Presupuesto[[#This Row],[Id_anterior]]))</f>
        <v>240</v>
      </c>
      <c r="F3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PRESUPUESTO_PROCESOS_FLUJO_CAJA_UNIDADES_INTERNAS_SOLICITAN</v>
      </c>
      <c r="G31" s="2" t="str">
        <f>CLEAN(PROPER(Tabla_Presupuesto[[#This Row],[Nombre Opción]]))</f>
        <v>Unidades Internas Solicitan</v>
      </c>
      <c r="H31" s="2" t="s">
        <v>1735</v>
      </c>
      <c r="I31" s="2" t="str">
        <f>_xlfn.XLOOKUP(Tabla_Presupuesto[[#This Row],[id_padre]],Tabla_Presupuesto[Id],Tabla_Presupuesto[Codigo_Tecnico],"",0,1)</f>
        <v>PRESUPUESTO_PROCESOS_FLUJO_CAJA</v>
      </c>
      <c r="J3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/presupuesto/procesos/flujo-caja/unidades-internas-solicitan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unidades-internas-solicitan</v>
      </c>
      <c r="L31" s="2" t="s">
        <v>1474</v>
      </c>
      <c r="M31" s="2" t="s">
        <v>1792</v>
      </c>
      <c r="N31" s="4"/>
      <c r="O31" s="4"/>
      <c r="P31" s="4"/>
      <c r="Q31" s="4"/>
      <c r="W31" s="4" t="s">
        <v>360</v>
      </c>
      <c r="AB31" s="5"/>
      <c r="AC31" s="5"/>
      <c r="AD31" s="5" t="s">
        <v>360</v>
      </c>
      <c r="AE31" s="5" t="s">
        <v>360</v>
      </c>
      <c r="AF31" s="5" t="s">
        <v>360</v>
      </c>
      <c r="AG31" s="2" t="str">
        <f>IF(OR(Tabla_Presupuesto[[#This Row],[ROL_JEFE_CONT_PRESU]]="*",Tabla_Presupuesto[[#This Row],[ROL_JEFE_CONT_PRSU_HOSPI]]="*"),"*","")</f>
        <v/>
      </c>
    </row>
    <row r="32" spans="1:33" hidden="1" x14ac:dyDescent="0.5">
      <c r="A32" s="5">
        <f>MAX(Tabla_Contabilidad[Id])</f>
        <v>210</v>
      </c>
      <c r="B32" s="2">
        <v>240</v>
      </c>
      <c r="C32" s="5">
        <f>IF(Tabla_Presupuesto[[#This Row],[id_padre]]="",0,_xlfn.XLOOKUP(Tabla_Presupuesto[[#This Row],[id_padre]],Tabla_Presupuesto[Id],Tabla_Presupuesto[Nivel],0,0,1)+1)</f>
        <v>4</v>
      </c>
      <c r="D32" s="2" t="s">
        <v>227</v>
      </c>
      <c r="E32" s="2">
        <f>IF(Tabla_Presupuesto[[#This Row],[Id_anterior]]=1,ROW()-1,SUM(ROW()-1,Tabla_Presupuesto[[#This Row],[Id_anterior]]))</f>
        <v>241</v>
      </c>
      <c r="F3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PRESUPUESTO_PROCESOS_FLUJO_CAJA_UNIDADES_INTERNAS_SOLICITAN_DEVENGOS_NO_PAGADOS</v>
      </c>
      <c r="G32" s="2" t="str">
        <f>CLEAN(PROPER(Tabla_Presupuesto[[#This Row],[Nombre Opción]]))</f>
        <v>Devengos No Pagados</v>
      </c>
      <c r="H32" s="2" t="s">
        <v>1735</v>
      </c>
      <c r="I32" s="2" t="str">
        <f>_xlfn.XLOOKUP(Tabla_Presupuesto[[#This Row],[id_padre]],Tabla_Presupuesto[Id],Tabla_Presupuesto[Codigo_Tecnico],"",0,1)</f>
        <v>PRESUPUESTO_PROCESOS_FLUJO_CAJA_UNIDADES_INTERNAS_SOLICITAN</v>
      </c>
      <c r="J3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/presupuesto/procesos/flujo-caja/unidades-internas-solicitan/devengos-no-pagados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devengos-no-pagados</v>
      </c>
      <c r="L32" s="2" t="s">
        <v>1345</v>
      </c>
      <c r="M32" s="2" t="s">
        <v>1792</v>
      </c>
      <c r="N32" s="4"/>
      <c r="O32" s="4"/>
      <c r="P32" s="4"/>
      <c r="Q32" s="4"/>
      <c r="W32" s="4" t="s">
        <v>360</v>
      </c>
      <c r="AB32" s="5"/>
      <c r="AC32" s="5"/>
      <c r="AD32" s="5" t="s">
        <v>360</v>
      </c>
      <c r="AE32" s="5" t="s">
        <v>360</v>
      </c>
      <c r="AF32" s="5" t="s">
        <v>360</v>
      </c>
      <c r="AG32" s="2" t="str">
        <f>IF(OR(Tabla_Presupuesto[[#This Row],[ROL_JEFE_CONT_PRESU]]="*",Tabla_Presupuesto[[#This Row],[ROL_JEFE_CONT_PRSU_HOSPI]]="*"),"*","")</f>
        <v/>
      </c>
    </row>
    <row r="33" spans="1:33" hidden="1" x14ac:dyDescent="0.5">
      <c r="A33" s="5">
        <f>MAX(Tabla_Contabilidad[Id])</f>
        <v>210</v>
      </c>
      <c r="B33" s="2">
        <v>240</v>
      </c>
      <c r="C33" s="5">
        <f>IF(Tabla_Presupuesto[[#This Row],[id_padre]]="",0,_xlfn.XLOOKUP(Tabla_Presupuesto[[#This Row],[id_padre]],Tabla_Presupuesto[Id],Tabla_Presupuesto[Nivel],0,0,1)+1)</f>
        <v>4</v>
      </c>
      <c r="D33" s="2" t="s">
        <v>228</v>
      </c>
      <c r="E33" s="2">
        <f>IF(Tabla_Presupuesto[[#This Row],[Id_anterior]]=1,ROW()-1,SUM(ROW()-1,Tabla_Presupuesto[[#This Row],[Id_anterior]]))</f>
        <v>242</v>
      </c>
      <c r="F3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PRESUPUESTO_PROCESOS_FLUJO_CAJA_UNIDADES_INTERNAS_SOLICITAN_COMPROMISOS_POR_DEVENGAR</v>
      </c>
      <c r="G33" s="2" t="str">
        <f>CLEAN(PROPER(Tabla_Presupuesto[[#This Row],[Nombre Opción]]))</f>
        <v>Compromisos Por Devengar</v>
      </c>
      <c r="H33" s="2" t="s">
        <v>1735</v>
      </c>
      <c r="I33" s="2" t="str">
        <f>_xlfn.XLOOKUP(Tabla_Presupuesto[[#This Row],[id_padre]],Tabla_Presupuesto[Id],Tabla_Presupuesto[Codigo_Tecnico],"",0,1)</f>
        <v>PRESUPUESTO_PROCESOS_FLUJO_CAJA_UNIDADES_INTERNAS_SOLICITAN</v>
      </c>
      <c r="J3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/presupuesto/procesos/flujo-caja/unidades-internas-solicitan/compromisos-por-devengar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compromisos-por-devengar</v>
      </c>
      <c r="L33" s="2" t="s">
        <v>1409</v>
      </c>
      <c r="M33" s="2" t="s">
        <v>1792</v>
      </c>
      <c r="N33" s="4"/>
      <c r="O33" s="4"/>
      <c r="P33" s="4"/>
      <c r="Q33" s="4"/>
      <c r="W33" s="4" t="s">
        <v>360</v>
      </c>
      <c r="AB33" s="5"/>
      <c r="AC33" s="5"/>
      <c r="AD33" s="5" t="s">
        <v>360</v>
      </c>
      <c r="AE33" s="5" t="s">
        <v>360</v>
      </c>
      <c r="AF33" s="5" t="s">
        <v>360</v>
      </c>
      <c r="AG33" s="2" t="str">
        <f>IF(OR(Tabla_Presupuesto[[#This Row],[ROL_JEFE_CONT_PRESU]]="*",Tabla_Presupuesto[[#This Row],[ROL_JEFE_CONT_PRSU_HOSPI]]="*"),"*","")</f>
        <v/>
      </c>
    </row>
    <row r="34" spans="1:33" hidden="1" x14ac:dyDescent="0.5">
      <c r="A34" s="5">
        <f>MAX(Tabla_Contabilidad[Id])</f>
        <v>210</v>
      </c>
      <c r="B34" s="2">
        <v>240</v>
      </c>
      <c r="C34" s="5">
        <f>IF(Tabla_Presupuesto[[#This Row],[id_padre]]="",0,_xlfn.XLOOKUP(Tabla_Presupuesto[[#This Row],[id_padre]],Tabla_Presupuesto[Id],Tabla_Presupuesto[Nivel],0,0,1)+1)</f>
        <v>4</v>
      </c>
      <c r="D34" s="2" t="s">
        <v>229</v>
      </c>
      <c r="E34" s="2">
        <f>IF(Tabla_Presupuesto[[#This Row],[Id_anterior]]=1,ROW()-1,SUM(ROW()-1,Tabla_Presupuesto[[#This Row],[Id_anterior]]))</f>
        <v>243</v>
      </c>
      <c r="F3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PRESUPUESTO_PROCESOS_FLUJO_CAJA_UNIDADES_INTERNAS_SOLICITAN_IMPREVISTOS_OTROS</v>
      </c>
      <c r="G34" s="2" t="str">
        <f>CLEAN(PROPER(Tabla_Presupuesto[[#This Row],[Nombre Opción]]))</f>
        <v>Imprevistos / Otros</v>
      </c>
      <c r="H34" s="2" t="s">
        <v>1735</v>
      </c>
      <c r="I34" s="2" t="str">
        <f>_xlfn.XLOOKUP(Tabla_Presupuesto[[#This Row],[id_padre]],Tabla_Presupuesto[Id],Tabla_Presupuesto[Codigo_Tecnico],"",0,1)</f>
        <v>PRESUPUESTO_PROCESOS_FLUJO_CAJA_UNIDADES_INTERNAS_SOLICITAN</v>
      </c>
      <c r="J3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/presupuesto/procesos/flujo-caja/unidades-internas-solicitan/imprevistos-otros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imprevistos-otros</v>
      </c>
      <c r="L34" s="2" t="s">
        <v>1475</v>
      </c>
      <c r="M34" s="2" t="s">
        <v>1792</v>
      </c>
      <c r="N34" s="4"/>
      <c r="O34" s="4"/>
      <c r="P34" s="4"/>
      <c r="Q34" s="4"/>
      <c r="W34" s="4" t="s">
        <v>360</v>
      </c>
      <c r="AB34" s="5"/>
      <c r="AC34" s="5"/>
      <c r="AD34" s="5" t="s">
        <v>360</v>
      </c>
      <c r="AE34" s="5" t="s">
        <v>360</v>
      </c>
      <c r="AF34" s="5" t="s">
        <v>360</v>
      </c>
      <c r="AG34" s="2" t="str">
        <f>IF(OR(Tabla_Presupuesto[[#This Row],[ROL_JEFE_CONT_PRESU]]="*",Tabla_Presupuesto[[#This Row],[ROL_JEFE_CONT_PRSU_HOSPI]]="*"),"*","")</f>
        <v/>
      </c>
    </row>
    <row r="35" spans="1:33" x14ac:dyDescent="0.5">
      <c r="A35" s="5">
        <f>MAX(Tabla_Contabilidad[Id])</f>
        <v>210</v>
      </c>
      <c r="B35" s="2">
        <v>239</v>
      </c>
      <c r="C35" s="5">
        <f>IF(Tabla_Presupuesto[[#This Row],[id_padre]]="",0,_xlfn.XLOOKUP(Tabla_Presupuesto[[#This Row],[id_padre]],Tabla_Presupuesto[Id],Tabla_Presupuesto[Nivel],0,0,1)+1)</f>
        <v>3</v>
      </c>
      <c r="D35" s="2" t="s">
        <v>230</v>
      </c>
      <c r="E35" s="2">
        <f>IF(Tabla_Presupuesto[[#This Row],[Id_anterior]]=1,ROW()-1,SUM(ROW()-1,Tabla_Presupuesto[[#This Row],[Id_anterior]]))</f>
        <v>244</v>
      </c>
      <c r="F3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PRESUPUESTO_PROCESOS_FLUJO_CAJA_DEPTO_FINANZAS_VALIDA</v>
      </c>
      <c r="G35" s="2" t="str">
        <f>CLEAN(PROPER(Tabla_Presupuesto[[#This Row],[Nombre Opción]]))</f>
        <v>Depto De Finanzas Valida</v>
      </c>
      <c r="H35" s="2" t="s">
        <v>1735</v>
      </c>
      <c r="I35" s="2" t="str">
        <f>_xlfn.XLOOKUP(Tabla_Presupuesto[[#This Row],[id_padre]],Tabla_Presupuesto[Id],Tabla_Presupuesto[Codigo_Tecnico],"",0,1)</f>
        <v>PRESUPUESTO_PROCESOS_FLUJO_CAJA</v>
      </c>
      <c r="J3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/presupuesto/procesos/flujo-caja/depto-finanzas-valida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depto-finanzas-valida</v>
      </c>
      <c r="L35" s="2" t="s">
        <v>1386</v>
      </c>
      <c r="M35" s="2" t="s">
        <v>1792</v>
      </c>
      <c r="N35" s="4"/>
      <c r="O35" s="4"/>
      <c r="P35" s="4"/>
      <c r="Q35" s="4"/>
      <c r="Y35" s="4" t="s">
        <v>360</v>
      </c>
      <c r="AA35" s="4" t="s">
        <v>360</v>
      </c>
      <c r="AB35" s="5" t="s">
        <v>360</v>
      </c>
      <c r="AC35" s="5"/>
      <c r="AD35" s="5"/>
      <c r="AE35" s="5" t="s">
        <v>360</v>
      </c>
      <c r="AF35" s="5" t="s">
        <v>360</v>
      </c>
      <c r="AG35" s="2" t="str">
        <f>IF(OR(Tabla_Presupuesto[[#This Row],[ROL_JEFE_CONT_PRESU]]="*",Tabla_Presupuesto[[#This Row],[ROL_JEFE_CONT_PRSU_HOSPI]]="*"),"*","")</f>
        <v>*</v>
      </c>
    </row>
    <row r="36" spans="1:33" x14ac:dyDescent="0.5">
      <c r="A36" s="5">
        <f>MAX(Tabla_Contabilidad[Id])</f>
        <v>210</v>
      </c>
      <c r="B36" s="2">
        <v>244</v>
      </c>
      <c r="C36" s="5">
        <f>IF(Tabla_Presupuesto[[#This Row],[id_padre]]="",0,_xlfn.XLOOKUP(Tabla_Presupuesto[[#This Row],[id_padre]],Tabla_Presupuesto[Id],Tabla_Presupuesto[Nivel],0,0,1)+1)</f>
        <v>4</v>
      </c>
      <c r="D36" s="2" t="s">
        <v>227</v>
      </c>
      <c r="E36" s="2">
        <f>IF(Tabla_Presupuesto[[#This Row],[Id_anterior]]=1,ROW()-1,SUM(ROW()-1,Tabla_Presupuesto[[#This Row],[Id_anterior]]))</f>
        <v>245</v>
      </c>
      <c r="F3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PRESUPUESTO_PROCESOS_FLUJO_CAJA_DEPTO_FINANZAS_VALIDA_DEVENGOS_NO_PAGADOS</v>
      </c>
      <c r="G36" s="2" t="str">
        <f>CLEAN(PROPER(Tabla_Presupuesto[[#This Row],[Nombre Opción]]))</f>
        <v>Devengos No Pagados</v>
      </c>
      <c r="H36" s="2" t="s">
        <v>1735</v>
      </c>
      <c r="I36" s="2" t="str">
        <f>_xlfn.XLOOKUP(Tabla_Presupuesto[[#This Row],[id_padre]],Tabla_Presupuesto[Id],Tabla_Presupuesto[Codigo_Tecnico],"",0,1)</f>
        <v>PRESUPUESTO_PROCESOS_FLUJO_CAJA_DEPTO_FINANZAS_VALIDA</v>
      </c>
      <c r="J3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/presupuesto/procesos/flujo-caja/depto-finanzas-valida/devengos-no-pagados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devengos-no-pagados</v>
      </c>
      <c r="L36" s="2" t="s">
        <v>1345</v>
      </c>
      <c r="M36" s="2" t="s">
        <v>1792</v>
      </c>
      <c r="N36" s="4"/>
      <c r="O36" s="4"/>
      <c r="P36" s="4"/>
      <c r="Q36" s="4"/>
      <c r="Y36" s="4" t="s">
        <v>360</v>
      </c>
      <c r="AA36" s="4" t="s">
        <v>360</v>
      </c>
      <c r="AB36" s="5" t="s">
        <v>360</v>
      </c>
      <c r="AC36" s="5"/>
      <c r="AD36" s="5"/>
      <c r="AE36" s="5" t="s">
        <v>360</v>
      </c>
      <c r="AF36" s="5" t="s">
        <v>360</v>
      </c>
      <c r="AG36" s="2" t="str">
        <f>IF(OR(Tabla_Presupuesto[[#This Row],[ROL_JEFE_CONT_PRESU]]="*",Tabla_Presupuesto[[#This Row],[ROL_JEFE_CONT_PRSU_HOSPI]]="*"),"*","")</f>
        <v>*</v>
      </c>
    </row>
    <row r="37" spans="1:33" x14ac:dyDescent="0.5">
      <c r="A37" s="5">
        <f>MAX(Tabla_Contabilidad[Id])</f>
        <v>210</v>
      </c>
      <c r="B37" s="2">
        <v>244</v>
      </c>
      <c r="C37" s="5">
        <f>IF(Tabla_Presupuesto[[#This Row],[id_padre]]="",0,_xlfn.XLOOKUP(Tabla_Presupuesto[[#This Row],[id_padre]],Tabla_Presupuesto[Id],Tabla_Presupuesto[Nivel],0,0,1)+1)</f>
        <v>4</v>
      </c>
      <c r="D37" s="2" t="s">
        <v>228</v>
      </c>
      <c r="E37" s="2">
        <f>IF(Tabla_Presupuesto[[#This Row],[Id_anterior]]=1,ROW()-1,SUM(ROW()-1,Tabla_Presupuesto[[#This Row],[Id_anterior]]))</f>
        <v>246</v>
      </c>
      <c r="F3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PRESUPUESTO_PROCESOS_FLUJO_CAJA_DEPTO_FINANZAS_VALIDA_COMPROMISOS_POR_DEVENGAR</v>
      </c>
      <c r="G37" s="2" t="str">
        <f>CLEAN(PROPER(Tabla_Presupuesto[[#This Row],[Nombre Opción]]))</f>
        <v>Compromisos Por Devengar</v>
      </c>
      <c r="H37" s="2" t="s">
        <v>1735</v>
      </c>
      <c r="I37" s="2" t="str">
        <f>_xlfn.XLOOKUP(Tabla_Presupuesto[[#This Row],[id_padre]],Tabla_Presupuesto[Id],Tabla_Presupuesto[Codigo_Tecnico],"",0,1)</f>
        <v>PRESUPUESTO_PROCESOS_FLUJO_CAJA_DEPTO_FINANZAS_VALIDA</v>
      </c>
      <c r="J3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/presupuesto/procesos/flujo-caja/depto-finanzas-valida/compromisos-por-devengar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compromisos-por-devengar</v>
      </c>
      <c r="L37" s="2" t="s">
        <v>1409</v>
      </c>
      <c r="M37" s="2" t="s">
        <v>1792</v>
      </c>
      <c r="N37" s="4"/>
      <c r="O37" s="4"/>
      <c r="P37" s="4"/>
      <c r="Q37" s="4"/>
      <c r="Y37" s="4" t="s">
        <v>360</v>
      </c>
      <c r="AA37" s="4" t="s">
        <v>360</v>
      </c>
      <c r="AB37" s="5" t="s">
        <v>360</v>
      </c>
      <c r="AC37" s="5"/>
      <c r="AD37" s="5"/>
      <c r="AE37" s="5" t="s">
        <v>360</v>
      </c>
      <c r="AF37" s="5" t="s">
        <v>360</v>
      </c>
      <c r="AG37" s="2" t="str">
        <f>IF(OR(Tabla_Presupuesto[[#This Row],[ROL_JEFE_CONT_PRESU]]="*",Tabla_Presupuesto[[#This Row],[ROL_JEFE_CONT_PRSU_HOSPI]]="*"),"*","")</f>
        <v>*</v>
      </c>
    </row>
    <row r="38" spans="1:33" x14ac:dyDescent="0.5">
      <c r="A38" s="5">
        <f>MAX(Tabla_Contabilidad[Id])</f>
        <v>210</v>
      </c>
      <c r="B38" s="2">
        <v>244</v>
      </c>
      <c r="C38" s="5">
        <f>IF(Tabla_Presupuesto[[#This Row],[id_padre]]="",0,_xlfn.XLOOKUP(Tabla_Presupuesto[[#This Row],[id_padre]],Tabla_Presupuesto[Id],Tabla_Presupuesto[Nivel],0,0,1)+1)</f>
        <v>4</v>
      </c>
      <c r="D38" s="2" t="s">
        <v>229</v>
      </c>
      <c r="E38" s="2">
        <f>IF(Tabla_Presupuesto[[#This Row],[Id_anterior]]=1,ROW()-1,SUM(ROW()-1,Tabla_Presupuesto[[#This Row],[Id_anterior]]))</f>
        <v>247</v>
      </c>
      <c r="F3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PRESUPUESTO_PROCESOS_FLUJO_CAJA_DEPTO_FINANZAS_VALIDA_IMPREVISTOS_OTROS</v>
      </c>
      <c r="G38" s="2" t="str">
        <f>CLEAN(PROPER(Tabla_Presupuesto[[#This Row],[Nombre Opción]]))</f>
        <v>Imprevistos / Otros</v>
      </c>
      <c r="H38" s="2" t="s">
        <v>1735</v>
      </c>
      <c r="I38" s="2" t="str">
        <f>_xlfn.XLOOKUP(Tabla_Presupuesto[[#This Row],[id_padre]],Tabla_Presupuesto[Id],Tabla_Presupuesto[Codigo_Tecnico],"",0,1)</f>
        <v>PRESUPUESTO_PROCESOS_FLUJO_CAJA_DEPTO_FINANZAS_VALIDA</v>
      </c>
      <c r="J3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/presupuesto/procesos/flujo-caja/depto-finanzas-valida/imprevistos-otros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imprevistos-otros</v>
      </c>
      <c r="L38" s="2" t="s">
        <v>1475</v>
      </c>
      <c r="M38" s="2" t="s">
        <v>1792</v>
      </c>
      <c r="N38" s="4"/>
      <c r="O38" s="4"/>
      <c r="P38" s="4"/>
      <c r="Q38" s="4"/>
      <c r="Y38" s="4" t="s">
        <v>360</v>
      </c>
      <c r="AA38" s="4" t="s">
        <v>360</v>
      </c>
      <c r="AB38" s="5" t="s">
        <v>360</v>
      </c>
      <c r="AC38" s="5"/>
      <c r="AD38" s="5"/>
      <c r="AE38" s="5" t="s">
        <v>360</v>
      </c>
      <c r="AF38" s="5" t="s">
        <v>360</v>
      </c>
      <c r="AG38" s="2" t="str">
        <f>IF(OR(Tabla_Presupuesto[[#This Row],[ROL_JEFE_CONT_PRESU]]="*",Tabla_Presupuesto[[#This Row],[ROL_JEFE_CONT_PRSU_HOSPI]]="*"),"*","")</f>
        <v>*</v>
      </c>
    </row>
    <row r="39" spans="1:33" x14ac:dyDescent="0.5">
      <c r="A39" s="5">
        <f>MAX(Tabla_Contabilidad[Id])</f>
        <v>210</v>
      </c>
      <c r="B39" s="2">
        <v>244</v>
      </c>
      <c r="C39" s="5">
        <f>IF(Tabla_Presupuesto[[#This Row],[id_padre]]="",0,_xlfn.XLOOKUP(Tabla_Presupuesto[[#This Row],[id_padre]],Tabla_Presupuesto[Id],Tabla_Presupuesto[Nivel],0,0,1)+1)</f>
        <v>4</v>
      </c>
      <c r="D39" s="2" t="s">
        <v>231</v>
      </c>
      <c r="E39" s="2">
        <f>IF(Tabla_Presupuesto[[#This Row],[Id_anterior]]=1,ROW()-1,SUM(ROW()-1,Tabla_Presupuesto[[#This Row],[Id_anterior]]))</f>
        <v>248</v>
      </c>
      <c r="F3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PRESUPUESTO_PROCESOS_FLUJO_CAJA_DEPTO_FINANZAS_VALIDA_OBSERVACIONES_SOLICITUD_CAJA</v>
      </c>
      <c r="G39" s="2" t="str">
        <f>CLEAN(PROPER(Tabla_Presupuesto[[#This Row],[Nombre Opción]]))</f>
        <v>Observaciones Solicitud De Caja</v>
      </c>
      <c r="H39" s="2" t="s">
        <v>1735</v>
      </c>
      <c r="I39" s="2" t="str">
        <f>_xlfn.XLOOKUP(Tabla_Presupuesto[[#This Row],[id_padre]],Tabla_Presupuesto[Id],Tabla_Presupuesto[Codigo_Tecnico],"",0,1)</f>
        <v>PRESUPUESTO_PROCESOS_FLUJO_CAJA_DEPTO_FINANZAS_VALIDA</v>
      </c>
      <c r="J3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/presupuesto/procesos/flujo-caja/depto-finanzas-valida/observaciones-solicitud-caja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observaciones-solicitud-caja</v>
      </c>
      <c r="L39" s="2" t="s">
        <v>1476</v>
      </c>
      <c r="M39" s="2" t="s">
        <v>1792</v>
      </c>
      <c r="N39" s="4"/>
      <c r="O39" s="4"/>
      <c r="P39" s="4"/>
      <c r="Q39" s="4"/>
      <c r="Y39" s="4" t="s">
        <v>360</v>
      </c>
      <c r="AA39" s="4" t="s">
        <v>360</v>
      </c>
      <c r="AB39" s="5" t="s">
        <v>360</v>
      </c>
      <c r="AC39" s="5"/>
      <c r="AD39" s="5"/>
      <c r="AE39" s="5" t="s">
        <v>360</v>
      </c>
      <c r="AF39" s="5" t="s">
        <v>360</v>
      </c>
      <c r="AG39" s="2" t="str">
        <f>IF(OR(Tabla_Presupuesto[[#This Row],[ROL_JEFE_CONT_PRESU]]="*",Tabla_Presupuesto[[#This Row],[ROL_JEFE_CONT_PRSU_HOSPI]]="*"),"*","")</f>
        <v>*</v>
      </c>
    </row>
    <row r="40" spans="1:33" x14ac:dyDescent="0.5">
      <c r="A40" s="5">
        <f>MAX(Tabla_Contabilidad[Id])</f>
        <v>210</v>
      </c>
      <c r="B40" s="2">
        <v>239</v>
      </c>
      <c r="C40" s="5">
        <f>IF(Tabla_Presupuesto[[#This Row],[id_padre]]="",0,_xlfn.XLOOKUP(Tabla_Presupuesto[[#This Row],[id_padre]],Tabla_Presupuesto[Id],Tabla_Presupuesto[Nivel],0,0,1)+1)</f>
        <v>3</v>
      </c>
      <c r="D40" s="2" t="s">
        <v>232</v>
      </c>
      <c r="E40" s="2">
        <f>IF(Tabla_Presupuesto[[#This Row],[Id_anterior]]=1,ROW()-1,SUM(ROW()-1,Tabla_Presupuesto[[#This Row],[Id_anterior]]))</f>
        <v>249</v>
      </c>
      <c r="F4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PRESUPUESTO_PROCESOS_FLUJO_CAJA_DIRECCION_FINANZAS_CONSOLIDA</v>
      </c>
      <c r="G40" s="2" t="str">
        <f>CLEAN(PROPER(Tabla_Presupuesto[[#This Row],[Nombre Opción]]))</f>
        <v>Direccion De Finanzas Consolida</v>
      </c>
      <c r="H40" s="2" t="s">
        <v>1735</v>
      </c>
      <c r="I40" s="2" t="str">
        <f>_xlfn.XLOOKUP(Tabla_Presupuesto[[#This Row],[id_padre]],Tabla_Presupuesto[Id],Tabla_Presupuesto[Codigo_Tecnico],"",0,1)</f>
        <v>PRESUPUESTO_PROCESOS_FLUJO_CAJA</v>
      </c>
      <c r="J4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/presupuesto/procesos/flujo-caja/direccion-finanzas-consolida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direccion-finanzas-consolida</v>
      </c>
      <c r="L40" s="2" t="s">
        <v>1412</v>
      </c>
      <c r="M40" s="2" t="s">
        <v>1792</v>
      </c>
      <c r="N40" s="4"/>
      <c r="O40" s="4"/>
      <c r="P40" s="4" t="s">
        <v>360</v>
      </c>
      <c r="Q40" s="4"/>
      <c r="U40" s="4" t="s">
        <v>360</v>
      </c>
      <c r="AB40" s="5" t="s">
        <v>360</v>
      </c>
      <c r="AC40" s="5"/>
      <c r="AD40" s="5"/>
      <c r="AE40" s="5"/>
      <c r="AF40" s="5" t="s">
        <v>360</v>
      </c>
      <c r="AG40" s="2" t="str">
        <f>IF(OR(Tabla_Presupuesto[[#This Row],[ROL_JEFE_CONT_PRESU]]="*",Tabla_Presupuesto[[#This Row],[ROL_JEFE_CONT_PRSU_HOSPI]]="*"),"*","")</f>
        <v>*</v>
      </c>
    </row>
    <row r="41" spans="1:33" x14ac:dyDescent="0.5">
      <c r="A41" s="5">
        <f>MAX(Tabla_Contabilidad[Id])</f>
        <v>210</v>
      </c>
      <c r="B41" s="2">
        <v>249</v>
      </c>
      <c r="C41" s="5">
        <f>IF(Tabla_Presupuesto[[#This Row],[id_padre]]="",0,_xlfn.XLOOKUP(Tabla_Presupuesto[[#This Row],[id_padre]],Tabla_Presupuesto[Id],Tabla_Presupuesto[Nivel],0,0,1)+1)</f>
        <v>4</v>
      </c>
      <c r="D41" s="2" t="s">
        <v>233</v>
      </c>
      <c r="E41" s="2">
        <f>IF(Tabla_Presupuesto[[#This Row],[Id_anterior]]=1,ROW()-1,SUM(ROW()-1,Tabla_Presupuesto[[#This Row],[Id_anterior]]))</f>
        <v>250</v>
      </c>
      <c r="F4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PRESUPUESTO_PROCESOS_FLUJO_CAJA_DIRECCION_FINANZAS_CONSOLIDA_SOLICITA_FLUJO_CAJA</v>
      </c>
      <c r="G41" s="2" t="str">
        <f>CLEAN(PROPER(Tabla_Presupuesto[[#This Row],[Nombre Opción]]))</f>
        <v>Solicita Flujo De Caja</v>
      </c>
      <c r="H41" s="2" t="s">
        <v>1735</v>
      </c>
      <c r="I41" s="2" t="str">
        <f>_xlfn.XLOOKUP(Tabla_Presupuesto[[#This Row],[id_padre]],Tabla_Presupuesto[Id],Tabla_Presupuesto[Codigo_Tecnico],"",0,1)</f>
        <v>PRESUPUESTO_PROCESOS_FLUJO_CAJA_DIRECCION_FINANZAS_CONSOLIDA</v>
      </c>
      <c r="J4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/presupuesto/procesos/flujo-caja/direccion-finanzas-consolida/solicita-flujo-caja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solicita-flujo-caja</v>
      </c>
      <c r="L41" s="2" t="s">
        <v>1396</v>
      </c>
      <c r="M41" s="2" t="s">
        <v>1792</v>
      </c>
      <c r="N41" s="4"/>
      <c r="O41" s="4"/>
      <c r="P41" s="4" t="s">
        <v>360</v>
      </c>
      <c r="Q41" s="4"/>
      <c r="U41" s="4" t="s">
        <v>360</v>
      </c>
      <c r="AB41" s="5" t="s">
        <v>360</v>
      </c>
      <c r="AC41" s="5"/>
      <c r="AD41" s="5"/>
      <c r="AE41" s="5"/>
      <c r="AF41" s="5" t="s">
        <v>360</v>
      </c>
      <c r="AG41" s="2" t="str">
        <f>IF(OR(Tabla_Presupuesto[[#This Row],[ROL_JEFE_CONT_PRESU]]="*",Tabla_Presupuesto[[#This Row],[ROL_JEFE_CONT_PRSU_HOSPI]]="*"),"*","")</f>
        <v>*</v>
      </c>
    </row>
    <row r="42" spans="1:33" x14ac:dyDescent="0.5">
      <c r="A42" s="5">
        <f>MAX(Tabla_Contabilidad[Id])</f>
        <v>210</v>
      </c>
      <c r="B42" s="2">
        <v>249</v>
      </c>
      <c r="C42" s="5">
        <f>IF(Tabla_Presupuesto[[#This Row],[id_padre]]="",0,_xlfn.XLOOKUP(Tabla_Presupuesto[[#This Row],[id_padre]],Tabla_Presupuesto[Id],Tabla_Presupuesto[Nivel],0,0,1)+1)</f>
        <v>4</v>
      </c>
      <c r="D42" s="2" t="s">
        <v>234</v>
      </c>
      <c r="E42" s="2">
        <f>IF(Tabla_Presupuesto[[#This Row],[Id_anterior]]=1,ROW()-1,SUM(ROW()-1,Tabla_Presupuesto[[#This Row],[Id_anterior]]))</f>
        <v>251</v>
      </c>
      <c r="F4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PRESUPUESTO_PROCESOS_FLUJO_CAJA_DIRECCION_FINANZAS_CONSOLIDA_RECEPCIONA_FLUJO_CAJA</v>
      </c>
      <c r="G42" s="2" t="str">
        <f>CLEAN(PROPER(Tabla_Presupuesto[[#This Row],[Nombre Opción]]))</f>
        <v>Recepciona Flujo De Caja</v>
      </c>
      <c r="H42" s="2" t="s">
        <v>1735</v>
      </c>
      <c r="I42" s="2" t="str">
        <f>_xlfn.XLOOKUP(Tabla_Presupuesto[[#This Row],[id_padre]],Tabla_Presupuesto[Id],Tabla_Presupuesto[Codigo_Tecnico],"",0,1)</f>
        <v>PRESUPUESTO_PROCESOS_FLUJO_CAJA_DIRECCION_FINANZAS_CONSOLIDA</v>
      </c>
      <c r="J4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/presupuesto/procesos/flujo-caja/direccion-finanzas-consolida/recepciona-flujo-caja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recepciona-flujo-caja</v>
      </c>
      <c r="L42" s="2" t="s">
        <v>1375</v>
      </c>
      <c r="M42" s="2" t="s">
        <v>1792</v>
      </c>
      <c r="N42" s="4"/>
      <c r="O42" s="4"/>
      <c r="P42" s="4" t="s">
        <v>360</v>
      </c>
      <c r="Q42" s="4"/>
      <c r="U42" s="4" t="s">
        <v>360</v>
      </c>
      <c r="AB42" s="5" t="s">
        <v>360</v>
      </c>
      <c r="AC42" s="5"/>
      <c r="AD42" s="5"/>
      <c r="AE42" s="5"/>
      <c r="AF42" s="5" t="s">
        <v>360</v>
      </c>
      <c r="AG42" s="2" t="str">
        <f>IF(OR(Tabla_Presupuesto[[#This Row],[ROL_JEFE_CONT_PRESU]]="*",Tabla_Presupuesto[[#This Row],[ROL_JEFE_CONT_PRSU_HOSPI]]="*"),"*","")</f>
        <v>*</v>
      </c>
    </row>
    <row r="43" spans="1:33" hidden="1" x14ac:dyDescent="0.5">
      <c r="A43" s="5">
        <f>MAX(Tabla_Contabilidad[Id])</f>
        <v>210</v>
      </c>
      <c r="B43" s="2">
        <v>239</v>
      </c>
      <c r="C43" s="5">
        <f>IF(Tabla_Presupuesto[[#This Row],[id_padre]]="",0,_xlfn.XLOOKUP(Tabla_Presupuesto[[#This Row],[id_padre]],Tabla_Presupuesto[Id],Tabla_Presupuesto[Nivel],0,0,1)+1)</f>
        <v>3</v>
      </c>
      <c r="D43" s="2" t="s">
        <v>235</v>
      </c>
      <c r="E43" s="2">
        <f>IF(Tabla_Presupuesto[[#This Row],[Id_anterior]]=1,ROW()-1,SUM(ROW()-1,Tabla_Presupuesto[[#This Row],[Id_anterior]]))</f>
        <v>252</v>
      </c>
      <c r="F4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PRESUPUESTO_PROCESOS_FLUJO_CAJA_REPROGRAMA_FLUJO_CAJA_PLANIFICADA</v>
      </c>
      <c r="G43" s="2" t="str">
        <f>CLEAN(PROPER(Tabla_Presupuesto[[#This Row],[Nombre Opción]]))</f>
        <v>Reprograma Flujo De Caja Planificada</v>
      </c>
      <c r="H43" s="2" t="s">
        <v>1735</v>
      </c>
      <c r="I43" s="2" t="str">
        <f>_xlfn.XLOOKUP(Tabla_Presupuesto[[#This Row],[id_padre]],Tabla_Presupuesto[Id],Tabla_Presupuesto[Codigo_Tecnico],"",0,1)</f>
        <v>PRESUPUESTO_PROCESOS_FLUJO_CAJA</v>
      </c>
      <c r="J4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/presupuesto/procesos/flujo-caja/reprograma-flujo-caja-planificada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reprograma-flujo-caja-planificada</v>
      </c>
      <c r="L43" s="2" t="s">
        <v>1453</v>
      </c>
      <c r="M43" s="2" t="s">
        <v>1792</v>
      </c>
      <c r="N43" s="4"/>
      <c r="O43" s="4"/>
      <c r="P43" s="4" t="s">
        <v>360</v>
      </c>
      <c r="Q43" s="4" t="s">
        <v>360</v>
      </c>
      <c r="U43" s="4" t="s">
        <v>360</v>
      </c>
      <c r="X43" s="4" t="s">
        <v>360</v>
      </c>
      <c r="Y43" s="4" t="s">
        <v>360</v>
      </c>
      <c r="AA43" s="4" t="s">
        <v>360</v>
      </c>
      <c r="AD43" s="5"/>
      <c r="AE43" s="5"/>
      <c r="AF43" s="5" t="s">
        <v>360</v>
      </c>
      <c r="AG43" s="2" t="str">
        <f>IF(OR(Tabla_Presupuesto[[#This Row],[ROL_JEFE_CONT_PRESU]]="*",Tabla_Presupuesto[[#This Row],[ROL_JEFE_CONT_PRSU_HOSPI]]="*"),"*","")</f>
        <v>*</v>
      </c>
    </row>
    <row r="44" spans="1:33" x14ac:dyDescent="0.5">
      <c r="A44" s="5">
        <f>MAX(Tabla_Contabilidad[Id])</f>
        <v>210</v>
      </c>
      <c r="B44" s="2">
        <v>213</v>
      </c>
      <c r="C44" s="5">
        <f>IF(Tabla_Presupuesto[[#This Row],[id_padre]]="",0,_xlfn.XLOOKUP(Tabla_Presupuesto[[#This Row],[id_padre]],Tabla_Presupuesto[Id],Tabla_Presupuesto[Nivel],0,0,1)+1)</f>
        <v>2</v>
      </c>
      <c r="D44" s="2" t="s">
        <v>236</v>
      </c>
      <c r="E44" s="2">
        <f>IF(Tabla_Presupuesto[[#This Row],[Id_anterior]]=1,ROW()-1,SUM(ROW()-1,Tabla_Presupuesto[[#This Row],[Id_anterior]]))</f>
        <v>253</v>
      </c>
      <c r="F4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PRESUPUESTO_PROCESOS_ANTEPROYECTO_UNIDAD</v>
      </c>
      <c r="G44" s="2" t="str">
        <f>CLEAN(PROPER(Tabla_Presupuesto[[#This Row],[Nombre Opción]]))</f>
        <v>Anteproyecto Unidad</v>
      </c>
      <c r="H44" s="2" t="s">
        <v>1735</v>
      </c>
      <c r="I44" s="2" t="str">
        <f>_xlfn.XLOOKUP(Tabla_Presupuesto[[#This Row],[id_padre]],Tabla_Presupuesto[Id],Tabla_Presupuesto[Codigo_Tecnico],"",0,1)</f>
        <v>PRESUPUESTO_PROCESOS</v>
      </c>
      <c r="J4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/presupuesto/procesos/anteproyecto-unidad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anteproyecto-unidad</v>
      </c>
      <c r="L44" s="2" t="s">
        <v>1343</v>
      </c>
      <c r="M44" s="2" t="s">
        <v>1792</v>
      </c>
      <c r="N44" s="4"/>
      <c r="O44" s="4"/>
      <c r="P44" s="4" t="s">
        <v>360</v>
      </c>
      <c r="Q44" s="4" t="s">
        <v>360</v>
      </c>
      <c r="U44" s="4" t="s">
        <v>360</v>
      </c>
      <c r="X44" s="4" t="s">
        <v>360</v>
      </c>
      <c r="Y44" s="4" t="s">
        <v>360</v>
      </c>
      <c r="Z44" s="4" t="s">
        <v>360</v>
      </c>
      <c r="AA44" s="4" t="s">
        <v>360</v>
      </c>
      <c r="AB44" s="4" t="s">
        <v>360</v>
      </c>
      <c r="AD44" s="5"/>
      <c r="AE44" s="5"/>
      <c r="AF44" s="5" t="s">
        <v>360</v>
      </c>
      <c r="AG44" s="2" t="str">
        <f>IF(OR(Tabla_Presupuesto[[#This Row],[ROL_JEFE_CONT_PRESU]]="*",Tabla_Presupuesto[[#This Row],[ROL_JEFE_CONT_PRSU_HOSPI]]="*"),"*","")</f>
        <v>*</v>
      </c>
    </row>
    <row r="45" spans="1:33" x14ac:dyDescent="0.5">
      <c r="A45" s="5">
        <f>MAX(Tabla_Contabilidad[Id])</f>
        <v>210</v>
      </c>
      <c r="B45" s="2">
        <v>253</v>
      </c>
      <c r="C45" s="5">
        <f>IF(Tabla_Presupuesto[[#This Row],[id_padre]]="",0,_xlfn.XLOOKUP(Tabla_Presupuesto[[#This Row],[id_padre]],Tabla_Presupuesto[Id],Tabla_Presupuesto[Nivel],0,0,1)+1)</f>
        <v>3</v>
      </c>
      <c r="D45" s="2" t="s">
        <v>237</v>
      </c>
      <c r="E45" s="2">
        <f>IF(Tabla_Presupuesto[[#This Row],[Id_anterior]]=1,ROW()-1,SUM(ROW()-1,Tabla_Presupuesto[[#This Row],[Id_anterior]]))</f>
        <v>254</v>
      </c>
      <c r="F4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PRESUPUESTO_PROCESOS_ANTEPROYECTO_UNIDAD_INGRESO_Y_MANTENCION_ANTEPROYECTO</v>
      </c>
      <c r="G45" s="2" t="str">
        <f>CLEAN(PROPER(Tabla_Presupuesto[[#This Row],[Nombre Opción]]))</f>
        <v>Ingreso Y Mantencion Anteproyecto</v>
      </c>
      <c r="H45" s="2" t="s">
        <v>1735</v>
      </c>
      <c r="I45" s="2" t="str">
        <f>_xlfn.XLOOKUP(Tabla_Presupuesto[[#This Row],[id_padre]],Tabla_Presupuesto[Id],Tabla_Presupuesto[Codigo_Tecnico],"",0,1)</f>
        <v>PRESUPUESTO_PROCESOS_ANTEPROYECTO_UNIDAD</v>
      </c>
      <c r="J4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/presupuesto/procesos/anteproyecto-unidad/ingreso-y-mantencion-anteproyecto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ingreso-y-mantencion-anteproyecto</v>
      </c>
      <c r="L45" s="2" t="s">
        <v>1359</v>
      </c>
      <c r="M45" s="2" t="s">
        <v>1792</v>
      </c>
      <c r="N45" s="4"/>
      <c r="O45" s="4"/>
      <c r="P45" s="4" t="s">
        <v>360</v>
      </c>
      <c r="Q45" s="4" t="s">
        <v>360</v>
      </c>
      <c r="U45" s="4" t="s">
        <v>360</v>
      </c>
      <c r="X45" s="4" t="s">
        <v>360</v>
      </c>
      <c r="Y45" s="4" t="s">
        <v>360</v>
      </c>
      <c r="Z45" s="4" t="s">
        <v>360</v>
      </c>
      <c r="AA45" s="4" t="s">
        <v>360</v>
      </c>
      <c r="AB45" s="4" t="s">
        <v>360</v>
      </c>
      <c r="AC45" s="5"/>
      <c r="AD45" s="5"/>
      <c r="AE45" s="5"/>
      <c r="AF45" s="5" t="s">
        <v>360</v>
      </c>
      <c r="AG45" s="2" t="str">
        <f>IF(OR(Tabla_Presupuesto[[#This Row],[ROL_JEFE_CONT_PRESU]]="*",Tabla_Presupuesto[[#This Row],[ROL_JEFE_CONT_PRSU_HOSPI]]="*"),"*","")</f>
        <v>*</v>
      </c>
    </row>
    <row r="46" spans="1:33" x14ac:dyDescent="0.5">
      <c r="A46" s="5">
        <f>MAX(Tabla_Contabilidad[Id])</f>
        <v>210</v>
      </c>
      <c r="B46" s="2">
        <v>253</v>
      </c>
      <c r="C46" s="5">
        <f>IF(Tabla_Presupuesto[[#This Row],[id_padre]]="",0,_xlfn.XLOOKUP(Tabla_Presupuesto[[#This Row],[id_padre]],Tabla_Presupuesto[Id],Tabla_Presupuesto[Nivel],0,0,1)+1)</f>
        <v>3</v>
      </c>
      <c r="D46" s="2" t="s">
        <v>238</v>
      </c>
      <c r="E46" s="2">
        <f>IF(Tabla_Presupuesto[[#This Row],[Id_anterior]]=1,ROW()-1,SUM(ROW()-1,Tabla_Presupuesto[[#This Row],[Id_anterior]]))</f>
        <v>255</v>
      </c>
      <c r="F4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PRESUPUESTO_PROCESOS_ANTEPROYECTO_UNIDAD_COPIA_VERSION</v>
      </c>
      <c r="G46" s="2" t="str">
        <f>CLEAN(PROPER(Tabla_Presupuesto[[#This Row],[Nombre Opción]]))</f>
        <v>Copia Versión</v>
      </c>
      <c r="H46" s="2" t="s">
        <v>1735</v>
      </c>
      <c r="I46" s="2" t="str">
        <f>_xlfn.XLOOKUP(Tabla_Presupuesto[[#This Row],[id_padre]],Tabla_Presupuesto[Id],Tabla_Presupuesto[Codigo_Tecnico],"",0,1)</f>
        <v>PRESUPUESTO_PROCESOS_ANTEPROYECTO_UNIDAD</v>
      </c>
      <c r="J4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/presupuesto/procesos/anteproyecto-unidad/copia-version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copia-version</v>
      </c>
      <c r="L46" s="2" t="s">
        <v>1477</v>
      </c>
      <c r="M46" s="2" t="s">
        <v>1792</v>
      </c>
      <c r="N46" s="4"/>
      <c r="O46" s="4"/>
      <c r="P46" s="4" t="s">
        <v>360</v>
      </c>
      <c r="Q46" s="4"/>
      <c r="U46" s="4" t="s">
        <v>360</v>
      </c>
      <c r="X46" s="4" t="s">
        <v>360</v>
      </c>
      <c r="Y46" s="4" t="s">
        <v>360</v>
      </c>
      <c r="AA46" s="4" t="s">
        <v>360</v>
      </c>
      <c r="AB46" s="4" t="s">
        <v>360</v>
      </c>
      <c r="AC46" s="5"/>
      <c r="AD46" s="5"/>
      <c r="AE46" s="5"/>
      <c r="AF46" s="5" t="s">
        <v>360</v>
      </c>
      <c r="AG46" s="2" t="str">
        <f>IF(OR(Tabla_Presupuesto[[#This Row],[ROL_JEFE_CONT_PRESU]]="*",Tabla_Presupuesto[[#This Row],[ROL_JEFE_CONT_PRSU_HOSPI]]="*"),"*","")</f>
        <v>*</v>
      </c>
    </row>
    <row r="47" spans="1:33" x14ac:dyDescent="0.5">
      <c r="A47" s="5">
        <f>MAX(Tabla_Contabilidad[Id])</f>
        <v>210</v>
      </c>
      <c r="B47" s="2">
        <v>253</v>
      </c>
      <c r="C47" s="5">
        <f>IF(Tabla_Presupuesto[[#This Row],[id_padre]]="",0,_xlfn.XLOOKUP(Tabla_Presupuesto[[#This Row],[id_padre]],Tabla_Presupuesto[Id],Tabla_Presupuesto[Nivel],0,0,1)+1)</f>
        <v>3</v>
      </c>
      <c r="D47" s="2" t="s">
        <v>239</v>
      </c>
      <c r="E47" s="2">
        <f>IF(Tabla_Presupuesto[[#This Row],[Id_anterior]]=1,ROW()-1,SUM(ROW()-1,Tabla_Presupuesto[[#This Row],[Id_anterior]]))</f>
        <v>256</v>
      </c>
      <c r="F4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PRESUPUESTO_PROCESOS_ANTEPROYECTO_UNIDAD_COPIA_VERSION_POR_PERIODO</v>
      </c>
      <c r="G47" s="2" t="str">
        <f>CLEAN(PROPER(Tabla_Presupuesto[[#This Row],[Nombre Opción]]))</f>
        <v>Copia Versión Por Periodo</v>
      </c>
      <c r="H47" s="2" t="s">
        <v>1735</v>
      </c>
      <c r="I47" s="2" t="str">
        <f>_xlfn.XLOOKUP(Tabla_Presupuesto[[#This Row],[id_padre]],Tabla_Presupuesto[Id],Tabla_Presupuesto[Codigo_Tecnico],"",0,1)</f>
        <v>PRESUPUESTO_PROCESOS_ANTEPROYECTO_UNIDAD</v>
      </c>
      <c r="J4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/presupuesto/procesos/anteproyecto-unidad/copia-version-por-periodo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copia-version-por-periodo</v>
      </c>
      <c r="L47" s="2" t="s">
        <v>1478</v>
      </c>
      <c r="M47" s="2" t="s">
        <v>1792</v>
      </c>
      <c r="N47" s="4"/>
      <c r="O47" s="4"/>
      <c r="P47" s="4" t="s">
        <v>360</v>
      </c>
      <c r="Q47" s="4"/>
      <c r="U47" s="4" t="s">
        <v>360</v>
      </c>
      <c r="X47" s="4" t="s">
        <v>360</v>
      </c>
      <c r="Y47" s="4" t="s">
        <v>360</v>
      </c>
      <c r="AA47" s="4" t="s">
        <v>360</v>
      </c>
      <c r="AB47" s="4" t="s">
        <v>360</v>
      </c>
      <c r="AC47" s="5"/>
      <c r="AD47" s="5"/>
      <c r="AE47" s="5"/>
      <c r="AF47" s="5" t="s">
        <v>360</v>
      </c>
      <c r="AG47" s="2" t="str">
        <f>IF(OR(Tabla_Presupuesto[[#This Row],[ROL_JEFE_CONT_PRESU]]="*",Tabla_Presupuesto[[#This Row],[ROL_JEFE_CONT_PRSU_HOSPI]]="*"),"*","")</f>
        <v>*</v>
      </c>
    </row>
    <row r="48" spans="1:33" x14ac:dyDescent="0.5">
      <c r="A48" s="5">
        <f>MAX(Tabla_Contabilidad[Id])</f>
        <v>210</v>
      </c>
      <c r="B48" s="2">
        <v>253</v>
      </c>
      <c r="C48" s="5">
        <f>IF(Tabla_Presupuesto[[#This Row],[id_padre]]="",0,_xlfn.XLOOKUP(Tabla_Presupuesto[[#This Row],[id_padre]],Tabla_Presupuesto[Id],Tabla_Presupuesto[Nivel],0,0,1)+1)</f>
        <v>3</v>
      </c>
      <c r="D48" s="2" t="s">
        <v>240</v>
      </c>
      <c r="E48" s="2">
        <f>IF(Tabla_Presupuesto[[#This Row],[Id_anterior]]=1,ROW()-1,SUM(ROW()-1,Tabla_Presupuesto[[#This Row],[Id_anterior]]))</f>
        <v>257</v>
      </c>
      <c r="F4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PRESUPUESTO_PROCESOS_ANTEPROYECTO_UNIDAD_APROBACION_ANTEPROYECTO</v>
      </c>
      <c r="G48" s="2" t="str">
        <f>CLEAN(PROPER(Tabla_Presupuesto[[#This Row],[Nombre Opción]]))</f>
        <v>Aprobacion Anteproyecto</v>
      </c>
      <c r="H48" s="2" t="s">
        <v>1735</v>
      </c>
      <c r="I48" s="2" t="str">
        <f>_xlfn.XLOOKUP(Tabla_Presupuesto[[#This Row],[id_padre]],Tabla_Presupuesto[Id],Tabla_Presupuesto[Codigo_Tecnico],"",0,1)</f>
        <v>PRESUPUESTO_PROCESOS_ANTEPROYECTO_UNIDAD</v>
      </c>
      <c r="J4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/presupuesto/procesos/anteproyecto-unidad/aprobacion-anteproyecto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aprobacion-anteproyecto</v>
      </c>
      <c r="L48" s="2" t="s">
        <v>1479</v>
      </c>
      <c r="M48" s="2" t="s">
        <v>1792</v>
      </c>
      <c r="N48" s="4"/>
      <c r="O48" s="4"/>
      <c r="P48" s="4" t="s">
        <v>360</v>
      </c>
      <c r="Q48" s="4"/>
      <c r="U48" s="4" t="s">
        <v>360</v>
      </c>
      <c r="X48" s="4" t="s">
        <v>360</v>
      </c>
      <c r="Y48" s="4" t="s">
        <v>360</v>
      </c>
      <c r="AA48" s="4" t="s">
        <v>360</v>
      </c>
      <c r="AB48" s="4" t="s">
        <v>360</v>
      </c>
      <c r="AC48" s="5"/>
      <c r="AD48" s="5"/>
      <c r="AE48" s="5"/>
      <c r="AF48" s="5" t="s">
        <v>360</v>
      </c>
      <c r="AG48" s="2" t="str">
        <f>IF(OR(Tabla_Presupuesto[[#This Row],[ROL_JEFE_CONT_PRESU]]="*",Tabla_Presupuesto[[#This Row],[ROL_JEFE_CONT_PRSU_HOSPI]]="*"),"*","")</f>
        <v>*</v>
      </c>
    </row>
    <row r="49" spans="1:33" x14ac:dyDescent="0.5">
      <c r="A49" s="5">
        <f>MAX(Tabla_Contabilidad[Id])</f>
        <v>210</v>
      </c>
      <c r="B49" s="2">
        <v>213</v>
      </c>
      <c r="C49" s="5">
        <f>IF(Tabla_Presupuesto[[#This Row],[id_padre]]="",0,_xlfn.XLOOKUP(Tabla_Presupuesto[[#This Row],[id_padre]],Tabla_Presupuesto[Id],Tabla_Presupuesto[Nivel],0,0,1)+1)</f>
        <v>2</v>
      </c>
      <c r="D49" s="2" t="s">
        <v>241</v>
      </c>
      <c r="E49" s="2">
        <f>IF(Tabla_Presupuesto[[#This Row],[Id_anterior]]=1,ROW()-1,SUM(ROW()-1,Tabla_Presupuesto[[#This Row],[Id_anterior]]))</f>
        <v>258</v>
      </c>
      <c r="F4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</v>
      </c>
      <c r="G49" s="2" t="str">
        <f>CLEAN(PROPER(Tabla_Presupuesto[[#This Row],[Nombre Opción]]))</f>
        <v>Anteproyecto Consolidado</v>
      </c>
      <c r="H49" s="2" t="s">
        <v>1735</v>
      </c>
      <c r="I49" s="2" t="str">
        <f>_xlfn.XLOOKUP(Tabla_Presupuesto[[#This Row],[id_padre]],Tabla_Presupuesto[Id],Tabla_Presupuesto[Codigo_Tecnico],"",0,1)</f>
        <v>PRESUPUESTO_PROCESOS</v>
      </c>
      <c r="J4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anteproyecto-consolidado</v>
      </c>
      <c r="L49" s="2" t="s">
        <v>1397</v>
      </c>
      <c r="M49" s="2" t="s">
        <v>1792</v>
      </c>
      <c r="N49" s="4"/>
      <c r="O49" s="4"/>
      <c r="P49" s="4" t="s">
        <v>360</v>
      </c>
      <c r="Q49" s="4"/>
      <c r="U49" s="4" t="s">
        <v>360</v>
      </c>
      <c r="AA49" s="4" t="s">
        <v>360</v>
      </c>
      <c r="AB49" s="4" t="s">
        <v>360</v>
      </c>
      <c r="AC49" s="5"/>
      <c r="AD49" s="5"/>
      <c r="AE49" s="5"/>
      <c r="AF49" s="5" t="s">
        <v>360</v>
      </c>
      <c r="AG49" s="2" t="str">
        <f>IF(OR(Tabla_Presupuesto[[#This Row],[ROL_JEFE_CONT_PRESU]]="*",Tabla_Presupuesto[[#This Row],[ROL_JEFE_CONT_PRSU_HOSPI]]="*"),"*","")</f>
        <v>*</v>
      </c>
    </row>
    <row r="50" spans="1:33" x14ac:dyDescent="0.5">
      <c r="A50" s="5">
        <f>MAX(Tabla_Contabilidad[Id])</f>
        <v>210</v>
      </c>
      <c r="B50" s="2">
        <v>258</v>
      </c>
      <c r="C50" s="5">
        <f>IF(Tabla_Presupuesto[[#This Row],[id_padre]]="",0,_xlfn.XLOOKUP(Tabla_Presupuesto[[#This Row],[id_padre]],Tabla_Presupuesto[Id],Tabla_Presupuesto[Nivel],0,0,1)+1)</f>
        <v>3</v>
      </c>
      <c r="D50" s="2" t="s">
        <v>242</v>
      </c>
      <c r="E50" s="2">
        <f>IF(Tabla_Presupuesto[[#This Row],[Id_anterior]]=1,ROW()-1,SUM(ROW()-1,Tabla_Presupuesto[[#This Row],[Id_anterior]]))</f>
        <v>259</v>
      </c>
      <c r="F5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PRESUPUESTO_PROCESOS_ANTEPROYECTO_CONSOLIDADO_COPIA_ANTEPROYECTO_POR_UNIDAD</v>
      </c>
      <c r="G50" s="2" t="str">
        <f>CLEAN(PROPER(Tabla_Presupuesto[[#This Row],[Nombre Opción]]))</f>
        <v>Copia Anteproyecto Por Unidad</v>
      </c>
      <c r="H50" s="2" t="s">
        <v>1735</v>
      </c>
      <c r="I50" s="2" t="str">
        <f>_xlfn.XLOOKUP(Tabla_Presupuesto[[#This Row],[id_padre]],Tabla_Presupuesto[Id],Tabla_Presupuesto[Codigo_Tecnico],"",0,1)</f>
        <v>PRESUPUESTO_PROCESOS_ANTEPROYECTO_CONSOLIDADO</v>
      </c>
      <c r="J5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/presupuesto/procesos/anteproyecto-consolidado/copia-anteproyecto-por-unidad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copia-anteproyecto-por-unidad</v>
      </c>
      <c r="L50" s="2" t="s">
        <v>1480</v>
      </c>
      <c r="M50" s="2" t="s">
        <v>1792</v>
      </c>
      <c r="N50" s="4"/>
      <c r="O50" s="4"/>
      <c r="P50" s="4" t="s">
        <v>360</v>
      </c>
      <c r="Q50" s="4"/>
      <c r="U50" s="4" t="s">
        <v>360</v>
      </c>
      <c r="AA50" s="4" t="s">
        <v>360</v>
      </c>
      <c r="AB50" s="4" t="s">
        <v>360</v>
      </c>
      <c r="AC50" s="5"/>
      <c r="AD50" s="5"/>
      <c r="AE50" s="5"/>
      <c r="AF50" s="5" t="s">
        <v>360</v>
      </c>
      <c r="AG50" s="2" t="str">
        <f>IF(OR(Tabla_Presupuesto[[#This Row],[ROL_JEFE_CONT_PRESU]]="*",Tabla_Presupuesto[[#This Row],[ROL_JEFE_CONT_PRSU_HOSPI]]="*"),"*","")</f>
        <v>*</v>
      </c>
    </row>
    <row r="51" spans="1:33" x14ac:dyDescent="0.5">
      <c r="A51" s="5">
        <f>MAX(Tabla_Contabilidad[Id])</f>
        <v>210</v>
      </c>
      <c r="B51" s="2">
        <v>258</v>
      </c>
      <c r="C51" s="5">
        <f>IF(Tabla_Presupuesto[[#This Row],[id_padre]]="",0,_xlfn.XLOOKUP(Tabla_Presupuesto[[#This Row],[id_padre]],Tabla_Presupuesto[Id],Tabla_Presupuesto[Nivel],0,0,1)+1)</f>
        <v>3</v>
      </c>
      <c r="D51" s="2" t="s">
        <v>243</v>
      </c>
      <c r="E51" s="2">
        <f>IF(Tabla_Presupuesto[[#This Row],[Id_anterior]]=1,ROW()-1,SUM(ROW()-1,Tabla_Presupuesto[[#This Row],[Id_anterior]]))</f>
        <v>260</v>
      </c>
      <c r="F5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PRESUPUESTO_PROCESOS_ANTEPROYECTO_CONSOLIDADO_COPIA_ANTEPROYECTO_POR_ENTIDAD</v>
      </c>
      <c r="G51" s="2" t="str">
        <f>CLEAN(PROPER(Tabla_Presupuesto[[#This Row],[Nombre Opción]]))</f>
        <v>Copia Anteproyecto Por Entidad</v>
      </c>
      <c r="H51" s="2" t="s">
        <v>1735</v>
      </c>
      <c r="I51" s="2" t="str">
        <f>_xlfn.XLOOKUP(Tabla_Presupuesto[[#This Row],[id_padre]],Tabla_Presupuesto[Id],Tabla_Presupuesto[Codigo_Tecnico],"",0,1)</f>
        <v>PRESUPUESTO_PROCESOS_ANTEPROYECTO_CONSOLIDADO</v>
      </c>
      <c r="J5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/presupuesto/procesos/anteproyecto-consolidado/copia-anteproyecto-por-entidad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copia-anteproyecto-por-entidad</v>
      </c>
      <c r="L51" s="2" t="s">
        <v>1367</v>
      </c>
      <c r="M51" s="2" t="s">
        <v>1792</v>
      </c>
      <c r="N51" s="4"/>
      <c r="O51" s="4"/>
      <c r="P51" s="4" t="s">
        <v>360</v>
      </c>
      <c r="Q51" s="4"/>
      <c r="U51" s="4" t="s">
        <v>360</v>
      </c>
      <c r="AA51" s="4" t="s">
        <v>360</v>
      </c>
      <c r="AB51" s="4" t="s">
        <v>360</v>
      </c>
      <c r="AC51" s="5"/>
      <c r="AD51" s="5"/>
      <c r="AE51" s="5"/>
      <c r="AF51" s="5" t="s">
        <v>360</v>
      </c>
      <c r="AG51" s="2" t="str">
        <f>IF(OR(Tabla_Presupuesto[[#This Row],[ROL_JEFE_CONT_PRESU]]="*",Tabla_Presupuesto[[#This Row],[ROL_JEFE_CONT_PRSU_HOSPI]]="*"),"*","")</f>
        <v>*</v>
      </c>
    </row>
    <row r="52" spans="1:33" x14ac:dyDescent="0.5">
      <c r="A52" s="5">
        <f>MAX(Tabla_Contabilidad[Id])</f>
        <v>210</v>
      </c>
      <c r="B52" s="2">
        <v>258</v>
      </c>
      <c r="C52" s="5">
        <f>IF(Tabla_Presupuesto[[#This Row],[id_padre]]="",0,_xlfn.XLOOKUP(Tabla_Presupuesto[[#This Row],[id_padre]],Tabla_Presupuesto[Id],Tabla_Presupuesto[Nivel],0,0,1)+1)</f>
        <v>3</v>
      </c>
      <c r="D52" s="2" t="s">
        <v>244</v>
      </c>
      <c r="E52" s="2">
        <f>IF(Tabla_Presupuesto[[#This Row],[Id_anterior]]=1,ROW()-1,SUM(ROW()-1,Tabla_Presupuesto[[#This Row],[Id_anterior]]))</f>
        <v>261</v>
      </c>
      <c r="F5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PRESUPUESTO_PROCESOS_ANTEPROYECTO_CONSOLIDADO_PORCENTAJES_PARA_CALCULO_PPTO</v>
      </c>
      <c r="G52" s="2" t="str">
        <f>CLEAN(PROPER(Tabla_Presupuesto[[#This Row],[Nombre Opción]]))</f>
        <v>Porcentajes Para Calculo Ppto</v>
      </c>
      <c r="H52" s="2" t="s">
        <v>1735</v>
      </c>
      <c r="I52" s="2" t="str">
        <f>_xlfn.XLOOKUP(Tabla_Presupuesto[[#This Row],[id_padre]],Tabla_Presupuesto[Id],Tabla_Presupuesto[Codigo_Tecnico],"",0,1)</f>
        <v>PRESUPUESTO_PROCESOS_ANTEPROYECTO_CONSOLIDADO</v>
      </c>
      <c r="J5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/presupuesto/procesos/anteproyecto-consolidado/porcentajes-para-calculo-ppto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porcentajes-para-calculo-ppto</v>
      </c>
      <c r="L52" s="2" t="s">
        <v>1481</v>
      </c>
      <c r="M52" s="2" t="s">
        <v>1792</v>
      </c>
      <c r="N52" s="4"/>
      <c r="O52" s="4"/>
      <c r="P52" s="4" t="s">
        <v>360</v>
      </c>
      <c r="Q52" s="4"/>
      <c r="U52" s="4" t="s">
        <v>360</v>
      </c>
      <c r="AA52" s="4" t="s">
        <v>360</v>
      </c>
      <c r="AB52" s="4" t="s">
        <v>360</v>
      </c>
      <c r="AC52" s="5"/>
      <c r="AD52" s="5"/>
      <c r="AE52" s="5"/>
      <c r="AF52" s="5" t="s">
        <v>360</v>
      </c>
      <c r="AG52" s="2" t="str">
        <f>IF(OR(Tabla_Presupuesto[[#This Row],[ROL_JEFE_CONT_PRESU]]="*",Tabla_Presupuesto[[#This Row],[ROL_JEFE_CONT_PRSU_HOSPI]]="*"),"*","")</f>
        <v>*</v>
      </c>
    </row>
    <row r="53" spans="1:33" x14ac:dyDescent="0.5">
      <c r="A53" s="5">
        <f>MAX(Tabla_Contabilidad[Id])</f>
        <v>210</v>
      </c>
      <c r="B53" s="2">
        <v>258</v>
      </c>
      <c r="C53" s="5">
        <f>IF(Tabla_Presupuesto[[#This Row],[id_padre]]="",0,_xlfn.XLOOKUP(Tabla_Presupuesto[[#This Row],[id_padre]],Tabla_Presupuesto[Id],Tabla_Presupuesto[Nivel],0,0,1)+1)</f>
        <v>3</v>
      </c>
      <c r="D53" s="2" t="s">
        <v>245</v>
      </c>
      <c r="E53" s="2">
        <f>IF(Tabla_Presupuesto[[#This Row],[Id_anterior]]=1,ROW()-1,SUM(ROW()-1,Tabla_Presupuesto[[#This Row],[Id_anterior]]))</f>
        <v>262</v>
      </c>
      <c r="F5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PRESUPUESTO_PROCESOS_ANTEPROYECTO_CONSOLIDADO_CALCULO_PRESUPUESTO</v>
      </c>
      <c r="G53" s="2" t="str">
        <f>CLEAN(PROPER(Tabla_Presupuesto[[#This Row],[Nombre Opción]]))</f>
        <v>Calculo De Presupuesto</v>
      </c>
      <c r="H53" s="2" t="s">
        <v>1735</v>
      </c>
      <c r="I53" s="2" t="str">
        <f>_xlfn.XLOOKUP(Tabla_Presupuesto[[#This Row],[id_padre]],Tabla_Presupuesto[Id],Tabla_Presupuesto[Codigo_Tecnico],"",0,1)</f>
        <v>PRESUPUESTO_PROCESOS_ANTEPROYECTO_CONSOLIDADO</v>
      </c>
      <c r="J5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/presupuesto/procesos/anteproyecto-consolidado/calculo-presupuesto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calculo-presupuesto</v>
      </c>
      <c r="L53" s="2" t="s">
        <v>1350</v>
      </c>
      <c r="M53" s="2" t="s">
        <v>1792</v>
      </c>
      <c r="N53" s="4"/>
      <c r="O53" s="4"/>
      <c r="P53" s="4" t="s">
        <v>360</v>
      </c>
      <c r="Q53" s="4"/>
      <c r="U53" s="4" t="s">
        <v>360</v>
      </c>
      <c r="AA53" s="4" t="s">
        <v>360</v>
      </c>
      <c r="AB53" s="4" t="s">
        <v>360</v>
      </c>
      <c r="AC53" s="5"/>
      <c r="AD53" s="5"/>
      <c r="AE53" s="5"/>
      <c r="AF53" s="5" t="s">
        <v>360</v>
      </c>
      <c r="AG53" s="2" t="str">
        <f>IF(OR(Tabla_Presupuesto[[#This Row],[ROL_JEFE_CONT_PRESU]]="*",Tabla_Presupuesto[[#This Row],[ROL_JEFE_CONT_PRSU_HOSPI]]="*"),"*","")</f>
        <v>*</v>
      </c>
    </row>
    <row r="54" spans="1:33" x14ac:dyDescent="0.5">
      <c r="A54" s="5">
        <f>MAX(Tabla_Contabilidad[Id])</f>
        <v>210</v>
      </c>
      <c r="B54" s="2">
        <v>258</v>
      </c>
      <c r="C54" s="5">
        <f>IF(Tabla_Presupuesto[[#This Row],[id_padre]]="",0,_xlfn.XLOOKUP(Tabla_Presupuesto[[#This Row],[id_padre]],Tabla_Presupuesto[Id],Tabla_Presupuesto[Nivel],0,0,1)+1)</f>
        <v>3</v>
      </c>
      <c r="D54" s="2" t="s">
        <v>246</v>
      </c>
      <c r="E54" s="2">
        <f>IF(Tabla_Presupuesto[[#This Row],[Id_anterior]]=1,ROW()-1,SUM(ROW()-1,Tabla_Presupuesto[[#This Row],[Id_anterior]]))</f>
        <v>263</v>
      </c>
      <c r="F5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PRESUPUESTO_PROCESOS_ANTEPROYECTO_CONSOLIDADO_INGRESO_Y_MANTENCION_ANTEPROYECTO_UNIDADES</v>
      </c>
      <c r="G54" s="2" t="str">
        <f>CLEAN(PROPER(Tabla_Presupuesto[[#This Row],[Nombre Opción]]))</f>
        <v>Ingreso Y Mantencion Anteproyecto De Unidades</v>
      </c>
      <c r="H54" s="2" t="s">
        <v>1735</v>
      </c>
      <c r="I54" s="2" t="str">
        <f>_xlfn.XLOOKUP(Tabla_Presupuesto[[#This Row],[id_padre]],Tabla_Presupuesto[Id],Tabla_Presupuesto[Codigo_Tecnico],"",0,1)</f>
        <v>PRESUPUESTO_PROCESOS_ANTEPROYECTO_CONSOLIDADO</v>
      </c>
      <c r="J5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/presupuesto/procesos/anteproyecto-consolidado/ingreso-y-mantencion-anteproyecto-unidades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ingreso-y-mantencion-anteproyecto-unidades</v>
      </c>
      <c r="L54" s="2" t="s">
        <v>1482</v>
      </c>
      <c r="M54" s="2" t="s">
        <v>1792</v>
      </c>
      <c r="N54" s="4"/>
      <c r="O54" s="4"/>
      <c r="P54" s="4" t="s">
        <v>360</v>
      </c>
      <c r="Q54" s="4"/>
      <c r="U54" s="4" t="s">
        <v>360</v>
      </c>
      <c r="AA54" s="4" t="s">
        <v>360</v>
      </c>
      <c r="AB54" s="4" t="s">
        <v>360</v>
      </c>
      <c r="AC54" s="5"/>
      <c r="AD54" s="5"/>
      <c r="AE54" s="5"/>
      <c r="AF54" s="5" t="s">
        <v>360</v>
      </c>
      <c r="AG54" s="2" t="str">
        <f>IF(OR(Tabla_Presupuesto[[#This Row],[ROL_JEFE_CONT_PRESU]]="*",Tabla_Presupuesto[[#This Row],[ROL_JEFE_CONT_PRSU_HOSPI]]="*"),"*","")</f>
        <v>*</v>
      </c>
    </row>
    <row r="55" spans="1:33" x14ac:dyDescent="0.5">
      <c r="A55" s="5">
        <f>MAX(Tabla_Contabilidad[Id])</f>
        <v>210</v>
      </c>
      <c r="B55" s="2">
        <v>258</v>
      </c>
      <c r="C55" s="5">
        <f>IF(Tabla_Presupuesto[[#This Row],[id_padre]]="",0,_xlfn.XLOOKUP(Tabla_Presupuesto[[#This Row],[id_padre]],Tabla_Presupuesto[Id],Tabla_Presupuesto[Nivel],0,0,1)+1)</f>
        <v>3</v>
      </c>
      <c r="D55" s="2" t="s">
        <v>247</v>
      </c>
      <c r="E55" s="2">
        <f>IF(Tabla_Presupuesto[[#This Row],[Id_anterior]]=1,ROW()-1,SUM(ROW()-1,Tabla_Presupuesto[[#This Row],[Id_anterior]]))</f>
        <v>264</v>
      </c>
      <c r="F5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PRESUPUESTO_PROCESOS_ANTEPROYECTO_CONSOLIDADO_APROBAR_VERSION_FINAL</v>
      </c>
      <c r="G55" s="2" t="str">
        <f>CLEAN(PROPER(Tabla_Presupuesto[[#This Row],[Nombre Opción]]))</f>
        <v>Aprobar Version Final</v>
      </c>
      <c r="H55" s="2" t="s">
        <v>1735</v>
      </c>
      <c r="I55" s="2" t="str">
        <f>_xlfn.XLOOKUP(Tabla_Presupuesto[[#This Row],[id_padre]],Tabla_Presupuesto[Id],Tabla_Presupuesto[Codigo_Tecnico],"",0,1)</f>
        <v>PRESUPUESTO_PROCESOS_ANTEPROYECTO_CONSOLIDADO</v>
      </c>
      <c r="J5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/presupuesto/procesos/anteproyecto-consolidado/aprobar-version-final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aprobar-version-final</v>
      </c>
      <c r="L55" s="2" t="s">
        <v>1410</v>
      </c>
      <c r="M55" s="2" t="s">
        <v>1792</v>
      </c>
      <c r="N55" s="4"/>
      <c r="O55" s="4"/>
      <c r="P55" s="4" t="s">
        <v>360</v>
      </c>
      <c r="Q55" s="4"/>
      <c r="U55" s="4" t="s">
        <v>360</v>
      </c>
      <c r="AA55" s="4" t="s">
        <v>360</v>
      </c>
      <c r="AB55" s="4" t="s">
        <v>360</v>
      </c>
      <c r="AC55" s="5"/>
      <c r="AD55" s="5"/>
      <c r="AE55" s="5"/>
      <c r="AF55" s="5" t="s">
        <v>360</v>
      </c>
      <c r="AG55" s="2" t="str">
        <f>IF(OR(Tabla_Presupuesto[[#This Row],[ROL_JEFE_CONT_PRESU]]="*",Tabla_Presupuesto[[#This Row],[ROL_JEFE_CONT_PRSU_HOSPI]]="*"),"*","")</f>
        <v>*</v>
      </c>
    </row>
    <row r="56" spans="1:33" x14ac:dyDescent="0.5">
      <c r="A56" s="5">
        <f>MAX(Tabla_Contabilidad[Id])</f>
        <v>210</v>
      </c>
      <c r="B56" s="2">
        <v>258</v>
      </c>
      <c r="C56" s="5">
        <f>IF(Tabla_Presupuesto[[#This Row],[id_padre]]="",0,_xlfn.XLOOKUP(Tabla_Presupuesto[[#This Row],[id_padre]],Tabla_Presupuesto[Id],Tabla_Presupuesto[Nivel],0,0,1)+1)</f>
        <v>3</v>
      </c>
      <c r="D56" s="2" t="s">
        <v>248</v>
      </c>
      <c r="E56" s="2">
        <f>IF(Tabla_Presupuesto[[#This Row],[Id_anterior]]=1,ROW()-1,SUM(ROW()-1,Tabla_Presupuesto[[#This Row],[Id_anterior]]))</f>
        <v>265</v>
      </c>
      <c r="F5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PRESUPUESTO_PROCESOS_ANTEPROYECTO_CONSOLIDADO_TRANSFERENCIA_EJECUCION_PRESUPUESTARIA</v>
      </c>
      <c r="G56" s="2" t="str">
        <f>CLEAN(PROPER(Tabla_Presupuesto[[#This Row],[Nombre Opción]]))</f>
        <v>Transferencia A Ejecucion Presupuestaria</v>
      </c>
      <c r="H56" s="2" t="s">
        <v>1735</v>
      </c>
      <c r="I56" s="2" t="str">
        <f>_xlfn.XLOOKUP(Tabla_Presupuesto[[#This Row],[id_padre]],Tabla_Presupuesto[Id],Tabla_Presupuesto[Codigo_Tecnico],"",0,1)</f>
        <v>PRESUPUESTO_PROCESOS_ANTEPROYECTO_CONSOLIDADO</v>
      </c>
      <c r="J5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/presupuesto/procesos/anteproyecto-consolidado/transferencia-ejecucion-presupuestaria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transferencia-ejecucion-presupuestaria</v>
      </c>
      <c r="L56" s="2" t="s">
        <v>1483</v>
      </c>
      <c r="M56" s="2" t="s">
        <v>1792</v>
      </c>
      <c r="N56" s="4"/>
      <c r="O56" s="4"/>
      <c r="P56" s="4" t="s">
        <v>360</v>
      </c>
      <c r="Q56" s="4"/>
      <c r="U56" s="4" t="s">
        <v>360</v>
      </c>
      <c r="AA56" s="4" t="s">
        <v>360</v>
      </c>
      <c r="AB56" s="4" t="s">
        <v>360</v>
      </c>
      <c r="AC56" s="5"/>
      <c r="AD56" s="5"/>
      <c r="AE56" s="5"/>
      <c r="AF56" s="5" t="s">
        <v>360</v>
      </c>
      <c r="AG56" s="2" t="str">
        <f>IF(OR(Tabla_Presupuesto[[#This Row],[ROL_JEFE_CONT_PRESU]]="*",Tabla_Presupuesto[[#This Row],[ROL_JEFE_CONT_PRSU_HOSPI]]="*"),"*","")</f>
        <v>*</v>
      </c>
    </row>
    <row r="57" spans="1:33" hidden="1" x14ac:dyDescent="0.5">
      <c r="A57" s="5">
        <f>MAX(Tabla_Contabilidad[Id])</f>
        <v>210</v>
      </c>
      <c r="B57" s="2">
        <v>258</v>
      </c>
      <c r="C57" s="5">
        <f>IF(Tabla_Presupuesto[[#This Row],[id_padre]]="",0,_xlfn.XLOOKUP(Tabla_Presupuesto[[#This Row],[id_padre]],Tabla_Presupuesto[Id],Tabla_Presupuesto[Nivel],0,0,1)+1)</f>
        <v>3</v>
      </c>
      <c r="D57" s="2" t="s">
        <v>249</v>
      </c>
      <c r="E57" s="2">
        <f>IF(Tabla_Presupuesto[[#This Row],[Id_anterior]]=1,ROW()-1,SUM(ROW()-1,Tabla_Presupuesto[[#This Row],[Id_anterior]]))</f>
        <v>266</v>
      </c>
      <c r="F5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PRESUPUESTO_PROCESOS_ANTEPROYECTO_CONSOLIDADO_GENERA_ARCHIVO_PLANO_PARA_PRESENTACION</v>
      </c>
      <c r="G57" s="2" t="str">
        <f>CLEAN(PROPER(Tabla_Presupuesto[[#This Row],[Nombre Opción]]))</f>
        <v>Genera Archivo Plano Para Presentacion</v>
      </c>
      <c r="H57" s="2" t="s">
        <v>1735</v>
      </c>
      <c r="I57" s="2" t="str">
        <f>_xlfn.XLOOKUP(Tabla_Presupuesto[[#This Row],[id_padre]],Tabla_Presupuesto[Id],Tabla_Presupuesto[Codigo_Tecnico],"",0,1)</f>
        <v>PRESUPUESTO_PROCESOS_ANTEPROYECTO_CONSOLIDADO</v>
      </c>
      <c r="J5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/presupuesto/procesos/anteproyecto-consolidado/genera-archivo-plano-para-presentacion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genera-archivo-plano-para-presentacion</v>
      </c>
      <c r="L57" s="2" t="s">
        <v>1484</v>
      </c>
      <c r="M57" s="2" t="s">
        <v>1792</v>
      </c>
      <c r="N57" s="4"/>
      <c r="O57" s="4"/>
      <c r="P57" s="4" t="s">
        <v>360</v>
      </c>
      <c r="Q57" s="4"/>
      <c r="U57" s="4" t="s">
        <v>360</v>
      </c>
      <c r="AA57" s="4" t="s">
        <v>360</v>
      </c>
      <c r="AB57" s="5"/>
      <c r="AC57" s="5"/>
      <c r="AD57" s="5"/>
      <c r="AE57" s="5"/>
      <c r="AF57" s="5" t="s">
        <v>360</v>
      </c>
      <c r="AG57" s="2" t="str">
        <f>IF(OR(Tabla_Presupuesto[[#This Row],[ROL_JEFE_CONT_PRESU]]="*",Tabla_Presupuesto[[#This Row],[ROL_JEFE_CONT_PRSU_HOSPI]]="*"),"*","")</f>
        <v/>
      </c>
    </row>
    <row r="58" spans="1:33" hidden="1" x14ac:dyDescent="0.5">
      <c r="A58" s="5">
        <f>MAX(Tabla_Contabilidad[Id])</f>
        <v>210</v>
      </c>
      <c r="B58" s="2">
        <v>213</v>
      </c>
      <c r="C58" s="5">
        <f>IF(Tabla_Presupuesto[[#This Row],[id_padre]]="",0,_xlfn.XLOOKUP(Tabla_Presupuesto[[#This Row],[id_padre]],Tabla_Presupuesto[Id],Tabla_Presupuesto[Nivel],0,0,1)+1)</f>
        <v>2</v>
      </c>
      <c r="D58" s="2" t="s">
        <v>250</v>
      </c>
      <c r="E58" s="2">
        <f>IF(Tabla_Presupuesto[[#This Row],[Id_anterior]]=1,ROW()-1,SUM(ROW()-1,Tabla_Presupuesto[[#This Row],[Id_anterior]]))</f>
        <v>267</v>
      </c>
      <c r="F5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PRESUPUESTO_PROCESOS_GESTION_ANTEPROYECTO_CONSOLIDADO</v>
      </c>
      <c r="G58" s="2" t="str">
        <f>CLEAN(PROPER(Tabla_Presupuesto[[#This Row],[Nombre Opción]]))</f>
        <v>Gestion Anteproyecto Consolidado</v>
      </c>
      <c r="H58" s="2" t="s">
        <v>1735</v>
      </c>
      <c r="I58" s="2" t="str">
        <f>_xlfn.XLOOKUP(Tabla_Presupuesto[[#This Row],[id_padre]],Tabla_Presupuesto[Id],Tabla_Presupuesto[Codigo_Tecnico],"",0,1)</f>
        <v>PRESUPUESTO_PROCESOS</v>
      </c>
      <c r="J5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/presupuesto/procesos/gestion-anteproyecto-consolidado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gestion-anteproyecto-consolidado</v>
      </c>
      <c r="L58" s="2" t="s">
        <v>1485</v>
      </c>
      <c r="M58" s="2" t="s">
        <v>1792</v>
      </c>
      <c r="N58" s="4"/>
      <c r="O58" s="4"/>
      <c r="P58" s="4"/>
      <c r="Q58" s="4"/>
      <c r="AB58" s="5"/>
      <c r="AC58" s="5" t="s">
        <v>360</v>
      </c>
      <c r="AD58" s="5"/>
      <c r="AE58" s="5"/>
      <c r="AF58" s="5" t="s">
        <v>360</v>
      </c>
      <c r="AG58" s="2" t="str">
        <f>IF(OR(Tabla_Presupuesto[[#This Row],[ROL_JEFE_CONT_PRESU]]="*",Tabla_Presupuesto[[#This Row],[ROL_JEFE_CONT_PRSU_HOSPI]]="*"),"*","")</f>
        <v/>
      </c>
    </row>
    <row r="59" spans="1:33" hidden="1" x14ac:dyDescent="0.5">
      <c r="A59" s="5">
        <f>MAX(Tabla_Contabilidad[Id])</f>
        <v>210</v>
      </c>
      <c r="B59" s="2">
        <v>213</v>
      </c>
      <c r="C59" s="5">
        <f>IF(Tabla_Presupuesto[[#This Row],[id_padre]]="",0,_xlfn.XLOOKUP(Tabla_Presupuesto[[#This Row],[id_padre]],Tabla_Presupuesto[Id],Tabla_Presupuesto[Nivel],0,0,1)+1)</f>
        <v>2</v>
      </c>
      <c r="D59" s="2" t="s">
        <v>251</v>
      </c>
      <c r="E59" s="2">
        <f>IF(Tabla_Presupuesto[[#This Row],[Id_anterior]]=1,ROW()-1,SUM(ROW()-1,Tabla_Presupuesto[[#This Row],[Id_anterior]]))</f>
        <v>268</v>
      </c>
      <c r="F5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PRESUPUESTO_PROCESOS_PREOBLIGA_Y_OBLIGA_DIRECTA</v>
      </c>
      <c r="G59" s="2" t="str">
        <f>CLEAN(PROPER(Tabla_Presupuesto[[#This Row],[Nombre Opción]]))</f>
        <v>Preobliga Y Obliga Directa</v>
      </c>
      <c r="H59" s="2" t="s">
        <v>1735</v>
      </c>
      <c r="I59" s="2" t="str">
        <f>_xlfn.XLOOKUP(Tabla_Presupuesto[[#This Row],[id_padre]],Tabla_Presupuesto[Id],Tabla_Presupuesto[Codigo_Tecnico],"",0,1)</f>
        <v>PRESUPUESTO_PROCESOS</v>
      </c>
      <c r="J5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/presupuesto/procesos/preobliga-y-obliga-directa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preobliga-y-obliga-directa</v>
      </c>
      <c r="L59" s="2" t="s">
        <v>1486</v>
      </c>
      <c r="M59" s="2" t="s">
        <v>1792</v>
      </c>
      <c r="N59" s="4"/>
      <c r="O59" s="4"/>
      <c r="P59" s="4" t="s">
        <v>360</v>
      </c>
      <c r="Q59" s="4"/>
      <c r="AB59" s="5"/>
      <c r="AC59" s="5"/>
      <c r="AD59" s="5"/>
      <c r="AE59" s="5"/>
      <c r="AF59" s="5" t="s">
        <v>360</v>
      </c>
      <c r="AG59" s="2" t="str">
        <f>IF(OR(Tabla_Presupuesto[[#This Row],[ROL_JEFE_CONT_PRESU]]="*",Tabla_Presupuesto[[#This Row],[ROL_JEFE_CONT_PRSU_HOSPI]]="*"),"*","")</f>
        <v/>
      </c>
    </row>
    <row r="60" spans="1:33" x14ac:dyDescent="0.5">
      <c r="A60" s="5">
        <f>MAX(Tabla_Contabilidad[Id])</f>
        <v>210</v>
      </c>
      <c r="B60" s="2">
        <v>214</v>
      </c>
      <c r="C60" s="5">
        <f>IF(Tabla_Presupuesto[[#This Row],[id_padre]]="",0,_xlfn.XLOOKUP(Tabla_Presupuesto[[#This Row],[id_padre]],Tabla_Presupuesto[Id],Tabla_Presupuesto[Nivel],0,0,1)+1)</f>
        <v>2</v>
      </c>
      <c r="D60" s="2" t="s">
        <v>206</v>
      </c>
      <c r="E60" s="2">
        <f>IF(Tabla_Presupuesto[[#This Row],[Id_anterior]]=1,ROW()-1,SUM(ROW()-1,Tabla_Presupuesto[[#This Row],[Id_anterior]]))</f>
        <v>269</v>
      </c>
      <c r="F6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PRESUPUESTO_CONSULTAS_PRESUPUESTO</v>
      </c>
      <c r="G60" s="2" t="str">
        <f>CLEAN(PROPER(Tabla_Presupuesto[[#This Row],[Nombre Opción]]))</f>
        <v>Presupuesto</v>
      </c>
      <c r="H60" s="2" t="s">
        <v>1735</v>
      </c>
      <c r="I60" s="2" t="str">
        <f>_xlfn.XLOOKUP(Tabla_Presupuesto[[#This Row],[id_padre]],Tabla_Presupuesto[Id],Tabla_Presupuesto[Codigo_Tecnico],"",0,1)</f>
        <v>PRESUPUESTO_CONSULTAS</v>
      </c>
      <c r="J6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/presupuesto/consultas/presupuesto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presupuesto</v>
      </c>
      <c r="L60" s="2" t="s">
        <v>1395</v>
      </c>
      <c r="M60" s="2" t="s">
        <v>1792</v>
      </c>
      <c r="N60" s="4"/>
      <c r="O60" s="4"/>
      <c r="P60" s="4" t="s">
        <v>360</v>
      </c>
      <c r="Q60" s="4" t="s">
        <v>360</v>
      </c>
      <c r="R60" s="4" t="s">
        <v>360</v>
      </c>
      <c r="U60" s="4" t="s">
        <v>360</v>
      </c>
      <c r="X60" s="4" t="s">
        <v>360</v>
      </c>
      <c r="Y60" s="4" t="s">
        <v>360</v>
      </c>
      <c r="Z60" s="4" t="s">
        <v>360</v>
      </c>
      <c r="AA60" s="4" t="s">
        <v>360</v>
      </c>
      <c r="AB60" s="4" t="s">
        <v>360</v>
      </c>
      <c r="AC60" s="5"/>
      <c r="AD60" s="5"/>
      <c r="AE60" s="5"/>
      <c r="AF60" s="5" t="s">
        <v>360</v>
      </c>
      <c r="AG60" s="2" t="str">
        <f>IF(OR(Tabla_Presupuesto[[#This Row],[ROL_JEFE_CONT_PRESU]]="*",Tabla_Presupuesto[[#This Row],[ROL_JEFE_CONT_PRSU_HOSPI]]="*"),"*","")</f>
        <v>*</v>
      </c>
    </row>
    <row r="61" spans="1:33" x14ac:dyDescent="0.5">
      <c r="A61" s="5">
        <f>MAX(Tabla_Contabilidad[Id])</f>
        <v>210</v>
      </c>
      <c r="B61" s="2">
        <v>269</v>
      </c>
      <c r="C61" s="5">
        <f>IF(Tabla_Presupuesto[[#This Row],[id_padre]]="",0,_xlfn.XLOOKUP(Tabla_Presupuesto[[#This Row],[id_padre]],Tabla_Presupuesto[Id],Tabla_Presupuesto[Nivel],0,0,1)+1)</f>
        <v>3</v>
      </c>
      <c r="D61" s="2" t="s">
        <v>252</v>
      </c>
      <c r="E61" s="2">
        <f>IF(Tabla_Presupuesto[[#This Row],[Id_anterior]]=1,ROW()-1,SUM(ROW()-1,Tabla_Presupuesto[[#This Row],[Id_anterior]]))</f>
        <v>270</v>
      </c>
      <c r="F6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PRESUPUESTO_CONSULTAS_PRESUPUESTO_UNIDAD_UNIDAD_INTERNA</v>
      </c>
      <c r="G61" s="2" t="str">
        <f>CLEAN(PROPER(Tabla_Presupuesto[[#This Row],[Nombre Opción]]))</f>
        <v>Unidad / Unidad Interna</v>
      </c>
      <c r="H61" s="2" t="s">
        <v>1735</v>
      </c>
      <c r="I61" s="2" t="str">
        <f>_xlfn.XLOOKUP(Tabla_Presupuesto[[#This Row],[id_padre]],Tabla_Presupuesto[Id],Tabla_Presupuesto[Codigo_Tecnico],"",0,1)</f>
        <v>PRESUPUESTO_CONSULTAS_PRESUPUESTO</v>
      </c>
      <c r="J6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/presupuesto/consultas/presupuesto/unidad-unidad-interna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unidad-unidad-interna</v>
      </c>
      <c r="L61" s="2" t="s">
        <v>1345</v>
      </c>
      <c r="M61" s="2" t="s">
        <v>1792</v>
      </c>
      <c r="N61" s="4"/>
      <c r="O61" s="4"/>
      <c r="P61" s="4" t="s">
        <v>360</v>
      </c>
      <c r="Q61" s="4" t="s">
        <v>360</v>
      </c>
      <c r="R61" s="4" t="s">
        <v>360</v>
      </c>
      <c r="U61" s="4" t="s">
        <v>360</v>
      </c>
      <c r="X61" s="4" t="s">
        <v>360</v>
      </c>
      <c r="Y61" s="4" t="s">
        <v>360</v>
      </c>
      <c r="Z61" s="4" t="s">
        <v>360</v>
      </c>
      <c r="AA61" s="4" t="s">
        <v>360</v>
      </c>
      <c r="AB61" s="4" t="s">
        <v>360</v>
      </c>
      <c r="AC61" s="5"/>
      <c r="AD61" s="5"/>
      <c r="AE61" s="5"/>
      <c r="AF61" s="5" t="s">
        <v>360</v>
      </c>
      <c r="AG61" s="2" t="str">
        <f>IF(OR(Tabla_Presupuesto[[#This Row],[ROL_JEFE_CONT_PRESU]]="*",Tabla_Presupuesto[[#This Row],[ROL_JEFE_CONT_PRSU_HOSPI]]="*"),"*","")</f>
        <v>*</v>
      </c>
    </row>
    <row r="62" spans="1:33" hidden="1" x14ac:dyDescent="0.5">
      <c r="A62" s="5">
        <f>MAX(Tabla_Contabilidad[Id])</f>
        <v>210</v>
      </c>
      <c r="B62" s="2">
        <v>214</v>
      </c>
      <c r="C62" s="5">
        <f>IF(Tabla_Presupuesto[[#This Row],[id_padre]]="",0,_xlfn.XLOOKUP(Tabla_Presupuesto[[#This Row],[id_padre]],Tabla_Presupuesto[Id],Tabla_Presupuesto[Nivel],0,0,1)+1)</f>
        <v>2</v>
      </c>
      <c r="D62" s="2" t="s">
        <v>253</v>
      </c>
      <c r="E62" s="2">
        <f>IF(Tabla_Presupuesto[[#This Row],[Id_anterior]]=1,ROW()-1,SUM(ROW()-1,Tabla_Presupuesto[[#This Row],[Id_anterior]]))</f>
        <v>271</v>
      </c>
      <c r="F6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PRESUPUESTO_CONSULTAS_EJECUCION_PRESUPUESTARIA</v>
      </c>
      <c r="G62" s="2" t="str">
        <f>CLEAN(PROPER(Tabla_Presupuesto[[#This Row],[Nombre Opción]]))</f>
        <v>Ejecucion Presupuestaria</v>
      </c>
      <c r="H62" s="2" t="s">
        <v>1735</v>
      </c>
      <c r="I62" s="2" t="str">
        <f>_xlfn.XLOOKUP(Tabla_Presupuesto[[#This Row],[id_padre]],Tabla_Presupuesto[Id],Tabla_Presupuesto[Codigo_Tecnico],"",0,1)</f>
        <v>PRESUPUESTO_CONSULTAS</v>
      </c>
      <c r="J6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/presupuesto/consultas/ejecucion-presupuestaria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</v>
      </c>
      <c r="L62" s="2" t="s">
        <v>1487</v>
      </c>
      <c r="M62" s="2" t="s">
        <v>1792</v>
      </c>
      <c r="N62" s="4"/>
      <c r="O62" s="4"/>
      <c r="P62" s="4" t="s">
        <v>360</v>
      </c>
      <c r="Q62" s="4"/>
      <c r="AB62" s="5"/>
      <c r="AC62" s="5"/>
      <c r="AD62" s="5"/>
      <c r="AE62" s="5"/>
      <c r="AF62" s="5" t="s">
        <v>360</v>
      </c>
      <c r="AG62" s="2" t="str">
        <f>IF(OR(Tabla_Presupuesto[[#This Row],[ROL_JEFE_CONT_PRESU]]="*",Tabla_Presupuesto[[#This Row],[ROL_JEFE_CONT_PRSU_HOSPI]]="*"),"*","")</f>
        <v/>
      </c>
    </row>
    <row r="63" spans="1:33" hidden="1" x14ac:dyDescent="0.5">
      <c r="A63" s="5">
        <f>MAX(Tabla_Contabilidad[Id])</f>
        <v>210</v>
      </c>
      <c r="B63" s="2">
        <v>271</v>
      </c>
      <c r="C63" s="5">
        <f>IF(Tabla_Presupuesto[[#This Row],[id_padre]]="",0,_xlfn.XLOOKUP(Tabla_Presupuesto[[#This Row],[id_padre]],Tabla_Presupuesto[Id],Tabla_Presupuesto[Nivel],0,0,1)+1)</f>
        <v>3</v>
      </c>
      <c r="D63" s="2" t="s">
        <v>254</v>
      </c>
      <c r="E63" s="2">
        <f>IF(Tabla_Presupuesto[[#This Row],[Id_anterior]]=1,ROW()-1,SUM(ROW()-1,Tabla_Presupuesto[[#This Row],[Id_anterior]]))</f>
        <v>272</v>
      </c>
      <c r="F6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PRESUPUESTO_CONSULTAS_EJECUCION_PRESUPUESTARIA_FONDOS_NO_OBLIGADOS</v>
      </c>
      <c r="G63" s="2" t="str">
        <f>CLEAN(PROPER(Tabla_Presupuesto[[#This Row],[Nombre Opción]]))</f>
        <v>Fondos No Obligados</v>
      </c>
      <c r="H63" s="2" t="s">
        <v>1735</v>
      </c>
      <c r="I63" s="2" t="str">
        <f>_xlfn.XLOOKUP(Tabla_Presupuesto[[#This Row],[id_padre]],Tabla_Presupuesto[Id],Tabla_Presupuesto[Codigo_Tecnico],"",0,1)</f>
        <v>PRESUPUESTO_CONSULTAS_EJECUCION_PRESUPUESTARIA</v>
      </c>
      <c r="J6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/presupuesto/consultas/ejecucion-presupuestaria/fondos-no-obligados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fondos-no-obligados</v>
      </c>
      <c r="L63" s="2" t="s">
        <v>1488</v>
      </c>
      <c r="M63" s="2" t="s">
        <v>1792</v>
      </c>
      <c r="N63" s="4"/>
      <c r="O63" s="4"/>
      <c r="P63" s="4" t="s">
        <v>360</v>
      </c>
      <c r="Q63" s="4"/>
      <c r="AB63" s="5"/>
      <c r="AC63" s="5"/>
      <c r="AD63" s="5"/>
      <c r="AE63" s="5"/>
      <c r="AF63" s="5" t="s">
        <v>360</v>
      </c>
      <c r="AG63" s="2" t="str">
        <f>IF(OR(Tabla_Presupuesto[[#This Row],[ROL_JEFE_CONT_PRESU]]="*",Tabla_Presupuesto[[#This Row],[ROL_JEFE_CONT_PRSU_HOSPI]]="*"),"*","")</f>
        <v/>
      </c>
    </row>
    <row r="64" spans="1:33" hidden="1" x14ac:dyDescent="0.5">
      <c r="A64" s="5">
        <f>MAX(Tabla_Contabilidad[Id])</f>
        <v>210</v>
      </c>
      <c r="B64" s="2">
        <v>271</v>
      </c>
      <c r="C64" s="5">
        <f>IF(Tabla_Presupuesto[[#This Row],[id_padre]]="",0,_xlfn.XLOOKUP(Tabla_Presupuesto[[#This Row],[id_padre]],Tabla_Presupuesto[Id],Tabla_Presupuesto[Nivel],0,0,1)+1)</f>
        <v>3</v>
      </c>
      <c r="D64" s="2" t="s">
        <v>255</v>
      </c>
      <c r="E64" s="2">
        <f>IF(Tabla_Presupuesto[[#This Row],[Id_anterior]]=1,ROW()-1,SUM(ROW()-1,Tabla_Presupuesto[[#This Row],[Id_anterior]]))</f>
        <v>273</v>
      </c>
      <c r="F6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PRESUPUESTO_CONSULTAS_EJECUCION_PRESUPUESTARIA_NIVEL_SUBTITULO_CONSOLIDADO</v>
      </c>
      <c r="G64" s="2" t="str">
        <f>CLEAN(PROPER(Tabla_Presupuesto[[#This Row],[Nombre Opción]]))</f>
        <v>Nivel Subtitulo Consolidado</v>
      </c>
      <c r="H64" s="2" t="s">
        <v>1735</v>
      </c>
      <c r="I64" s="2" t="str">
        <f>_xlfn.XLOOKUP(Tabla_Presupuesto[[#This Row],[id_padre]],Tabla_Presupuesto[Id],Tabla_Presupuesto[Codigo_Tecnico],"",0,1)</f>
        <v>PRESUPUESTO_CONSULTAS_EJECUCION_PRESUPUESTARIA</v>
      </c>
      <c r="J6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/presupuesto/consultas/ejecucion-presupuestaria/nivel-subtitulo-consolidado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nivel-subtitulo-consolidado</v>
      </c>
      <c r="L64" s="2" t="s">
        <v>1472</v>
      </c>
      <c r="M64" s="2" t="s">
        <v>1792</v>
      </c>
      <c r="N64" s="4"/>
      <c r="O64" s="4"/>
      <c r="P64" s="4" t="s">
        <v>360</v>
      </c>
      <c r="Q64" s="4"/>
      <c r="AB64" s="5"/>
      <c r="AC64" s="5"/>
      <c r="AD64" s="5"/>
      <c r="AE64" s="5"/>
      <c r="AF64" s="5" t="s">
        <v>360</v>
      </c>
      <c r="AG64" s="2" t="str">
        <f>IF(OR(Tabla_Presupuesto[[#This Row],[ROL_JEFE_CONT_PRESU]]="*",Tabla_Presupuesto[[#This Row],[ROL_JEFE_CONT_PRSU_HOSPI]]="*"),"*","")</f>
        <v/>
      </c>
    </row>
    <row r="65" spans="1:33" hidden="1" x14ac:dyDescent="0.5">
      <c r="A65" s="5">
        <f>MAX(Tabla_Contabilidad[Id])</f>
        <v>210</v>
      </c>
      <c r="B65" s="2">
        <v>271</v>
      </c>
      <c r="C65" s="5">
        <f>IF(Tabla_Presupuesto[[#This Row],[id_padre]]="",0,_xlfn.XLOOKUP(Tabla_Presupuesto[[#This Row],[id_padre]],Tabla_Presupuesto[Id],Tabla_Presupuesto[Nivel],0,0,1)+1)</f>
        <v>3</v>
      </c>
      <c r="D65" s="2" t="s">
        <v>256</v>
      </c>
      <c r="E65" s="2">
        <f>IF(Tabla_Presupuesto[[#This Row],[Id_anterior]]=1,ROW()-1,SUM(ROW()-1,Tabla_Presupuesto[[#This Row],[Id_anterior]]))</f>
        <v>274</v>
      </c>
      <c r="F6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PRESUPUESTO_CONSULTAS_EJECUCION_PRESUPUESTARIA_NIVEL_ITEM_CONSOLIDADO</v>
      </c>
      <c r="G65" s="2" t="str">
        <f>CLEAN(PROPER(Tabla_Presupuesto[[#This Row],[Nombre Opción]]))</f>
        <v>Nivel Item Consolidado</v>
      </c>
      <c r="H65" s="2" t="s">
        <v>1735</v>
      </c>
      <c r="I65" s="2" t="str">
        <f>_xlfn.XLOOKUP(Tabla_Presupuesto[[#This Row],[id_padre]],Tabla_Presupuesto[Id],Tabla_Presupuesto[Codigo_Tecnico],"",0,1)</f>
        <v>PRESUPUESTO_CONSULTAS_EJECUCION_PRESUPUESTARIA</v>
      </c>
      <c r="J6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/presupuesto/consultas/ejecucion-presupuestaria/nivel-item-consolidado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nivel-item-consolidado</v>
      </c>
      <c r="L65" s="2" t="s">
        <v>1389</v>
      </c>
      <c r="M65" s="2" t="s">
        <v>1792</v>
      </c>
      <c r="N65" s="4"/>
      <c r="O65" s="4"/>
      <c r="P65" s="4" t="s">
        <v>360</v>
      </c>
      <c r="Q65" s="4"/>
      <c r="AB65" s="5"/>
      <c r="AC65" s="5"/>
      <c r="AD65" s="5"/>
      <c r="AE65" s="5"/>
      <c r="AF65" s="5" t="s">
        <v>360</v>
      </c>
      <c r="AG65" s="2" t="str">
        <f>IF(OR(Tabla_Presupuesto[[#This Row],[ROL_JEFE_CONT_PRESU]]="*",Tabla_Presupuesto[[#This Row],[ROL_JEFE_CONT_PRSU_HOSPI]]="*"),"*","")</f>
        <v/>
      </c>
    </row>
    <row r="66" spans="1:33" x14ac:dyDescent="0.5">
      <c r="A66" s="5">
        <f>MAX(Tabla_Contabilidad[Id])</f>
        <v>210</v>
      </c>
      <c r="B66" s="2">
        <v>214</v>
      </c>
      <c r="C66" s="5">
        <f>IF(Tabla_Presupuesto[[#This Row],[id_padre]]="",0,_xlfn.XLOOKUP(Tabla_Presupuesto[[#This Row],[id_padre]],Tabla_Presupuesto[Id],Tabla_Presupuesto[Nivel],0,0,1)+1)</f>
        <v>2</v>
      </c>
      <c r="D66" s="2" t="s">
        <v>218</v>
      </c>
      <c r="E66" s="2">
        <f>IF(Tabla_Presupuesto[[#This Row],[Id_anterior]]=1,ROW()-1,SUM(ROW()-1,Tabla_Presupuesto[[#This Row],[Id_anterior]]))</f>
        <v>275</v>
      </c>
      <c r="F6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PRESUPUESTO_CONSULTAS_MODIFICACIONES_PRESUPUESTARIAS</v>
      </c>
      <c r="G66" s="2" t="str">
        <f>CLEAN(PROPER(Tabla_Presupuesto[[#This Row],[Nombre Opción]]))</f>
        <v>Modificaciones Presupuestarias</v>
      </c>
      <c r="H66" s="2" t="s">
        <v>1735</v>
      </c>
      <c r="I66" s="2" t="str">
        <f>_xlfn.XLOOKUP(Tabla_Presupuesto[[#This Row],[id_padre]],Tabla_Presupuesto[Id],Tabla_Presupuesto[Codigo_Tecnico],"",0,1)</f>
        <v>PRESUPUESTO_CONSULTAS</v>
      </c>
      <c r="J6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/presupuesto/consultas/modificaciones-presupuestarias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modificaciones-presupuestarias</v>
      </c>
      <c r="L66" s="2" t="s">
        <v>1472</v>
      </c>
      <c r="M66" s="2" t="s">
        <v>1792</v>
      </c>
      <c r="N66" s="4"/>
      <c r="O66" s="4"/>
      <c r="P66" s="4" t="s">
        <v>360</v>
      </c>
      <c r="Q66" s="4"/>
      <c r="R66" s="4" t="s">
        <v>360</v>
      </c>
      <c r="U66" s="4" t="s">
        <v>360</v>
      </c>
      <c r="X66" s="4" t="s">
        <v>360</v>
      </c>
      <c r="Y66" s="4" t="s">
        <v>360</v>
      </c>
      <c r="AA66" s="4" t="s">
        <v>360</v>
      </c>
      <c r="AB66" s="5" t="s">
        <v>360</v>
      </c>
      <c r="AC66" s="5"/>
      <c r="AD66" s="5"/>
      <c r="AE66" s="5"/>
      <c r="AF66" s="5" t="s">
        <v>360</v>
      </c>
      <c r="AG66" s="2" t="str">
        <f>IF(OR(Tabla_Presupuesto[[#This Row],[ROL_JEFE_CONT_PRESU]]="*",Tabla_Presupuesto[[#This Row],[ROL_JEFE_CONT_PRSU_HOSPI]]="*"),"*","")</f>
        <v>*</v>
      </c>
    </row>
    <row r="67" spans="1:33" x14ac:dyDescent="0.5">
      <c r="A67" s="5">
        <f>MAX(Tabla_Contabilidad[Id])</f>
        <v>210</v>
      </c>
      <c r="B67" s="2">
        <v>275</v>
      </c>
      <c r="C67" s="5">
        <f>IF(Tabla_Presupuesto[[#This Row],[id_padre]]="",0,_xlfn.XLOOKUP(Tabla_Presupuesto[[#This Row],[id_padre]],Tabla_Presupuesto[Id],Tabla_Presupuesto[Nivel],0,0,1)+1)</f>
        <v>3</v>
      </c>
      <c r="D67" s="2" t="s">
        <v>257</v>
      </c>
      <c r="E67" s="2">
        <f>IF(Tabla_Presupuesto[[#This Row],[Id_anterior]]=1,ROW()-1,SUM(ROW()-1,Tabla_Presupuesto[[#This Row],[Id_anterior]]))</f>
        <v>276</v>
      </c>
      <c r="F6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PRESUPUESTO_CONSULTAS_MODIFICACIONES_PRESUPUESTARIAS_MODIFICACIONES_PRESUPUESTARIAS_POR_UNIDAD_INTERNA</v>
      </c>
      <c r="G67" s="2" t="str">
        <f>CLEAN(PROPER(Tabla_Presupuesto[[#This Row],[Nombre Opción]]))</f>
        <v>Modificaciones Presupuestarias Por Unidad Interna</v>
      </c>
      <c r="H67" s="2" t="s">
        <v>1735</v>
      </c>
      <c r="I67" s="2" t="str">
        <f>_xlfn.XLOOKUP(Tabla_Presupuesto[[#This Row],[id_padre]],Tabla_Presupuesto[Id],Tabla_Presupuesto[Codigo_Tecnico],"",0,1)</f>
        <v>PRESUPUESTO_CONSULTAS_MODIFICACIONES_PRESUPUESTARIAS</v>
      </c>
      <c r="J6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/presupuesto/consultas/modificaciones-presupuestarias/modificaciones-presupuestarias-por-unidad-interna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modificaciones-presupuestarias-por-unidad-interna</v>
      </c>
      <c r="L67" s="2" t="s">
        <v>1372</v>
      </c>
      <c r="M67" s="2" t="s">
        <v>1792</v>
      </c>
      <c r="N67" s="4"/>
      <c r="O67" s="4"/>
      <c r="P67" s="4" t="s">
        <v>360</v>
      </c>
      <c r="Q67" s="4"/>
      <c r="R67" s="4" t="s">
        <v>360</v>
      </c>
      <c r="U67" s="4" t="s">
        <v>360</v>
      </c>
      <c r="X67" s="4" t="s">
        <v>360</v>
      </c>
      <c r="Y67" s="4" t="s">
        <v>360</v>
      </c>
      <c r="AA67" s="4" t="s">
        <v>360</v>
      </c>
      <c r="AB67" s="5" t="s">
        <v>360</v>
      </c>
      <c r="AC67" s="5"/>
      <c r="AD67" s="5"/>
      <c r="AE67" s="5"/>
      <c r="AF67" s="5" t="s">
        <v>360</v>
      </c>
      <c r="AG67" s="2" t="str">
        <f>IF(OR(Tabla_Presupuesto[[#This Row],[ROL_JEFE_CONT_PRESU]]="*",Tabla_Presupuesto[[#This Row],[ROL_JEFE_CONT_PRSU_HOSPI]]="*"),"*","")</f>
        <v>*</v>
      </c>
    </row>
    <row r="68" spans="1:33" x14ac:dyDescent="0.5">
      <c r="A68" s="5">
        <f>MAX(Tabla_Contabilidad[Id])</f>
        <v>210</v>
      </c>
      <c r="B68" s="2">
        <v>275</v>
      </c>
      <c r="C68" s="5">
        <f>IF(Tabla_Presupuesto[[#This Row],[id_padre]]="",0,_xlfn.XLOOKUP(Tabla_Presupuesto[[#This Row],[id_padre]],Tabla_Presupuesto[Id],Tabla_Presupuesto[Nivel],0,0,1)+1)</f>
        <v>3</v>
      </c>
      <c r="D68" s="2" t="s">
        <v>258</v>
      </c>
      <c r="E68" s="2">
        <f>IF(Tabla_Presupuesto[[#This Row],[Id_anterior]]=1,ROW()-1,SUM(ROW()-1,Tabla_Presupuesto[[#This Row],[Id_anterior]]))</f>
        <v>277</v>
      </c>
      <c r="F6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PRESUPUESTO_CONSULTAS_MODIFICACIONES_PRESUPUESTARIAS_MODIFICACIONES_PRESUPUESTARIAS_POR_FECHA</v>
      </c>
      <c r="G68" s="2" t="str">
        <f>CLEAN(PROPER(Tabla_Presupuesto[[#This Row],[Nombre Opción]]))</f>
        <v>Modificaciones Presupuestarias Por Fecha</v>
      </c>
      <c r="H68" s="2" t="s">
        <v>1735</v>
      </c>
      <c r="I68" s="2" t="str">
        <f>_xlfn.XLOOKUP(Tabla_Presupuesto[[#This Row],[id_padre]],Tabla_Presupuesto[Id],Tabla_Presupuesto[Codigo_Tecnico],"",0,1)</f>
        <v>PRESUPUESTO_CONSULTAS_MODIFICACIONES_PRESUPUESTARIAS</v>
      </c>
      <c r="J6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/presupuesto/consultas/modificaciones-presupuestarias/modificaciones-presupuestarias-por-fecha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modificaciones-presupuestarias-por-fecha</v>
      </c>
      <c r="L68" s="2" t="s">
        <v>1371</v>
      </c>
      <c r="M68" s="2" t="s">
        <v>1792</v>
      </c>
      <c r="N68" s="4"/>
      <c r="O68" s="4"/>
      <c r="P68" s="4" t="s">
        <v>360</v>
      </c>
      <c r="Q68" s="4"/>
      <c r="R68" s="4" t="s">
        <v>360</v>
      </c>
      <c r="U68" s="4" t="s">
        <v>360</v>
      </c>
      <c r="X68" s="4" t="s">
        <v>360</v>
      </c>
      <c r="Y68" s="4" t="s">
        <v>360</v>
      </c>
      <c r="AA68" s="4" t="s">
        <v>360</v>
      </c>
      <c r="AB68" s="5" t="s">
        <v>360</v>
      </c>
      <c r="AC68" s="5"/>
      <c r="AD68" s="5"/>
      <c r="AE68" s="5"/>
      <c r="AF68" s="5" t="s">
        <v>360</v>
      </c>
      <c r="AG68" s="2" t="str">
        <f>IF(OR(Tabla_Presupuesto[[#This Row],[ROL_JEFE_CONT_PRESU]]="*",Tabla_Presupuesto[[#This Row],[ROL_JEFE_CONT_PRSU_HOSPI]]="*"),"*","")</f>
        <v>*</v>
      </c>
    </row>
    <row r="69" spans="1:33" x14ac:dyDescent="0.5">
      <c r="A69" s="5">
        <f>MAX(Tabla_Contabilidad[Id])</f>
        <v>210</v>
      </c>
      <c r="B69" s="2">
        <v>275</v>
      </c>
      <c r="C69" s="5">
        <f>IF(Tabla_Presupuesto[[#This Row],[id_padre]]="",0,_xlfn.XLOOKUP(Tabla_Presupuesto[[#This Row],[id_padre]],Tabla_Presupuesto[Id],Tabla_Presupuesto[Nivel],0,0,1)+1)</f>
        <v>3</v>
      </c>
      <c r="D69" s="2" t="s">
        <v>259</v>
      </c>
      <c r="E69" s="2">
        <f>IF(Tabla_Presupuesto[[#This Row],[Id_anterior]]=1,ROW()-1,SUM(ROW()-1,Tabla_Presupuesto[[#This Row],[Id_anterior]]))</f>
        <v>278</v>
      </c>
      <c r="F6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PRESUPUESTO_CONSULTAS_MODIFICACIONES_PRESUPUESTARIAS_MODIFICACIONES_PRESUPUESTARIAS_POR_MES_Y_ANNO</v>
      </c>
      <c r="G69" s="2" t="str">
        <f>CLEAN(PROPER(Tabla_Presupuesto[[#This Row],[Nombre Opción]]))</f>
        <v>Modificaciones Presupuestarias Por Mes Y Anno</v>
      </c>
      <c r="H69" s="2" t="s">
        <v>1735</v>
      </c>
      <c r="I69" s="2" t="str">
        <f>_xlfn.XLOOKUP(Tabla_Presupuesto[[#This Row],[id_padre]],Tabla_Presupuesto[Id],Tabla_Presupuesto[Codigo_Tecnico],"",0,1)</f>
        <v>PRESUPUESTO_CONSULTAS_MODIFICACIONES_PRESUPUESTARIAS</v>
      </c>
      <c r="J6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/presupuesto/consultas/modificaciones-presupuestarias/modificaciones-presupuestarias-por-mes-y-anno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modificaciones-presupuestarias-por-mes-y-anno</v>
      </c>
      <c r="L69" s="2" t="s">
        <v>1489</v>
      </c>
      <c r="M69" s="2" t="s">
        <v>1792</v>
      </c>
      <c r="N69" s="4"/>
      <c r="O69" s="4"/>
      <c r="P69" s="4" t="s">
        <v>360</v>
      </c>
      <c r="Q69" s="4"/>
      <c r="R69" s="4" t="s">
        <v>360</v>
      </c>
      <c r="U69" s="4" t="s">
        <v>360</v>
      </c>
      <c r="X69" s="4" t="s">
        <v>360</v>
      </c>
      <c r="Y69" s="4" t="s">
        <v>360</v>
      </c>
      <c r="AA69" s="4" t="s">
        <v>360</v>
      </c>
      <c r="AB69" s="5" t="s">
        <v>360</v>
      </c>
      <c r="AC69" s="5"/>
      <c r="AD69" s="5"/>
      <c r="AE69" s="5"/>
      <c r="AF69" s="5" t="s">
        <v>360</v>
      </c>
      <c r="AG69" s="2" t="str">
        <f>IF(OR(Tabla_Presupuesto[[#This Row],[ROL_JEFE_CONT_PRESU]]="*",Tabla_Presupuesto[[#This Row],[ROL_JEFE_CONT_PRSU_HOSPI]]="*"),"*","")</f>
        <v>*</v>
      </c>
    </row>
    <row r="70" spans="1:33" x14ac:dyDescent="0.5">
      <c r="A70" s="5">
        <f>MAX(Tabla_Contabilidad[Id])</f>
        <v>210</v>
      </c>
      <c r="B70" s="2">
        <v>275</v>
      </c>
      <c r="C70" s="5">
        <f>IF(Tabla_Presupuesto[[#This Row],[id_padre]]="",0,_xlfn.XLOOKUP(Tabla_Presupuesto[[#This Row],[id_padre]],Tabla_Presupuesto[Id],Tabla_Presupuesto[Nivel],0,0,1)+1)</f>
        <v>3</v>
      </c>
      <c r="D70" s="2" t="s">
        <v>221</v>
      </c>
      <c r="E70" s="2">
        <f>IF(Tabla_Presupuesto[[#This Row],[Id_anterior]]=1,ROW()-1,SUM(ROW()-1,Tabla_Presupuesto[[#This Row],[Id_anterior]]))</f>
        <v>279</v>
      </c>
      <c r="F7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PRESUPUESTO_CONSULTAS_MODIFICACIONES_PRESUPUESTARIAS_PROGRAMA_CAJA</v>
      </c>
      <c r="G70" s="2" t="str">
        <f>CLEAN(PROPER(Tabla_Presupuesto[[#This Row],[Nombre Opción]]))</f>
        <v>Programa Caja</v>
      </c>
      <c r="H70" s="2" t="s">
        <v>1735</v>
      </c>
      <c r="I70" s="2" t="str">
        <f>_xlfn.XLOOKUP(Tabla_Presupuesto[[#This Row],[id_padre]],Tabla_Presupuesto[Id],Tabla_Presupuesto[Codigo_Tecnico],"",0,1)</f>
        <v>PRESUPUESTO_CONSULTAS_MODIFICACIONES_PRESUPUESTARIAS</v>
      </c>
      <c r="J7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/presupuesto/consultas/modificaciones-presupuestarias/programa-caja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programa-caja</v>
      </c>
      <c r="L70" s="2" t="s">
        <v>1393</v>
      </c>
      <c r="M70" s="2" t="s">
        <v>1792</v>
      </c>
      <c r="N70" s="4"/>
      <c r="O70" s="4"/>
      <c r="P70" s="4" t="s">
        <v>360</v>
      </c>
      <c r="Q70" s="4"/>
      <c r="R70" s="4" t="s">
        <v>360</v>
      </c>
      <c r="U70" s="4" t="s">
        <v>360</v>
      </c>
      <c r="X70" s="4" t="s">
        <v>360</v>
      </c>
      <c r="Y70" s="4" t="s">
        <v>360</v>
      </c>
      <c r="AA70" s="4" t="s">
        <v>360</v>
      </c>
      <c r="AB70" s="5" t="s">
        <v>360</v>
      </c>
      <c r="AC70" s="5"/>
      <c r="AD70" s="5"/>
      <c r="AE70" s="5"/>
      <c r="AF70" s="5" t="s">
        <v>360</v>
      </c>
      <c r="AG70" s="2" t="str">
        <f>IF(OR(Tabla_Presupuesto[[#This Row],[ROL_JEFE_CONT_PRESU]]="*",Tabla_Presupuesto[[#This Row],[ROL_JEFE_CONT_PRSU_HOSPI]]="*"),"*","")</f>
        <v>*</v>
      </c>
    </row>
    <row r="71" spans="1:33" x14ac:dyDescent="0.5">
      <c r="A71" s="5">
        <f>MAX(Tabla_Contabilidad[Id])</f>
        <v>210</v>
      </c>
      <c r="B71" s="2">
        <v>275</v>
      </c>
      <c r="C71" s="5">
        <f>IF(Tabla_Presupuesto[[#This Row],[id_padre]]="",0,_xlfn.XLOOKUP(Tabla_Presupuesto[[#This Row],[id_padre]],Tabla_Presupuesto[Id],Tabla_Presupuesto[Nivel],0,0,1)+1)</f>
        <v>3</v>
      </c>
      <c r="D71" s="2" t="s">
        <v>260</v>
      </c>
      <c r="E71" s="2">
        <f>IF(Tabla_Presupuesto[[#This Row],[Id_anterior]]=1,ROW()-1,SUM(ROW()-1,Tabla_Presupuesto[[#This Row],[Id_anterior]]))</f>
        <v>280</v>
      </c>
      <c r="F7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PRESUPUESTO_CONSULTAS_MODIFICACIONES_PRESUPUESTARIAS_CALENDARIZACION_PROGRAMA_CAJA</v>
      </c>
      <c r="G71" s="2" t="str">
        <f>CLEAN(PROPER(Tabla_Presupuesto[[#This Row],[Nombre Opción]]))</f>
        <v>Calendarizacion Programa Caja</v>
      </c>
      <c r="H71" s="2" t="s">
        <v>1735</v>
      </c>
      <c r="I71" s="2" t="str">
        <f>_xlfn.XLOOKUP(Tabla_Presupuesto[[#This Row],[id_padre]],Tabla_Presupuesto[Id],Tabla_Presupuesto[Codigo_Tecnico],"",0,1)</f>
        <v>PRESUPUESTO_CONSULTAS_MODIFICACIONES_PRESUPUESTARIAS</v>
      </c>
      <c r="J7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/presupuesto/consultas/modificaciones-presupuestarias/calendarizacion-programa-caja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calendarizacion-programa-caja</v>
      </c>
      <c r="L71" s="2" t="s">
        <v>1372</v>
      </c>
      <c r="M71" s="2" t="s">
        <v>1792</v>
      </c>
      <c r="N71" s="4"/>
      <c r="O71" s="4"/>
      <c r="P71" s="4" t="s">
        <v>360</v>
      </c>
      <c r="Q71" s="4"/>
      <c r="R71" s="4" t="s">
        <v>360</v>
      </c>
      <c r="U71" s="4" t="s">
        <v>360</v>
      </c>
      <c r="X71" s="4" t="s">
        <v>360</v>
      </c>
      <c r="Y71" s="4" t="s">
        <v>360</v>
      </c>
      <c r="AA71" s="4" t="s">
        <v>360</v>
      </c>
      <c r="AB71" s="5" t="s">
        <v>360</v>
      </c>
      <c r="AC71" s="5"/>
      <c r="AD71" s="5"/>
      <c r="AE71" s="5"/>
      <c r="AF71" s="5" t="s">
        <v>360</v>
      </c>
      <c r="AG71" s="2" t="str">
        <f>IF(OR(Tabla_Presupuesto[[#This Row],[ROL_JEFE_CONT_PRESU]]="*",Tabla_Presupuesto[[#This Row],[ROL_JEFE_CONT_PRSU_HOSPI]]="*"),"*","")</f>
        <v>*</v>
      </c>
    </row>
    <row r="72" spans="1:33" x14ac:dyDescent="0.5">
      <c r="A72" s="5">
        <f>MAX(Tabla_Contabilidad[Id])</f>
        <v>210</v>
      </c>
      <c r="B72" s="2">
        <v>214</v>
      </c>
      <c r="C72" s="5">
        <f>IF(Tabla_Presupuesto[[#This Row],[id_padre]]="",0,_xlfn.XLOOKUP(Tabla_Presupuesto[[#This Row],[id_padre]],Tabla_Presupuesto[Id],Tabla_Presupuesto[Nivel],0,0,1)+1)</f>
        <v>2</v>
      </c>
      <c r="D72" s="2" t="s">
        <v>261</v>
      </c>
      <c r="E72" s="2">
        <f>IF(Tabla_Presupuesto[[#This Row],[Id_anterior]]=1,ROW()-1,SUM(ROW()-1,Tabla_Presupuesto[[#This Row],[Id_anterior]]))</f>
        <v>281</v>
      </c>
      <c r="F7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PRESUPUESTO_CONSULTAS_FORMULACION_PRESUPUESTARIA</v>
      </c>
      <c r="G72" s="2" t="str">
        <f>CLEAN(PROPER(Tabla_Presupuesto[[#This Row],[Nombre Opción]]))</f>
        <v>Formulacion Presupuestaria</v>
      </c>
      <c r="H72" s="2" t="s">
        <v>1735</v>
      </c>
      <c r="I72" s="2" t="str">
        <f>_xlfn.XLOOKUP(Tabla_Presupuesto[[#This Row],[id_padre]],Tabla_Presupuesto[Id],Tabla_Presupuesto[Codigo_Tecnico],"",0,1)</f>
        <v>PRESUPUESTO_CONSULTAS</v>
      </c>
      <c r="J7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/presupuesto/consultas/formulacion-presupuestaria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formulacion-presupuestaria</v>
      </c>
      <c r="L72" s="2" t="s">
        <v>1460</v>
      </c>
      <c r="M72" s="2" t="s">
        <v>1792</v>
      </c>
      <c r="N72" s="4"/>
      <c r="O72" s="4"/>
      <c r="P72" s="4" t="s">
        <v>360</v>
      </c>
      <c r="Q72" s="4"/>
      <c r="R72" s="4" t="s">
        <v>360</v>
      </c>
      <c r="U72" s="4" t="s">
        <v>360</v>
      </c>
      <c r="X72" s="4" t="s">
        <v>360</v>
      </c>
      <c r="Y72" s="4" t="s">
        <v>360</v>
      </c>
      <c r="AA72" s="4" t="s">
        <v>360</v>
      </c>
      <c r="AB72" s="5" t="s">
        <v>360</v>
      </c>
      <c r="AC72" s="5"/>
      <c r="AD72" s="5"/>
      <c r="AE72" s="5"/>
      <c r="AF72" s="5" t="s">
        <v>360</v>
      </c>
      <c r="AG72" s="2" t="str">
        <f>IF(OR(Tabla_Presupuesto[[#This Row],[ROL_JEFE_CONT_PRESU]]="*",Tabla_Presupuesto[[#This Row],[ROL_JEFE_CONT_PRSU_HOSPI]]="*"),"*","")</f>
        <v>*</v>
      </c>
    </row>
    <row r="73" spans="1:33" x14ac:dyDescent="0.5">
      <c r="A73" s="5">
        <f>MAX(Tabla_Contabilidad[Id])</f>
        <v>210</v>
      </c>
      <c r="B73" s="2">
        <v>281</v>
      </c>
      <c r="C73" s="5">
        <f>IF(Tabla_Presupuesto[[#This Row],[id_padre]]="",0,_xlfn.XLOOKUP(Tabla_Presupuesto[[#This Row],[id_padre]],Tabla_Presupuesto[Id],Tabla_Presupuesto[Nivel],0,0,1)+1)</f>
        <v>3</v>
      </c>
      <c r="D73" s="2" t="s">
        <v>262</v>
      </c>
      <c r="E73" s="2">
        <f>IF(Tabla_Presupuesto[[#This Row],[Id_anterior]]=1,ROW()-1,SUM(ROW()-1,Tabla_Presupuesto[[#This Row],[Id_anterior]]))</f>
        <v>282</v>
      </c>
      <c r="F7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PRESUPUESTO_CONSULTAS_FORMULACION_PRESUPUESTARIA_RESUMEN_UNIDAD_INTERNA</v>
      </c>
      <c r="G73" s="2" t="str">
        <f>CLEAN(PROPER(Tabla_Presupuesto[[#This Row],[Nombre Opción]]))</f>
        <v>Resumen De Unidad Interna</v>
      </c>
      <c r="H73" s="2" t="s">
        <v>1735</v>
      </c>
      <c r="I73" s="2" t="str">
        <f>_xlfn.XLOOKUP(Tabla_Presupuesto[[#This Row],[id_padre]],Tabla_Presupuesto[Id],Tabla_Presupuesto[Codigo_Tecnico],"",0,1)</f>
        <v>PRESUPUESTO_CONSULTAS_FORMULACION_PRESUPUESTARIA</v>
      </c>
      <c r="J7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/presupuesto/consultas/formulacion-presupuestaria/resumen-unidad-interna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resumen-unidad-interna</v>
      </c>
      <c r="L73" s="2" t="s">
        <v>1411</v>
      </c>
      <c r="M73" s="2" t="s">
        <v>1792</v>
      </c>
      <c r="N73" s="4"/>
      <c r="O73" s="4"/>
      <c r="P73" s="4" t="s">
        <v>360</v>
      </c>
      <c r="Q73" s="4"/>
      <c r="R73" s="4" t="s">
        <v>360</v>
      </c>
      <c r="U73" s="4" t="s">
        <v>360</v>
      </c>
      <c r="X73" s="4" t="s">
        <v>360</v>
      </c>
      <c r="Y73" s="4" t="s">
        <v>360</v>
      </c>
      <c r="AA73" s="4" t="s">
        <v>360</v>
      </c>
      <c r="AB73" s="5" t="s">
        <v>360</v>
      </c>
      <c r="AC73" s="5"/>
      <c r="AD73" s="5"/>
      <c r="AE73" s="5"/>
      <c r="AF73" s="5" t="s">
        <v>360</v>
      </c>
      <c r="AG73" s="2" t="str">
        <f>IF(OR(Tabla_Presupuesto[[#This Row],[ROL_JEFE_CONT_PRESU]]="*",Tabla_Presupuesto[[#This Row],[ROL_JEFE_CONT_PRSU_HOSPI]]="*"),"*","")</f>
        <v>*</v>
      </c>
    </row>
    <row r="74" spans="1:33" x14ac:dyDescent="0.5">
      <c r="A74" s="5">
        <f>MAX(Tabla_Contabilidad[Id])</f>
        <v>210</v>
      </c>
      <c r="B74" s="2">
        <v>281</v>
      </c>
      <c r="C74" s="5">
        <f>IF(Tabla_Presupuesto[[#This Row],[id_padre]]="",0,_xlfn.XLOOKUP(Tabla_Presupuesto[[#This Row],[id_padre]],Tabla_Presupuesto[Id],Tabla_Presupuesto[Nivel],0,0,1)+1)</f>
        <v>3</v>
      </c>
      <c r="D74" s="2" t="s">
        <v>263</v>
      </c>
      <c r="E74" s="2">
        <f>IF(Tabla_Presupuesto[[#This Row],[Id_anterior]]=1,ROW()-1,SUM(ROW()-1,Tabla_Presupuesto[[#This Row],[Id_anterior]]))</f>
        <v>283</v>
      </c>
      <c r="F7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PRESUPUESTO_CONSULTAS_FORMULACION_PRESUPUESTARIA_DETALLE_POR_UNIDAD_INTERNA</v>
      </c>
      <c r="G74" s="2" t="str">
        <f>CLEAN(PROPER(Tabla_Presupuesto[[#This Row],[Nombre Opción]]))</f>
        <v>Detalle Por Unidad Interna</v>
      </c>
      <c r="H74" s="2" t="s">
        <v>1735</v>
      </c>
      <c r="I74" s="2" t="str">
        <f>_xlfn.XLOOKUP(Tabla_Presupuesto[[#This Row],[id_padre]],Tabla_Presupuesto[Id],Tabla_Presupuesto[Codigo_Tecnico],"",0,1)</f>
        <v>PRESUPUESTO_CONSULTAS_FORMULACION_PRESUPUESTARIA</v>
      </c>
      <c r="J7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/presupuesto/consultas/formulacion-presupuestaria/detalle-por-unidad-interna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detalle-por-unidad-interna</v>
      </c>
      <c r="L74" s="2" t="s">
        <v>1391</v>
      </c>
      <c r="M74" s="2" t="s">
        <v>1792</v>
      </c>
      <c r="N74" s="4"/>
      <c r="O74" s="4"/>
      <c r="P74" s="4" t="s">
        <v>360</v>
      </c>
      <c r="Q74" s="4"/>
      <c r="R74" s="4" t="s">
        <v>360</v>
      </c>
      <c r="U74" s="4" t="s">
        <v>360</v>
      </c>
      <c r="X74" s="4" t="s">
        <v>360</v>
      </c>
      <c r="Y74" s="4" t="s">
        <v>360</v>
      </c>
      <c r="AA74" s="4" t="s">
        <v>360</v>
      </c>
      <c r="AB74" s="5" t="s">
        <v>360</v>
      </c>
      <c r="AC74" s="5"/>
      <c r="AD74" s="5"/>
      <c r="AE74" s="5"/>
      <c r="AF74" s="5" t="s">
        <v>360</v>
      </c>
      <c r="AG74" s="2" t="str">
        <f>IF(OR(Tabla_Presupuesto[[#This Row],[ROL_JEFE_CONT_PRESU]]="*",Tabla_Presupuesto[[#This Row],[ROL_JEFE_CONT_PRSU_HOSPI]]="*"),"*","")</f>
        <v>*</v>
      </c>
    </row>
    <row r="75" spans="1:33" x14ac:dyDescent="0.5">
      <c r="A75" s="5">
        <f>MAX(Tabla_Contabilidad[Id])</f>
        <v>210</v>
      </c>
      <c r="B75" s="2">
        <v>214</v>
      </c>
      <c r="C75" s="5">
        <f>IF(Tabla_Presupuesto[[#This Row],[id_padre]]="",0,_xlfn.XLOOKUP(Tabla_Presupuesto[[#This Row],[id_padre]],Tabla_Presupuesto[Id],Tabla_Presupuesto[Nivel],0,0,1)+1)</f>
        <v>2</v>
      </c>
      <c r="D75" s="2" t="s">
        <v>264</v>
      </c>
      <c r="E75" s="2">
        <f>IF(Tabla_Presupuesto[[#This Row],[Id_anterior]]=1,ROW()-1,SUM(ROW()-1,Tabla_Presupuesto[[#This Row],[Id_anterior]]))</f>
        <v>284</v>
      </c>
      <c r="F7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PRESUPUESTO_CONSULTAS_EJECUCION_PORCENTUAL</v>
      </c>
      <c r="G75" s="2" t="str">
        <f>CLEAN(PROPER(Tabla_Presupuesto[[#This Row],[Nombre Opción]]))</f>
        <v>Ejecucion Porcentual</v>
      </c>
      <c r="H75" s="2" t="s">
        <v>1735</v>
      </c>
      <c r="I75" s="2" t="str">
        <f>_xlfn.XLOOKUP(Tabla_Presupuesto[[#This Row],[id_padre]],Tabla_Presupuesto[Id],Tabla_Presupuesto[Codigo_Tecnico],"",0,1)</f>
        <v>PRESUPUESTO_CONSULTAS</v>
      </c>
      <c r="J7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/presupuesto/consultas/ejecucion-porcentual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ejecucion-porcentual</v>
      </c>
      <c r="L75" s="2" t="s">
        <v>1490</v>
      </c>
      <c r="M75" s="2" t="s">
        <v>1792</v>
      </c>
      <c r="N75" s="4"/>
      <c r="O75" s="4"/>
      <c r="P75" s="4" t="s">
        <v>360</v>
      </c>
      <c r="Q75" s="4"/>
      <c r="R75" s="4" t="s">
        <v>360</v>
      </c>
      <c r="U75" s="4" t="s">
        <v>360</v>
      </c>
      <c r="X75" s="4" t="s">
        <v>360</v>
      </c>
      <c r="Y75" s="4" t="s">
        <v>360</v>
      </c>
      <c r="AA75" s="4" t="s">
        <v>360</v>
      </c>
      <c r="AB75" s="5" t="s">
        <v>360</v>
      </c>
      <c r="AC75" s="5"/>
      <c r="AD75" s="5"/>
      <c r="AE75" s="5"/>
      <c r="AF75" s="5" t="s">
        <v>360</v>
      </c>
      <c r="AG75" s="2" t="str">
        <f>IF(OR(Tabla_Presupuesto[[#This Row],[ROL_JEFE_CONT_PRESU]]="*",Tabla_Presupuesto[[#This Row],[ROL_JEFE_CONT_PRSU_HOSPI]]="*"),"*","")</f>
        <v>*</v>
      </c>
    </row>
    <row r="76" spans="1:33" x14ac:dyDescent="0.5">
      <c r="A76" s="5">
        <f>MAX(Tabla_Contabilidad[Id])</f>
        <v>210</v>
      </c>
      <c r="B76" s="2">
        <v>284</v>
      </c>
      <c r="C76" s="5">
        <f>IF(Tabla_Presupuesto[[#This Row],[id_padre]]="",0,_xlfn.XLOOKUP(Tabla_Presupuesto[[#This Row],[id_padre]],Tabla_Presupuesto[Id],Tabla_Presupuesto[Nivel],0,0,1)+1)</f>
        <v>3</v>
      </c>
      <c r="D76" s="2" t="s">
        <v>265</v>
      </c>
      <c r="E76" s="2">
        <f>IF(Tabla_Presupuesto[[#This Row],[Id_anterior]]=1,ROW()-1,SUM(ROW()-1,Tabla_Presupuesto[[#This Row],[Id_anterior]]))</f>
        <v>285</v>
      </c>
      <c r="F7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PRESUPUESTO_CONSULTAS_EJECUCION_PORCENTUAL_DEL_MES</v>
      </c>
      <c r="G76" s="2" t="str">
        <f>CLEAN(PROPER(Tabla_Presupuesto[[#This Row],[Nombre Opción]]))</f>
        <v>Del Mes</v>
      </c>
      <c r="H76" s="2" t="s">
        <v>1735</v>
      </c>
      <c r="I76" s="2" t="str">
        <f>_xlfn.XLOOKUP(Tabla_Presupuesto[[#This Row],[id_padre]],Tabla_Presupuesto[Id],Tabla_Presupuesto[Codigo_Tecnico],"",0,1)</f>
        <v>PRESUPUESTO_CONSULTAS_EJECUCION_PORCENTUAL</v>
      </c>
      <c r="J7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/presupuesto/consultas/ejecucion-porcentual/del-mes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del-mes</v>
      </c>
      <c r="L76" s="2" t="s">
        <v>1395</v>
      </c>
      <c r="M76" s="2" t="s">
        <v>1792</v>
      </c>
      <c r="N76" s="4"/>
      <c r="O76" s="4"/>
      <c r="P76" s="4" t="s">
        <v>360</v>
      </c>
      <c r="Q76" s="4"/>
      <c r="R76" s="4" t="s">
        <v>360</v>
      </c>
      <c r="U76" s="4" t="s">
        <v>360</v>
      </c>
      <c r="X76" s="4" t="s">
        <v>360</v>
      </c>
      <c r="Y76" s="4" t="s">
        <v>360</v>
      </c>
      <c r="AA76" s="4" t="s">
        <v>360</v>
      </c>
      <c r="AB76" s="5" t="s">
        <v>360</v>
      </c>
      <c r="AC76" s="5"/>
      <c r="AD76" s="5"/>
      <c r="AE76" s="5"/>
      <c r="AF76" s="5" t="s">
        <v>360</v>
      </c>
      <c r="AG76" s="2" t="str">
        <f>IF(OR(Tabla_Presupuesto[[#This Row],[ROL_JEFE_CONT_PRESU]]="*",Tabla_Presupuesto[[#This Row],[ROL_JEFE_CONT_PRSU_HOSPI]]="*"),"*","")</f>
        <v>*</v>
      </c>
    </row>
    <row r="77" spans="1:33" x14ac:dyDescent="0.5">
      <c r="A77" s="5">
        <f>MAX(Tabla_Contabilidad[Id])</f>
        <v>210</v>
      </c>
      <c r="B77" s="2">
        <v>284</v>
      </c>
      <c r="C77" s="5">
        <f>IF(Tabla_Presupuesto[[#This Row],[id_padre]]="",0,_xlfn.XLOOKUP(Tabla_Presupuesto[[#This Row],[id_padre]],Tabla_Presupuesto[Id],Tabla_Presupuesto[Nivel],0,0,1)+1)</f>
        <v>3</v>
      </c>
      <c r="D77" s="2" t="s">
        <v>266</v>
      </c>
      <c r="E77" s="2">
        <f>IF(Tabla_Presupuesto[[#This Row],[Id_anterior]]=1,ROW()-1,SUM(ROW()-1,Tabla_Presupuesto[[#This Row],[Id_anterior]]))</f>
        <v>286</v>
      </c>
      <c r="F7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PRESUPUESTO_CONSULTAS_EJECUCION_PORCENTUAL_ACUMULADOS</v>
      </c>
      <c r="G77" s="2" t="str">
        <f>CLEAN(PROPER(Tabla_Presupuesto[[#This Row],[Nombre Opción]]))</f>
        <v>Acumulados</v>
      </c>
      <c r="H77" s="2" t="s">
        <v>1735</v>
      </c>
      <c r="I77" s="2" t="str">
        <f>_xlfn.XLOOKUP(Tabla_Presupuesto[[#This Row],[id_padre]],Tabla_Presupuesto[Id],Tabla_Presupuesto[Codigo_Tecnico],"",0,1)</f>
        <v>PRESUPUESTO_CONSULTAS_EJECUCION_PORCENTUAL</v>
      </c>
      <c r="J7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/presupuesto/consultas/ejecucion-porcentual/acumulados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acumulados</v>
      </c>
      <c r="L77" s="2" t="s">
        <v>1442</v>
      </c>
      <c r="M77" s="2" t="s">
        <v>1792</v>
      </c>
      <c r="N77" s="4"/>
      <c r="O77" s="4"/>
      <c r="P77" s="4" t="s">
        <v>360</v>
      </c>
      <c r="Q77" s="4"/>
      <c r="R77" s="4" t="s">
        <v>360</v>
      </c>
      <c r="U77" s="4" t="s">
        <v>360</v>
      </c>
      <c r="X77" s="4" t="s">
        <v>360</v>
      </c>
      <c r="Y77" s="4" t="s">
        <v>360</v>
      </c>
      <c r="AA77" s="4" t="s">
        <v>360</v>
      </c>
      <c r="AB77" s="5" t="s">
        <v>360</v>
      </c>
      <c r="AC77" s="5"/>
      <c r="AD77" s="5"/>
      <c r="AE77" s="5"/>
      <c r="AF77" s="5" t="s">
        <v>360</v>
      </c>
      <c r="AG77" s="2" t="str">
        <f>IF(OR(Tabla_Presupuesto[[#This Row],[ROL_JEFE_CONT_PRESU]]="*",Tabla_Presupuesto[[#This Row],[ROL_JEFE_CONT_PRSU_HOSPI]]="*"),"*","")</f>
        <v>*</v>
      </c>
    </row>
    <row r="78" spans="1:33" x14ac:dyDescent="0.5">
      <c r="A78" s="5">
        <f>MAX(Tabla_Contabilidad[Id])</f>
        <v>210</v>
      </c>
      <c r="B78" s="2">
        <v>214</v>
      </c>
      <c r="C78" s="5">
        <f>IF(Tabla_Presupuesto[[#This Row],[id_padre]]="",0,_xlfn.XLOOKUP(Tabla_Presupuesto[[#This Row],[id_padre]],Tabla_Presupuesto[Id],Tabla_Presupuesto[Nivel],0,0,1)+1)</f>
        <v>2</v>
      </c>
      <c r="D78" s="2" t="s">
        <v>267</v>
      </c>
      <c r="E78" s="2">
        <f>IF(Tabla_Presupuesto[[#This Row],[Id_anterior]]=1,ROW()-1,SUM(ROW()-1,Tabla_Presupuesto[[#This Row],[Id_anterior]]))</f>
        <v>287</v>
      </c>
      <c r="F7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PRESUPUESTO_CONSULTAS_EJECUCION_POR_CUENTA</v>
      </c>
      <c r="G78" s="2" t="str">
        <f>CLEAN(PROPER(Tabla_Presupuesto[[#This Row],[Nombre Opción]]))</f>
        <v>Ejecucion Por Cuenta</v>
      </c>
      <c r="H78" s="2" t="s">
        <v>1735</v>
      </c>
      <c r="I78" s="2" t="str">
        <f>_xlfn.XLOOKUP(Tabla_Presupuesto[[#This Row],[id_padre]],Tabla_Presupuesto[Id],Tabla_Presupuesto[Codigo_Tecnico],"",0,1)</f>
        <v>PRESUPUESTO_CONSULTAS</v>
      </c>
      <c r="J7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/presupuesto/consultas/ejecucion-por-cuenta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ejecucion-por-cuenta</v>
      </c>
      <c r="L78" s="2" t="s">
        <v>1413</v>
      </c>
      <c r="M78" s="2" t="s">
        <v>1792</v>
      </c>
      <c r="N78" s="4"/>
      <c r="O78" s="4"/>
      <c r="P78" s="4" t="s">
        <v>360</v>
      </c>
      <c r="Q78" s="4"/>
      <c r="R78" s="4" t="s">
        <v>360</v>
      </c>
      <c r="U78" s="4" t="s">
        <v>360</v>
      </c>
      <c r="X78" s="4" t="s">
        <v>360</v>
      </c>
      <c r="Y78" s="4" t="s">
        <v>360</v>
      </c>
      <c r="Z78" s="4" t="s">
        <v>360</v>
      </c>
      <c r="AA78" s="4" t="s">
        <v>360</v>
      </c>
      <c r="AB78" s="5" t="s">
        <v>360</v>
      </c>
      <c r="AC78" s="5"/>
      <c r="AD78" s="5"/>
      <c r="AE78" s="5"/>
      <c r="AF78" s="5" t="s">
        <v>360</v>
      </c>
      <c r="AG78" s="2" t="str">
        <f>IF(OR(Tabla_Presupuesto[[#This Row],[ROL_JEFE_CONT_PRESU]]="*",Tabla_Presupuesto[[#This Row],[ROL_JEFE_CONT_PRSU_HOSPI]]="*"),"*","")</f>
        <v>*</v>
      </c>
    </row>
    <row r="79" spans="1:33" x14ac:dyDescent="0.5">
      <c r="A79" s="5">
        <f>MAX(Tabla_Contabilidad[Id])</f>
        <v>210</v>
      </c>
      <c r="B79" s="2">
        <v>214</v>
      </c>
      <c r="C79" s="5">
        <f>IF(Tabla_Presupuesto[[#This Row],[id_padre]]="",0,_xlfn.XLOOKUP(Tabla_Presupuesto[[#This Row],[id_padre]],Tabla_Presupuesto[Id],Tabla_Presupuesto[Nivel],0,0,1)+1)</f>
        <v>2</v>
      </c>
      <c r="D79" s="2" t="s">
        <v>268</v>
      </c>
      <c r="E79" s="2">
        <f>IF(Tabla_Presupuesto[[#This Row],[Id_anterior]]=1,ROW()-1,SUM(ROW()-1,Tabla_Presupuesto[[#This Row],[Id_anterior]]))</f>
        <v>288</v>
      </c>
      <c r="F7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PRESUPUESTO_CONSULTAS_LICOPES_GASTOS_POR_UNIDAD_INTERNA</v>
      </c>
      <c r="G79" s="2" t="str">
        <f>CLEAN(PROPER(Tabla_Presupuesto[[#This Row],[Nombre Opción]]))</f>
        <v>Licopes De Gastos Por Unidad Interna</v>
      </c>
      <c r="H79" s="2" t="s">
        <v>1735</v>
      </c>
      <c r="I79" s="2" t="str">
        <f>_xlfn.XLOOKUP(Tabla_Presupuesto[[#This Row],[id_padre]],Tabla_Presupuesto[Id],Tabla_Presupuesto[Codigo_Tecnico],"",0,1)</f>
        <v>PRESUPUESTO_CONSULTAS</v>
      </c>
      <c r="J7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/presupuesto/consultas/licopes-gastos-por-unidad-interna</v>
      </c>
      <c r="K7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licopes-gastos-por-unidad-interna</v>
      </c>
      <c r="L79" s="2" t="s">
        <v>1379</v>
      </c>
      <c r="M79" s="2" t="s">
        <v>1792</v>
      </c>
      <c r="N79" s="4"/>
      <c r="O79" s="4"/>
      <c r="P79" s="4" t="s">
        <v>360</v>
      </c>
      <c r="Q79" s="4"/>
      <c r="R79" s="4" t="s">
        <v>360</v>
      </c>
      <c r="U79" s="4" t="s">
        <v>360</v>
      </c>
      <c r="X79" s="4" t="s">
        <v>360</v>
      </c>
      <c r="Y79" s="4" t="s">
        <v>360</v>
      </c>
      <c r="AA79" s="4" t="s">
        <v>360</v>
      </c>
      <c r="AB79" s="5" t="s">
        <v>360</v>
      </c>
      <c r="AC79" s="5"/>
      <c r="AD79" s="5"/>
      <c r="AE79" s="5"/>
      <c r="AF79" s="5" t="s">
        <v>360</v>
      </c>
      <c r="AG79" s="2" t="str">
        <f>IF(OR(Tabla_Presupuesto[[#This Row],[ROL_JEFE_CONT_PRESU]]="*",Tabla_Presupuesto[[#This Row],[ROL_JEFE_CONT_PRSU_HOSPI]]="*"),"*","")</f>
        <v>*</v>
      </c>
    </row>
    <row r="80" spans="1:33" x14ac:dyDescent="0.5">
      <c r="A80" s="5">
        <f>MAX(Tabla_Contabilidad[Id])</f>
        <v>210</v>
      </c>
      <c r="B80" s="2">
        <v>214</v>
      </c>
      <c r="C80" s="5">
        <f>IF(Tabla_Presupuesto[[#This Row],[id_padre]]="",0,_xlfn.XLOOKUP(Tabla_Presupuesto[[#This Row],[id_padre]],Tabla_Presupuesto[Id],Tabla_Presupuesto[Nivel],0,0,1)+1)</f>
        <v>2</v>
      </c>
      <c r="D80" s="2" t="s">
        <v>269</v>
      </c>
      <c r="E80" s="2">
        <f>IF(Tabla_Presupuesto[[#This Row],[Id_anterior]]=1,ROW()-1,SUM(ROW()-1,Tabla_Presupuesto[[#This Row],[Id_anterior]]))</f>
        <v>289</v>
      </c>
      <c r="F8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PRESUPUESTO_CONSULTAS_LICOPES_INGRESOS_POR_UNIDAD_INTERNA</v>
      </c>
      <c r="G80" s="2" t="str">
        <f>CLEAN(PROPER(Tabla_Presupuesto[[#This Row],[Nombre Opción]]))</f>
        <v>Licopes De Ingresos Por Unidad Interna</v>
      </c>
      <c r="H80" s="2" t="s">
        <v>1735</v>
      </c>
      <c r="I80" s="2" t="str">
        <f>_xlfn.XLOOKUP(Tabla_Presupuesto[[#This Row],[id_padre]],Tabla_Presupuesto[Id],Tabla_Presupuesto[Codigo_Tecnico],"",0,1)</f>
        <v>PRESUPUESTO_CONSULTAS</v>
      </c>
      <c r="J8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/presupuesto/consultas/licopes-ingresos-por-unidad-interna</v>
      </c>
      <c r="K8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licopes-ingresos-por-unidad-interna</v>
      </c>
      <c r="L80" s="2" t="s">
        <v>1372</v>
      </c>
      <c r="M80" s="2" t="s">
        <v>1792</v>
      </c>
      <c r="N80" s="4"/>
      <c r="O80" s="4"/>
      <c r="P80" s="4" t="s">
        <v>360</v>
      </c>
      <c r="Q80" s="4"/>
      <c r="R80" s="4" t="s">
        <v>360</v>
      </c>
      <c r="U80" s="4" t="s">
        <v>360</v>
      </c>
      <c r="X80" s="4" t="s">
        <v>360</v>
      </c>
      <c r="Y80" s="4" t="s">
        <v>360</v>
      </c>
      <c r="AA80" s="4" t="s">
        <v>360</v>
      </c>
      <c r="AB80" s="5" t="s">
        <v>360</v>
      </c>
      <c r="AC80" s="5"/>
      <c r="AD80" s="5"/>
      <c r="AE80" s="5"/>
      <c r="AF80" s="5" t="s">
        <v>360</v>
      </c>
      <c r="AG80" s="2" t="str">
        <f>IF(OR(Tabla_Presupuesto[[#This Row],[ROL_JEFE_CONT_PRESU]]="*",Tabla_Presupuesto[[#This Row],[ROL_JEFE_CONT_PRSU_HOSPI]]="*"),"*","")</f>
        <v>*</v>
      </c>
    </row>
    <row r="81" spans="1:33" hidden="1" x14ac:dyDescent="0.5">
      <c r="A81" s="5">
        <f>MAX(Tabla_Contabilidad[Id])</f>
        <v>210</v>
      </c>
      <c r="B81" s="2">
        <v>214</v>
      </c>
      <c r="C81" s="5">
        <f>IF(Tabla_Presupuesto[[#This Row],[id_padre]]="",0,_xlfn.XLOOKUP(Tabla_Presupuesto[[#This Row],[id_padre]],Tabla_Presupuesto[Id],Tabla_Presupuesto[Nivel],0,0,1)+1)</f>
        <v>2</v>
      </c>
      <c r="D81" s="2" t="s">
        <v>225</v>
      </c>
      <c r="E81" s="2">
        <f>IF(Tabla_Presupuesto[[#This Row],[Id_anterior]]=1,ROW()-1,SUM(ROW()-1,Tabla_Presupuesto[[#This Row],[Id_anterior]]))</f>
        <v>290</v>
      </c>
      <c r="F8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</v>
      </c>
      <c r="G81" s="2" t="str">
        <f>CLEAN(PROPER(Tabla_Presupuesto[[#This Row],[Nombre Opción]]))</f>
        <v>Flujo De Caja</v>
      </c>
      <c r="H81" s="2" t="s">
        <v>1735</v>
      </c>
      <c r="I81" s="2" t="str">
        <f>_xlfn.XLOOKUP(Tabla_Presupuesto[[#This Row],[id_padre]],Tabla_Presupuesto[Id],Tabla_Presupuesto[Codigo_Tecnico],"",0,1)</f>
        <v>PRESUPUESTO_CONSULTAS</v>
      </c>
      <c r="J8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</v>
      </c>
      <c r="K8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flujo-caja</v>
      </c>
      <c r="L81" s="2" t="s">
        <v>1379</v>
      </c>
      <c r="M81" s="2" t="s">
        <v>1792</v>
      </c>
      <c r="N81" s="4"/>
      <c r="O81" s="4"/>
      <c r="P81" s="4" t="s">
        <v>360</v>
      </c>
      <c r="Q81" s="4"/>
      <c r="R81" s="4" t="s">
        <v>360</v>
      </c>
      <c r="U81" s="4" t="s">
        <v>360</v>
      </c>
      <c r="AB81" s="5"/>
      <c r="AC81" s="5"/>
      <c r="AD81" s="5"/>
      <c r="AE81" s="5"/>
      <c r="AF81" s="5" t="s">
        <v>360</v>
      </c>
      <c r="AG81" s="2" t="str">
        <f>IF(OR(Tabla_Presupuesto[[#This Row],[ROL_JEFE_CONT_PRESU]]="*",Tabla_Presupuesto[[#This Row],[ROL_JEFE_CONT_PRSU_HOSPI]]="*"),"*","")</f>
        <v/>
      </c>
    </row>
    <row r="82" spans="1:33" hidden="1" x14ac:dyDescent="0.5">
      <c r="A82" s="5">
        <f>MAX(Tabla_Contabilidad[Id])</f>
        <v>210</v>
      </c>
      <c r="B82" s="2">
        <v>290</v>
      </c>
      <c r="C82" s="5">
        <f>IF(Tabla_Presupuesto[[#This Row],[id_padre]]="",0,_xlfn.XLOOKUP(Tabla_Presupuesto[[#This Row],[id_padre]],Tabla_Presupuesto[Id],Tabla_Presupuesto[Nivel],0,0,1)+1)</f>
        <v>3</v>
      </c>
      <c r="D82" s="2" t="s">
        <v>270</v>
      </c>
      <c r="E82" s="2">
        <f>IF(Tabla_Presupuesto[[#This Row],[Id_anterior]]=1,ROW()-1,SUM(ROW()-1,Tabla_Presupuesto[[#This Row],[Id_anterior]]))</f>
        <v>291</v>
      </c>
      <c r="F8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PRESUPUESTO_CONSULTAS_FLUJO_CAJA_CALENDARIZACION_FLUJO_CAJA_INSTITUCIONAL</v>
      </c>
      <c r="G82" s="2" t="str">
        <f>CLEAN(PROPER(Tabla_Presupuesto[[#This Row],[Nombre Opción]]))</f>
        <v>Calendarizacion Flujo De Caja Institucional</v>
      </c>
      <c r="H82" s="2" t="s">
        <v>1735</v>
      </c>
      <c r="I82" s="2" t="str">
        <f>_xlfn.XLOOKUP(Tabla_Presupuesto[[#This Row],[id_padre]],Tabla_Presupuesto[Id],Tabla_Presupuesto[Codigo_Tecnico],"",0,1)</f>
        <v>PRESUPUESTO_CONSULTAS_FLUJO_CAJA</v>
      </c>
      <c r="J8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/presupuesto/consultas/flujo-caja/calendarizacion-flujo-caja-institucional</v>
      </c>
      <c r="K8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calendarizacion-flujo-caja-institucional</v>
      </c>
      <c r="L82" s="2" t="s">
        <v>1341</v>
      </c>
      <c r="M82" s="2" t="s">
        <v>1792</v>
      </c>
      <c r="N82" s="4"/>
      <c r="O82" s="4"/>
      <c r="P82" s="4" t="s">
        <v>360</v>
      </c>
      <c r="Q82" s="4"/>
      <c r="R82" s="4" t="s">
        <v>360</v>
      </c>
      <c r="U82" s="4" t="s">
        <v>360</v>
      </c>
      <c r="AB82" s="5"/>
      <c r="AC82" s="5"/>
      <c r="AD82" s="5"/>
      <c r="AE82" s="5"/>
      <c r="AF82" s="5" t="s">
        <v>360</v>
      </c>
      <c r="AG82" s="2" t="str">
        <f>IF(OR(Tabla_Presupuesto[[#This Row],[ROL_JEFE_CONT_PRESU]]="*",Tabla_Presupuesto[[#This Row],[ROL_JEFE_CONT_PRSU_HOSPI]]="*"),"*","")</f>
        <v/>
      </c>
    </row>
    <row r="83" spans="1:33" x14ac:dyDescent="0.5">
      <c r="A83" s="5">
        <f>MAX(Tabla_Contabilidad[Id])</f>
        <v>210</v>
      </c>
      <c r="B83" s="2">
        <v>290</v>
      </c>
      <c r="C83" s="5">
        <f>IF(Tabla_Presupuesto[[#This Row],[id_padre]]="",0,_xlfn.XLOOKUP(Tabla_Presupuesto[[#This Row],[id_padre]],Tabla_Presupuesto[Id],Tabla_Presupuesto[Nivel],0,0,1)+1)</f>
        <v>3</v>
      </c>
      <c r="D83" s="2" t="s">
        <v>271</v>
      </c>
      <c r="E83" s="2">
        <f>IF(Tabla_Presupuesto[[#This Row],[Id_anterior]]=1,ROW()-1,SUM(ROW()-1,Tabla_Presupuesto[[#This Row],[Id_anterior]]))</f>
        <v>292</v>
      </c>
      <c r="F8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PRESUPUESTO_CONSULTAS_FLUJO_CAJA_CALENDARIZACION_FLUJO_CAJA_ENTIDAD</v>
      </c>
      <c r="G83" s="2" t="str">
        <f>CLEAN(PROPER(Tabla_Presupuesto[[#This Row],[Nombre Opción]]))</f>
        <v>Calendarizacion Flujo De Caja Entidad</v>
      </c>
      <c r="H83" s="2" t="s">
        <v>1735</v>
      </c>
      <c r="I83" s="2" t="str">
        <f>_xlfn.XLOOKUP(Tabla_Presupuesto[[#This Row],[id_padre]],Tabla_Presupuesto[Id],Tabla_Presupuesto[Codigo_Tecnico],"",0,1)</f>
        <v>PRESUPUESTO_CONSULTAS_FLUJO_CAJA</v>
      </c>
      <c r="J8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/presupuesto/consultas/flujo-caja/calendarizacion-flujo-caja-entidad</v>
      </c>
      <c r="K8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calendarizacion-flujo-caja-entidad</v>
      </c>
      <c r="L83" s="2" t="s">
        <v>1462</v>
      </c>
      <c r="M83" s="2" t="s">
        <v>1792</v>
      </c>
      <c r="N83" s="4"/>
      <c r="O83" s="4"/>
      <c r="P83" s="4" t="s">
        <v>360</v>
      </c>
      <c r="Q83" s="4"/>
      <c r="R83" s="4" t="s">
        <v>360</v>
      </c>
      <c r="U83" s="4" t="s">
        <v>360</v>
      </c>
      <c r="AB83" s="5" t="s">
        <v>360</v>
      </c>
      <c r="AC83" s="5"/>
      <c r="AD83" s="5"/>
      <c r="AE83" s="5"/>
      <c r="AF83" s="5" t="s">
        <v>360</v>
      </c>
      <c r="AG83" s="2" t="str">
        <f>IF(OR(Tabla_Presupuesto[[#This Row],[ROL_JEFE_CONT_PRESU]]="*",Tabla_Presupuesto[[#This Row],[ROL_JEFE_CONT_PRSU_HOSPI]]="*"),"*","")</f>
        <v>*</v>
      </c>
    </row>
    <row r="84" spans="1:33" x14ac:dyDescent="0.5">
      <c r="A84" s="5">
        <f>MAX(Tabla_Contabilidad[Id])</f>
        <v>210</v>
      </c>
      <c r="B84" s="2">
        <v>290</v>
      </c>
      <c r="C84" s="5">
        <f>IF(Tabla_Presupuesto[[#This Row],[id_padre]]="",0,_xlfn.XLOOKUP(Tabla_Presupuesto[[#This Row],[id_padre]],Tabla_Presupuesto[Id],Tabla_Presupuesto[Nivel],0,0,1)+1)</f>
        <v>3</v>
      </c>
      <c r="D84" s="2" t="s">
        <v>272</v>
      </c>
      <c r="E84" s="2">
        <f>IF(Tabla_Presupuesto[[#This Row],[Id_anterior]]=1,ROW()-1,SUM(ROW()-1,Tabla_Presupuesto[[#This Row],[Id_anterior]]))</f>
        <v>293</v>
      </c>
      <c r="F8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PRESUPUESTO_CONSULTAS_FLUJO_CAJA_CALENDARIZACION_FLUJO_CAJA_UNIDAD</v>
      </c>
      <c r="G84" s="2" t="str">
        <f>CLEAN(PROPER(Tabla_Presupuesto[[#This Row],[Nombre Opción]]))</f>
        <v>Calendarizacion Flujo De Caja Unidad</v>
      </c>
      <c r="H84" s="2" t="s">
        <v>1735</v>
      </c>
      <c r="I84" s="2" t="str">
        <f>_xlfn.XLOOKUP(Tabla_Presupuesto[[#This Row],[id_padre]],Tabla_Presupuesto[Id],Tabla_Presupuesto[Codigo_Tecnico],"",0,1)</f>
        <v>PRESUPUESTO_CONSULTAS_FLUJO_CAJA</v>
      </c>
      <c r="J8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/presupuesto/consultas/flujo-caja/calendarizacion-flujo-caja-unidad</v>
      </c>
      <c r="K8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calendarizacion-flujo-caja-unidad</v>
      </c>
      <c r="L84" s="2" t="s">
        <v>1456</v>
      </c>
      <c r="M84" s="2" t="s">
        <v>1792</v>
      </c>
      <c r="N84" s="4"/>
      <c r="O84" s="4"/>
      <c r="P84" s="4" t="s">
        <v>360</v>
      </c>
      <c r="Q84" s="4" t="s">
        <v>360</v>
      </c>
      <c r="R84" s="4" t="s">
        <v>360</v>
      </c>
      <c r="S84" s="4" t="s">
        <v>360</v>
      </c>
      <c r="U84" s="4" t="s">
        <v>360</v>
      </c>
      <c r="X84" s="4" t="s">
        <v>360</v>
      </c>
      <c r="Y84" s="4" t="s">
        <v>360</v>
      </c>
      <c r="Z84" s="4" t="s">
        <v>360</v>
      </c>
      <c r="AA84" s="4" t="s">
        <v>360</v>
      </c>
      <c r="AB84" s="4" t="s">
        <v>360</v>
      </c>
      <c r="AC84" s="5" t="s">
        <v>360</v>
      </c>
      <c r="AD84" s="5"/>
      <c r="AE84" s="5"/>
      <c r="AF84" s="5" t="s">
        <v>360</v>
      </c>
      <c r="AG84" s="2" t="str">
        <f>IF(OR(Tabla_Presupuesto[[#This Row],[ROL_JEFE_CONT_PRESU]]="*",Tabla_Presupuesto[[#This Row],[ROL_JEFE_CONT_PRSU_HOSPI]]="*"),"*","")</f>
        <v>*</v>
      </c>
    </row>
    <row r="85" spans="1:33" x14ac:dyDescent="0.5">
      <c r="A85" s="5">
        <f>MAX(Tabla_Contabilidad[Id])</f>
        <v>210</v>
      </c>
      <c r="B85" s="2">
        <v>290</v>
      </c>
      <c r="C85" s="5">
        <f>IF(Tabla_Presupuesto[[#This Row],[id_padre]]="",0,_xlfn.XLOOKUP(Tabla_Presupuesto[[#This Row],[id_padre]],Tabla_Presupuesto[Id],Tabla_Presupuesto[Nivel],0,0,1)+1)</f>
        <v>3</v>
      </c>
      <c r="D85" s="2" t="s">
        <v>273</v>
      </c>
      <c r="E85" s="2">
        <f>IF(Tabla_Presupuesto[[#This Row],[Id_anterior]]=1,ROW()-1,SUM(ROW()-1,Tabla_Presupuesto[[#This Row],[Id_anterior]]))</f>
        <v>294</v>
      </c>
      <c r="F8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PRESUPUESTO_CONSULTAS_FLUJO_CAJA_RESUMEN_SOLICITUD_CAJA_CONSOLIDADA_DIRFIN</v>
      </c>
      <c r="G85" s="2" t="str">
        <f>CLEAN(PROPER(Tabla_Presupuesto[[#This Row],[Nombre Opción]]))</f>
        <v>Resumen Solicitud De Caja Consolidada Dirfin</v>
      </c>
      <c r="H85" s="2" t="s">
        <v>1735</v>
      </c>
      <c r="I85" s="2" t="str">
        <f>_xlfn.XLOOKUP(Tabla_Presupuesto[[#This Row],[id_padre]],Tabla_Presupuesto[Id],Tabla_Presupuesto[Codigo_Tecnico],"",0,1)</f>
        <v>PRESUPUESTO_CONSULTAS_FLUJO_CAJA</v>
      </c>
      <c r="J8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/presupuesto/consultas/flujo-caja/resumen-solicitud-caja-consolidada-dirfin</v>
      </c>
      <c r="K8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resumen-solicitud-caja-consolidada-dirfin</v>
      </c>
      <c r="L85" s="2" t="s">
        <v>1408</v>
      </c>
      <c r="M85" s="2" t="s">
        <v>1792</v>
      </c>
      <c r="N85" s="4"/>
      <c r="O85" s="4"/>
      <c r="P85" s="4" t="s">
        <v>360</v>
      </c>
      <c r="Q85" s="4"/>
      <c r="R85" s="4" t="s">
        <v>360</v>
      </c>
      <c r="U85" s="4" t="s">
        <v>360</v>
      </c>
      <c r="AB85" s="5" t="s">
        <v>360</v>
      </c>
      <c r="AC85" s="5"/>
      <c r="AD85" s="5"/>
      <c r="AE85" s="5"/>
      <c r="AF85" s="5" t="s">
        <v>360</v>
      </c>
      <c r="AG85" s="2" t="str">
        <f>IF(OR(Tabla_Presupuesto[[#This Row],[ROL_JEFE_CONT_PRESU]]="*",Tabla_Presupuesto[[#This Row],[ROL_JEFE_CONT_PRSU_HOSPI]]="*"),"*","")</f>
        <v>*</v>
      </c>
    </row>
    <row r="86" spans="1:33" x14ac:dyDescent="0.5">
      <c r="A86" s="5">
        <f>MAX(Tabla_Contabilidad[Id])</f>
        <v>210</v>
      </c>
      <c r="B86" s="2">
        <v>290</v>
      </c>
      <c r="C86" s="5">
        <f>IF(Tabla_Presupuesto[[#This Row],[id_padre]]="",0,_xlfn.XLOOKUP(Tabla_Presupuesto[[#This Row],[id_padre]],Tabla_Presupuesto[Id],Tabla_Presupuesto[Nivel],0,0,1)+1)</f>
        <v>3</v>
      </c>
      <c r="D86" s="2" t="s">
        <v>274</v>
      </c>
      <c r="E86" s="2">
        <f>IF(Tabla_Presupuesto[[#This Row],[Id_anterior]]=1,ROW()-1,SUM(ROW()-1,Tabla_Presupuesto[[#This Row],[Id_anterior]]))</f>
        <v>295</v>
      </c>
      <c r="F8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PRESUPUESTO_CONSULTAS_FLUJO_CAJA_RESUMEN_SOLICITUD_CAJA_POR_UNIDAD</v>
      </c>
      <c r="G86" s="2" t="str">
        <f>CLEAN(PROPER(Tabla_Presupuesto[[#This Row],[Nombre Opción]]))</f>
        <v>Resumen Solicitud De Caja Por Unidad</v>
      </c>
      <c r="H86" s="2" t="s">
        <v>1735</v>
      </c>
      <c r="I86" s="2" t="str">
        <f>_xlfn.XLOOKUP(Tabla_Presupuesto[[#This Row],[id_padre]],Tabla_Presupuesto[Id],Tabla_Presupuesto[Codigo_Tecnico],"",0,1)</f>
        <v>PRESUPUESTO_CONSULTAS_FLUJO_CAJA</v>
      </c>
      <c r="J8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/presupuesto/consultas/flujo-caja/resumen-solicitud-caja-por-unidad</v>
      </c>
      <c r="K8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resumen-solicitud-caja-por-unidad</v>
      </c>
      <c r="L86" s="2" t="s">
        <v>1345</v>
      </c>
      <c r="M86" s="2" t="s">
        <v>1792</v>
      </c>
      <c r="N86" s="4"/>
      <c r="O86" s="4"/>
      <c r="P86" s="4" t="s">
        <v>360</v>
      </c>
      <c r="Q86" s="4" t="s">
        <v>360</v>
      </c>
      <c r="R86" s="4" t="s">
        <v>360</v>
      </c>
      <c r="S86" s="4" t="s">
        <v>360</v>
      </c>
      <c r="T86" s="4" t="s">
        <v>360</v>
      </c>
      <c r="U86" s="4" t="s">
        <v>360</v>
      </c>
      <c r="V86" s="4" t="s">
        <v>360</v>
      </c>
      <c r="W86" s="4" t="s">
        <v>360</v>
      </c>
      <c r="X86" s="4" t="s">
        <v>360</v>
      </c>
      <c r="Y86" s="4" t="s">
        <v>360</v>
      </c>
      <c r="Z86" s="4" t="s">
        <v>360</v>
      </c>
      <c r="AA86" s="4" t="s">
        <v>360</v>
      </c>
      <c r="AB86" s="4" t="s">
        <v>360</v>
      </c>
      <c r="AC86" s="5" t="s">
        <v>360</v>
      </c>
      <c r="AD86" s="5"/>
      <c r="AE86" s="5"/>
      <c r="AF86" s="5" t="s">
        <v>360</v>
      </c>
      <c r="AG86" s="2" t="str">
        <f>IF(OR(Tabla_Presupuesto[[#This Row],[ROL_JEFE_CONT_PRESU]]="*",Tabla_Presupuesto[[#This Row],[ROL_JEFE_CONT_PRSU_HOSPI]]="*"),"*","")</f>
        <v>*</v>
      </c>
    </row>
    <row r="87" spans="1:33" x14ac:dyDescent="0.5">
      <c r="A87" s="5">
        <f>MAX(Tabla_Contabilidad[Id])</f>
        <v>210</v>
      </c>
      <c r="B87" s="2">
        <v>290</v>
      </c>
      <c r="C87" s="5">
        <f>IF(Tabla_Presupuesto[[#This Row],[id_padre]]="",0,_xlfn.XLOOKUP(Tabla_Presupuesto[[#This Row],[id_padre]],Tabla_Presupuesto[Id],Tabla_Presupuesto[Nivel],0,0,1)+1)</f>
        <v>3</v>
      </c>
      <c r="D87" s="2" t="s">
        <v>275</v>
      </c>
      <c r="E87" s="2">
        <f>IF(Tabla_Presupuesto[[#This Row],[Id_anterior]]=1,ROW()-1,SUM(ROW()-1,Tabla_Presupuesto[[#This Row],[Id_anterior]]))</f>
        <v>296</v>
      </c>
      <c r="F8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PRESUPUESTO_CONSULTAS_FLUJO_CAJA_RESUMEN_CAJA_SOLICITADA_UNIDAD_VERSUS_CAJA_PLANIFICADA</v>
      </c>
      <c r="G87" s="2" t="str">
        <f>CLEAN(PROPER(Tabla_Presupuesto[[#This Row],[Nombre Opción]]))</f>
        <v>Resumen De Caja Solicitada Unidad Versus Caja Planificada</v>
      </c>
      <c r="H87" s="2" t="s">
        <v>1735</v>
      </c>
      <c r="I87" s="2" t="str">
        <f>_xlfn.XLOOKUP(Tabla_Presupuesto[[#This Row],[id_padre]],Tabla_Presupuesto[Id],Tabla_Presupuesto[Codigo_Tecnico],"",0,1)</f>
        <v>PRESUPUESTO_CONSULTAS_FLUJO_CAJA</v>
      </c>
      <c r="J8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/presupuesto/consultas/flujo-caja/resumen-caja-solicitada-unidad-versus-caja-planificada</v>
      </c>
      <c r="K8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resumen-caja-solicitada-unidad-versus-caja-planificada</v>
      </c>
      <c r="L87" s="2" t="s">
        <v>1491</v>
      </c>
      <c r="M87" s="2" t="s">
        <v>1792</v>
      </c>
      <c r="N87" s="4"/>
      <c r="O87" s="4"/>
      <c r="P87" s="4" t="s">
        <v>360</v>
      </c>
      <c r="Q87" s="4" t="s">
        <v>360</v>
      </c>
      <c r="R87" s="4" t="s">
        <v>360</v>
      </c>
      <c r="S87" s="4" t="s">
        <v>360</v>
      </c>
      <c r="T87" s="4" t="s">
        <v>360</v>
      </c>
      <c r="U87" s="4" t="s">
        <v>360</v>
      </c>
      <c r="V87" s="4" t="s">
        <v>360</v>
      </c>
      <c r="W87" s="4" t="s">
        <v>360</v>
      </c>
      <c r="X87" s="4" t="s">
        <v>360</v>
      </c>
      <c r="Y87" s="4" t="s">
        <v>360</v>
      </c>
      <c r="Z87" s="4" t="s">
        <v>360</v>
      </c>
      <c r="AA87" s="4" t="s">
        <v>360</v>
      </c>
      <c r="AB87" s="4" t="s">
        <v>360</v>
      </c>
      <c r="AC87" s="5" t="s">
        <v>360</v>
      </c>
      <c r="AD87" s="5"/>
      <c r="AE87" s="5"/>
      <c r="AF87" s="5" t="s">
        <v>360</v>
      </c>
      <c r="AG87" s="2" t="str">
        <f>IF(OR(Tabla_Presupuesto[[#This Row],[ROL_JEFE_CONT_PRESU]]="*",Tabla_Presupuesto[[#This Row],[ROL_JEFE_CONT_PRSU_HOSPI]]="*"),"*","")</f>
        <v>*</v>
      </c>
    </row>
    <row r="88" spans="1:33" x14ac:dyDescent="0.5">
      <c r="A88" s="5">
        <f>MAX(Tabla_Contabilidad[Id])</f>
        <v>210</v>
      </c>
      <c r="B88" s="2">
        <v>290</v>
      </c>
      <c r="C88" s="5">
        <f>IF(Tabla_Presupuesto[[#This Row],[id_padre]]="",0,_xlfn.XLOOKUP(Tabla_Presupuesto[[#This Row],[id_padre]],Tabla_Presupuesto[Id],Tabla_Presupuesto[Nivel],0,0,1)+1)</f>
        <v>3</v>
      </c>
      <c r="D88" s="2" t="s">
        <v>276</v>
      </c>
      <c r="E88" s="2">
        <f>IF(Tabla_Presupuesto[[#This Row],[Id_anterior]]=1,ROW()-1,SUM(ROW()-1,Tabla_Presupuesto[[#This Row],[Id_anterior]]))</f>
        <v>297</v>
      </c>
      <c r="F8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PRESUPUESTO_CONSULTAS_FLUJO_CAJA_DEVENGOS_NO_PAGADOS_POR_UNIDAD</v>
      </c>
      <c r="G88" s="2" t="str">
        <f>CLEAN(PROPER(Tabla_Presupuesto[[#This Row],[Nombre Opción]]))</f>
        <v>Devengos No Pagados Por Unidad</v>
      </c>
      <c r="H88" s="2" t="s">
        <v>1735</v>
      </c>
      <c r="I88" s="2" t="str">
        <f>_xlfn.XLOOKUP(Tabla_Presupuesto[[#This Row],[id_padre]],Tabla_Presupuesto[Id],Tabla_Presupuesto[Codigo_Tecnico],"",0,1)</f>
        <v>PRESUPUESTO_CONSULTAS_FLUJO_CAJA</v>
      </c>
      <c r="J8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/presupuesto/consultas/flujo-caja/devengos-no-pagados-por-unidad</v>
      </c>
      <c r="K8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devengos-no-pagados-por-unidad</v>
      </c>
      <c r="L88" s="2" t="s">
        <v>1492</v>
      </c>
      <c r="M88" s="2" t="s">
        <v>1792</v>
      </c>
      <c r="N88" s="4"/>
      <c r="O88" s="4"/>
      <c r="P88" s="4" t="s">
        <v>360</v>
      </c>
      <c r="Q88" s="4" t="s">
        <v>360</v>
      </c>
      <c r="R88" s="4" t="s">
        <v>360</v>
      </c>
      <c r="S88" s="4" t="s">
        <v>360</v>
      </c>
      <c r="T88" s="4" t="s">
        <v>360</v>
      </c>
      <c r="U88" s="4" t="s">
        <v>360</v>
      </c>
      <c r="V88" s="4" t="s">
        <v>360</v>
      </c>
      <c r="W88" s="4" t="s">
        <v>360</v>
      </c>
      <c r="X88" s="4" t="s">
        <v>360</v>
      </c>
      <c r="Y88" s="4" t="s">
        <v>360</v>
      </c>
      <c r="Z88" s="4" t="s">
        <v>360</v>
      </c>
      <c r="AA88" s="4" t="s">
        <v>360</v>
      </c>
      <c r="AB88" s="4" t="s">
        <v>360</v>
      </c>
      <c r="AC88" s="5" t="s">
        <v>360</v>
      </c>
      <c r="AD88" s="5"/>
      <c r="AE88" s="5"/>
      <c r="AF88" s="5" t="s">
        <v>360</v>
      </c>
      <c r="AG88" s="2" t="str">
        <f>IF(OR(Tabla_Presupuesto[[#This Row],[ROL_JEFE_CONT_PRESU]]="*",Tabla_Presupuesto[[#This Row],[ROL_JEFE_CONT_PRSU_HOSPI]]="*"),"*","")</f>
        <v>*</v>
      </c>
    </row>
    <row r="89" spans="1:33" x14ac:dyDescent="0.5">
      <c r="A89" s="5">
        <f>MAX(Tabla_Contabilidad[Id])</f>
        <v>210</v>
      </c>
      <c r="B89" s="2">
        <v>290</v>
      </c>
      <c r="C89" s="5">
        <f>IF(Tabla_Presupuesto[[#This Row],[id_padre]]="",0,_xlfn.XLOOKUP(Tabla_Presupuesto[[#This Row],[id_padre]],Tabla_Presupuesto[Id],Tabla_Presupuesto[Nivel],0,0,1)+1)</f>
        <v>3</v>
      </c>
      <c r="D89" s="2" t="s">
        <v>277</v>
      </c>
      <c r="E89" s="2">
        <f>IF(Tabla_Presupuesto[[#This Row],[Id_anterior]]=1,ROW()-1,SUM(ROW()-1,Tabla_Presupuesto[[#This Row],[Id_anterior]]))</f>
        <v>298</v>
      </c>
      <c r="F8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PRESUPUESTO_CONSULTAS_FLUJO_CAJA_DEVENGOS_NO_PAGADOS_POR_UNIDAD_INTERNA</v>
      </c>
      <c r="G89" s="2" t="str">
        <f>CLEAN(PROPER(Tabla_Presupuesto[[#This Row],[Nombre Opción]]))</f>
        <v>Devengos No Pagados Por Unidad Interna</v>
      </c>
      <c r="H89" s="2" t="s">
        <v>1735</v>
      </c>
      <c r="I89" s="2" t="str">
        <f>_xlfn.XLOOKUP(Tabla_Presupuesto[[#This Row],[id_padre]],Tabla_Presupuesto[Id],Tabla_Presupuesto[Codigo_Tecnico],"",0,1)</f>
        <v>PRESUPUESTO_CONSULTAS_FLUJO_CAJA</v>
      </c>
      <c r="J8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/presupuesto/consultas/flujo-caja/devengos-no-pagados-por-unidad-interna</v>
      </c>
      <c r="K8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devengos-no-pagados-por-unidad-interna</v>
      </c>
      <c r="L89" s="2" t="s">
        <v>1345</v>
      </c>
      <c r="M89" s="2" t="s">
        <v>1792</v>
      </c>
      <c r="N89" s="4"/>
      <c r="O89" s="4"/>
      <c r="P89" s="4" t="s">
        <v>360</v>
      </c>
      <c r="Q89" s="4"/>
      <c r="U89" s="4" t="s">
        <v>360</v>
      </c>
      <c r="W89" s="4" t="s">
        <v>360</v>
      </c>
      <c r="X89" s="4" t="s">
        <v>360</v>
      </c>
      <c r="Y89" s="4" t="s">
        <v>360</v>
      </c>
      <c r="AA89" s="4" t="s">
        <v>360</v>
      </c>
      <c r="AB89" s="4" t="s">
        <v>360</v>
      </c>
      <c r="AC89" s="5"/>
      <c r="AD89" s="5" t="s">
        <v>360</v>
      </c>
      <c r="AE89" s="5" t="s">
        <v>360</v>
      </c>
      <c r="AF89" s="5" t="s">
        <v>360</v>
      </c>
      <c r="AG89" s="2" t="str">
        <f>IF(OR(Tabla_Presupuesto[[#This Row],[ROL_JEFE_CONT_PRESU]]="*",Tabla_Presupuesto[[#This Row],[ROL_JEFE_CONT_PRSU_HOSPI]]="*"),"*","")</f>
        <v>*</v>
      </c>
    </row>
    <row r="90" spans="1:33" x14ac:dyDescent="0.5">
      <c r="A90" s="5">
        <f>MAX(Tabla_Contabilidad[Id])</f>
        <v>210</v>
      </c>
      <c r="B90" s="2">
        <v>290</v>
      </c>
      <c r="C90" s="5">
        <f>IF(Tabla_Presupuesto[[#This Row],[id_padre]]="",0,_xlfn.XLOOKUP(Tabla_Presupuesto[[#This Row],[id_padre]],Tabla_Presupuesto[Id],Tabla_Presupuesto[Nivel],0,0,1)+1)</f>
        <v>3</v>
      </c>
      <c r="D90" s="2" t="s">
        <v>278</v>
      </c>
      <c r="E90" s="2">
        <f>IF(Tabla_Presupuesto[[#This Row],[Id_anterior]]=1,ROW()-1,SUM(ROW()-1,Tabla_Presupuesto[[#This Row],[Id_anterior]]))</f>
        <v>299</v>
      </c>
      <c r="F9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PRESUPUESTO_CONSULTAS_FLUJO_CAJA_CAJA_SOLICITADA</v>
      </c>
      <c r="G90" s="2" t="str">
        <f>CLEAN(PROPER(Tabla_Presupuesto[[#This Row],[Nombre Opción]]))</f>
        <v>Caja Solicitada</v>
      </c>
      <c r="H90" s="2" t="s">
        <v>1735</v>
      </c>
      <c r="I90" s="2" t="str">
        <f>_xlfn.XLOOKUP(Tabla_Presupuesto[[#This Row],[id_padre]],Tabla_Presupuesto[Id],Tabla_Presupuesto[Codigo_Tecnico],"",0,1)</f>
        <v>PRESUPUESTO_CONSULTAS_FLUJO_CAJA</v>
      </c>
      <c r="J9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/presupuesto/consultas/flujo-caja/caja-solicitada</v>
      </c>
      <c r="K9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caja-solicitada</v>
      </c>
      <c r="L90" s="2" t="s">
        <v>1491</v>
      </c>
      <c r="M90" s="2" t="s">
        <v>1792</v>
      </c>
      <c r="N90" s="4"/>
      <c r="O90" s="4"/>
      <c r="P90" s="4" t="s">
        <v>360</v>
      </c>
      <c r="Q90" s="4" t="s">
        <v>360</v>
      </c>
      <c r="R90" s="4" t="s">
        <v>360</v>
      </c>
      <c r="S90" s="4" t="s">
        <v>360</v>
      </c>
      <c r="T90" s="4" t="s">
        <v>360</v>
      </c>
      <c r="U90" s="4" t="s">
        <v>360</v>
      </c>
      <c r="V90" s="4" t="s">
        <v>360</v>
      </c>
      <c r="W90" s="4" t="s">
        <v>360</v>
      </c>
      <c r="X90" s="4" t="s">
        <v>360</v>
      </c>
      <c r="Y90" s="4" t="s">
        <v>360</v>
      </c>
      <c r="Z90" s="4" t="s">
        <v>360</v>
      </c>
      <c r="AA90" s="4" t="s">
        <v>360</v>
      </c>
      <c r="AB90" s="4" t="s">
        <v>360</v>
      </c>
      <c r="AC90" s="5" t="s">
        <v>360</v>
      </c>
      <c r="AD90" s="5"/>
      <c r="AE90" s="5"/>
      <c r="AF90" s="5" t="s">
        <v>360</v>
      </c>
      <c r="AG90" s="2" t="str">
        <f>IF(OR(Tabla_Presupuesto[[#This Row],[ROL_JEFE_CONT_PRESU]]="*",Tabla_Presupuesto[[#This Row],[ROL_JEFE_CONT_PRSU_HOSPI]]="*"),"*","")</f>
        <v>*</v>
      </c>
    </row>
    <row r="91" spans="1:33" x14ac:dyDescent="0.5">
      <c r="A91" s="5">
        <f>MAX(Tabla_Contabilidad[Id])</f>
        <v>210</v>
      </c>
      <c r="B91" s="2">
        <v>299</v>
      </c>
      <c r="C91" s="5">
        <f>IF(Tabla_Presupuesto[[#This Row],[id_padre]]="",0,_xlfn.XLOOKUP(Tabla_Presupuesto[[#This Row],[id_padre]],Tabla_Presupuesto[Id],Tabla_Presupuesto[Nivel],0,0,1)+1)</f>
        <v>4</v>
      </c>
      <c r="D91" s="2" t="s">
        <v>276</v>
      </c>
      <c r="E91" s="2">
        <f>IF(Tabla_Presupuesto[[#This Row],[Id_anterior]]=1,ROW()-1,SUM(ROW()-1,Tabla_Presupuesto[[#This Row],[Id_anterior]]))</f>
        <v>300</v>
      </c>
      <c r="F9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PRESUPUESTO_CONSULTAS_FLUJO_CAJA_CAJA_SOLICITADA_DEVENGOS_NO_PAGADOS_POR_UNIDAD</v>
      </c>
      <c r="G91" s="2" t="str">
        <f>CLEAN(PROPER(Tabla_Presupuesto[[#This Row],[Nombre Opción]]))</f>
        <v>Devengos No Pagados Por Unidad</v>
      </c>
      <c r="H91" s="2" t="s">
        <v>1735</v>
      </c>
      <c r="I91" s="2" t="str">
        <f>_xlfn.XLOOKUP(Tabla_Presupuesto[[#This Row],[id_padre]],Tabla_Presupuesto[Id],Tabla_Presupuesto[Codigo_Tecnico],"",0,1)</f>
        <v>PRESUPUESTO_CONSULTAS_FLUJO_CAJA_CAJA_SOLICITADA</v>
      </c>
      <c r="J9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/presupuesto/consultas/flujo-caja/caja-solicitada/devengos-no-pagados-por-unidad</v>
      </c>
      <c r="K9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devengos-no-pagados-por-unidad</v>
      </c>
      <c r="L91" s="2" t="s">
        <v>1492</v>
      </c>
      <c r="M91" s="2" t="s">
        <v>1792</v>
      </c>
      <c r="N91" s="4"/>
      <c r="O91" s="4"/>
      <c r="P91" s="4" t="s">
        <v>360</v>
      </c>
      <c r="Q91" s="4" t="s">
        <v>360</v>
      </c>
      <c r="R91" s="4" t="s">
        <v>360</v>
      </c>
      <c r="S91" s="4" t="s">
        <v>360</v>
      </c>
      <c r="T91" s="4" t="s">
        <v>360</v>
      </c>
      <c r="U91" s="4" t="s">
        <v>360</v>
      </c>
      <c r="V91" s="4" t="s">
        <v>360</v>
      </c>
      <c r="W91" s="4" t="s">
        <v>360</v>
      </c>
      <c r="X91" s="4" t="s">
        <v>360</v>
      </c>
      <c r="Y91" s="4" t="s">
        <v>360</v>
      </c>
      <c r="Z91" s="4" t="s">
        <v>360</v>
      </c>
      <c r="AA91" s="4" t="s">
        <v>360</v>
      </c>
      <c r="AB91" s="4" t="s">
        <v>360</v>
      </c>
      <c r="AC91" s="5" t="s">
        <v>360</v>
      </c>
      <c r="AD91" s="5"/>
      <c r="AE91" s="5"/>
      <c r="AF91" s="5" t="s">
        <v>360</v>
      </c>
      <c r="AG91" s="2" t="str">
        <f>IF(OR(Tabla_Presupuesto[[#This Row],[ROL_JEFE_CONT_PRESU]]="*",Tabla_Presupuesto[[#This Row],[ROL_JEFE_CONT_PRSU_HOSPI]]="*"),"*","")</f>
        <v>*</v>
      </c>
    </row>
    <row r="92" spans="1:33" x14ac:dyDescent="0.5">
      <c r="A92" s="5">
        <f>MAX(Tabla_Contabilidad[Id])</f>
        <v>210</v>
      </c>
      <c r="B92" s="2">
        <v>299</v>
      </c>
      <c r="C92" s="5">
        <f>IF(Tabla_Presupuesto[[#This Row],[id_padre]]="",0,_xlfn.XLOOKUP(Tabla_Presupuesto[[#This Row],[id_padre]],Tabla_Presupuesto[Id],Tabla_Presupuesto[Nivel],0,0,1)+1)</f>
        <v>4</v>
      </c>
      <c r="D92" s="2" t="s">
        <v>277</v>
      </c>
      <c r="E92" s="2">
        <f>IF(Tabla_Presupuesto[[#This Row],[Id_anterior]]=1,ROW()-1,SUM(ROW()-1,Tabla_Presupuesto[[#This Row],[Id_anterior]]))</f>
        <v>301</v>
      </c>
      <c r="F9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PRESUPUESTO_CONSULTAS_FLUJO_CAJA_CAJA_SOLICITADA_DEVENGOS_NO_PAGADOS_POR_UNIDAD_INTERNA</v>
      </c>
      <c r="G92" s="2" t="str">
        <f>CLEAN(PROPER(Tabla_Presupuesto[[#This Row],[Nombre Opción]]))</f>
        <v>Devengos No Pagados Por Unidad Interna</v>
      </c>
      <c r="H92" s="2" t="s">
        <v>1735</v>
      </c>
      <c r="I92" s="2" t="str">
        <f>_xlfn.XLOOKUP(Tabla_Presupuesto[[#This Row],[id_padre]],Tabla_Presupuesto[Id],Tabla_Presupuesto[Codigo_Tecnico],"",0,1)</f>
        <v>PRESUPUESTO_CONSULTAS_FLUJO_CAJA_CAJA_SOLICITADA</v>
      </c>
      <c r="J9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/presupuesto/consultas/flujo-caja/caja-solicitada/devengos-no-pagados-por-unidad-interna</v>
      </c>
      <c r="K9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devengos-no-pagados-por-unidad-interna</v>
      </c>
      <c r="L92" s="2" t="s">
        <v>1345</v>
      </c>
      <c r="M92" s="2" t="s">
        <v>1792</v>
      </c>
      <c r="N92" s="4"/>
      <c r="O92" s="4"/>
      <c r="P92" s="4" t="s">
        <v>360</v>
      </c>
      <c r="Q92" s="4"/>
      <c r="U92" s="4" t="s">
        <v>360</v>
      </c>
      <c r="W92" s="4" t="s">
        <v>360</v>
      </c>
      <c r="X92" s="4" t="s">
        <v>360</v>
      </c>
      <c r="Y92" s="4" t="s">
        <v>360</v>
      </c>
      <c r="AA92" s="4" t="s">
        <v>360</v>
      </c>
      <c r="AB92" s="4" t="s">
        <v>360</v>
      </c>
      <c r="AC92" s="5"/>
      <c r="AD92" s="5" t="s">
        <v>360</v>
      </c>
      <c r="AE92" s="5" t="s">
        <v>360</v>
      </c>
      <c r="AF92" s="5" t="s">
        <v>360</v>
      </c>
      <c r="AG92" s="2" t="str">
        <f>IF(OR(Tabla_Presupuesto[[#This Row],[ROL_JEFE_CONT_PRESU]]="*",Tabla_Presupuesto[[#This Row],[ROL_JEFE_CONT_PRSU_HOSPI]]="*"),"*","")</f>
        <v>*</v>
      </c>
    </row>
    <row r="93" spans="1:33" x14ac:dyDescent="0.5">
      <c r="A93" s="5">
        <f>MAX(Tabla_Contabilidad[Id])</f>
        <v>210</v>
      </c>
      <c r="B93" s="2">
        <v>290</v>
      </c>
      <c r="C93" s="5">
        <f>IF(Tabla_Presupuesto[[#This Row],[id_padre]]="",0,_xlfn.XLOOKUP(Tabla_Presupuesto[[#This Row],[id_padre]],Tabla_Presupuesto[Id],Tabla_Presupuesto[Nivel],0,0,1)+1)</f>
        <v>3</v>
      </c>
      <c r="D93" s="2" t="s">
        <v>279</v>
      </c>
      <c r="E93" s="2">
        <f>IF(Tabla_Presupuesto[[#This Row],[Id_anterior]]=1,ROW()-1,SUM(ROW()-1,Tabla_Presupuesto[[#This Row],[Id_anterior]]))</f>
        <v>302</v>
      </c>
      <c r="F9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PRESUPUESTO_CONSULTAS_FLUJO_CAJA_COMPROMISOS_POR_DEVENGAR_UNIDAD</v>
      </c>
      <c r="G93" s="2" t="str">
        <f>CLEAN(PROPER(Tabla_Presupuesto[[#This Row],[Nombre Opción]]))</f>
        <v>Compromisos Por Devengar Unidad</v>
      </c>
      <c r="H93" s="2" t="s">
        <v>1735</v>
      </c>
      <c r="I93" s="2" t="str">
        <f>_xlfn.XLOOKUP(Tabla_Presupuesto[[#This Row],[id_padre]],Tabla_Presupuesto[Id],Tabla_Presupuesto[Codigo_Tecnico],"",0,1)</f>
        <v>PRESUPUESTO_CONSULTAS_FLUJO_CAJA</v>
      </c>
      <c r="J9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/presupuesto/consultas/flujo-caja/compromisos-por-devengar-unidad</v>
      </c>
      <c r="K9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compromisos-por-devengar-unidad</v>
      </c>
      <c r="L93" s="2" t="s">
        <v>1475</v>
      </c>
      <c r="M93" s="2" t="s">
        <v>1792</v>
      </c>
      <c r="N93" s="4"/>
      <c r="O93" s="4"/>
      <c r="P93" s="4" t="s">
        <v>360</v>
      </c>
      <c r="Q93" s="4" t="s">
        <v>360</v>
      </c>
      <c r="R93" s="4" t="s">
        <v>360</v>
      </c>
      <c r="S93" s="4" t="s">
        <v>360</v>
      </c>
      <c r="T93" s="4" t="s">
        <v>360</v>
      </c>
      <c r="U93" s="4" t="s">
        <v>360</v>
      </c>
      <c r="V93" s="4" t="s">
        <v>360</v>
      </c>
      <c r="W93" s="4" t="s">
        <v>360</v>
      </c>
      <c r="X93" s="4" t="s">
        <v>360</v>
      </c>
      <c r="Y93" s="4" t="s">
        <v>360</v>
      </c>
      <c r="Z93" s="4" t="s">
        <v>360</v>
      </c>
      <c r="AA93" s="4" t="s">
        <v>360</v>
      </c>
      <c r="AB93" s="4" t="s">
        <v>360</v>
      </c>
      <c r="AC93" s="5" t="s">
        <v>360</v>
      </c>
      <c r="AD93" s="5"/>
      <c r="AE93" s="5"/>
      <c r="AF93" s="5" t="s">
        <v>360</v>
      </c>
      <c r="AG93" s="2" t="str">
        <f>IF(OR(Tabla_Presupuesto[[#This Row],[ROL_JEFE_CONT_PRESU]]="*",Tabla_Presupuesto[[#This Row],[ROL_JEFE_CONT_PRSU_HOSPI]]="*"),"*","")</f>
        <v>*</v>
      </c>
    </row>
    <row r="94" spans="1:33" x14ac:dyDescent="0.5">
      <c r="A94" s="5">
        <f>MAX(Tabla_Contabilidad[Id])</f>
        <v>210</v>
      </c>
      <c r="B94" s="2">
        <v>299</v>
      </c>
      <c r="C94" s="5">
        <f>IF(Tabla_Presupuesto[[#This Row],[id_padre]]="",0,_xlfn.XLOOKUP(Tabla_Presupuesto[[#This Row],[id_padre]],Tabla_Presupuesto[Id],Tabla_Presupuesto[Nivel],0,0,1)+1)</f>
        <v>4</v>
      </c>
      <c r="D94" s="2" t="s">
        <v>228</v>
      </c>
      <c r="E94" s="2">
        <f>IF(Tabla_Presupuesto[[#This Row],[Id_anterior]]=1,ROW()-1,SUM(ROW()-1,Tabla_Presupuesto[[#This Row],[Id_anterior]]))</f>
        <v>303</v>
      </c>
      <c r="F9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PRESUPUESTO_CONSULTAS_FLUJO_CAJA_CAJA_SOLICITADA_COMPROMISOS_POR_DEVENGAR</v>
      </c>
      <c r="G94" s="2" t="str">
        <f>CLEAN(PROPER(Tabla_Presupuesto[[#This Row],[Nombre Opción]]))</f>
        <v>Compromisos Por Devengar</v>
      </c>
      <c r="H94" s="2" t="s">
        <v>1735</v>
      </c>
      <c r="I94" s="2" t="str">
        <f>_xlfn.XLOOKUP(Tabla_Presupuesto[[#This Row],[id_padre]],Tabla_Presupuesto[Id],Tabla_Presupuesto[Codigo_Tecnico],"",0,1)</f>
        <v>PRESUPUESTO_CONSULTAS_FLUJO_CAJA_CAJA_SOLICITADA</v>
      </c>
      <c r="J9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/presupuesto/consultas/flujo-caja/caja-solicitada/compromisos-por-devengar</v>
      </c>
      <c r="K9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compromisos-por-devengar</v>
      </c>
      <c r="L94" s="2" t="s">
        <v>1409</v>
      </c>
      <c r="M94" s="2" t="s">
        <v>1792</v>
      </c>
      <c r="N94" s="4"/>
      <c r="O94" s="4"/>
      <c r="P94" s="4" t="s">
        <v>360</v>
      </c>
      <c r="Q94" s="4" t="s">
        <v>360</v>
      </c>
      <c r="R94" s="4" t="s">
        <v>360</v>
      </c>
      <c r="S94" s="4" t="s">
        <v>360</v>
      </c>
      <c r="T94" s="4" t="s">
        <v>360</v>
      </c>
      <c r="U94" s="4" t="s">
        <v>360</v>
      </c>
      <c r="V94" s="4" t="s">
        <v>360</v>
      </c>
      <c r="W94" s="4" t="s">
        <v>360</v>
      </c>
      <c r="X94" s="4" t="s">
        <v>360</v>
      </c>
      <c r="Y94" s="4" t="s">
        <v>360</v>
      </c>
      <c r="Z94" s="4" t="s">
        <v>360</v>
      </c>
      <c r="AA94" s="4" t="s">
        <v>360</v>
      </c>
      <c r="AB94" s="4" t="s">
        <v>360</v>
      </c>
      <c r="AC94" s="5" t="s">
        <v>360</v>
      </c>
      <c r="AD94" s="5"/>
      <c r="AE94" s="5"/>
      <c r="AF94" s="5" t="s">
        <v>360</v>
      </c>
      <c r="AG94" s="2" t="str">
        <f>IF(OR(Tabla_Presupuesto[[#This Row],[ROL_JEFE_CONT_PRESU]]="*",Tabla_Presupuesto[[#This Row],[ROL_JEFE_CONT_PRSU_HOSPI]]="*"),"*","")</f>
        <v>*</v>
      </c>
    </row>
    <row r="95" spans="1:33" x14ac:dyDescent="0.5">
      <c r="A95" s="5">
        <f>MAX(Tabla_Contabilidad[Id])</f>
        <v>210</v>
      </c>
      <c r="B95" s="2">
        <v>290</v>
      </c>
      <c r="C95" s="5">
        <f>IF(Tabla_Presupuesto[[#This Row],[id_padre]]="",0,_xlfn.XLOOKUP(Tabla_Presupuesto[[#This Row],[id_padre]],Tabla_Presupuesto[Id],Tabla_Presupuesto[Nivel],0,0,1)+1)</f>
        <v>3</v>
      </c>
      <c r="D95" s="2" t="s">
        <v>280</v>
      </c>
      <c r="E95" s="2">
        <f>IF(Tabla_Presupuesto[[#This Row],[Id_anterior]]=1,ROW()-1,SUM(ROW()-1,Tabla_Presupuesto[[#This Row],[Id_anterior]]))</f>
        <v>304</v>
      </c>
      <c r="F9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PRESUPUESTO_CONSULTAS_FLUJO_CAJA_IMPREVISTOS_OTROS_POR_UNIDAD</v>
      </c>
      <c r="G95" s="2" t="str">
        <f>CLEAN(PROPER(Tabla_Presupuesto[[#This Row],[Nombre Opción]]))</f>
        <v>Imprevistos / Otros Por Unidad</v>
      </c>
      <c r="H95" s="2" t="s">
        <v>1735</v>
      </c>
      <c r="I95" s="2" t="str">
        <f>_xlfn.XLOOKUP(Tabla_Presupuesto[[#This Row],[id_padre]],Tabla_Presupuesto[Id],Tabla_Presupuesto[Codigo_Tecnico],"",0,1)</f>
        <v>PRESUPUESTO_CONSULTAS_FLUJO_CAJA</v>
      </c>
      <c r="J9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/presupuesto/consultas/flujo-caja/imprevistos-otros-por-unidad</v>
      </c>
      <c r="K9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imprevistos-otros-por-unidad</v>
      </c>
      <c r="L95" s="2" t="s">
        <v>1409</v>
      </c>
      <c r="M95" s="2" t="s">
        <v>1792</v>
      </c>
      <c r="N95" s="4"/>
      <c r="O95" s="4"/>
      <c r="P95" s="4" t="s">
        <v>360</v>
      </c>
      <c r="Q95" s="4" t="s">
        <v>360</v>
      </c>
      <c r="R95" s="4" t="s">
        <v>360</v>
      </c>
      <c r="S95" s="4" t="s">
        <v>360</v>
      </c>
      <c r="T95" s="4" t="s">
        <v>360</v>
      </c>
      <c r="U95" s="4" t="s">
        <v>360</v>
      </c>
      <c r="V95" s="4" t="s">
        <v>360</v>
      </c>
      <c r="W95" s="4" t="s">
        <v>360</v>
      </c>
      <c r="X95" s="4" t="s">
        <v>360</v>
      </c>
      <c r="Y95" s="4" t="s">
        <v>360</v>
      </c>
      <c r="Z95" s="4" t="s">
        <v>360</v>
      </c>
      <c r="AA95" s="4" t="s">
        <v>360</v>
      </c>
      <c r="AB95" s="4" t="s">
        <v>360</v>
      </c>
      <c r="AC95" s="5" t="s">
        <v>360</v>
      </c>
      <c r="AD95" s="5"/>
      <c r="AE95" s="5"/>
      <c r="AF95" s="5" t="s">
        <v>360</v>
      </c>
      <c r="AG95" s="2" t="str">
        <f>IF(OR(Tabla_Presupuesto[[#This Row],[ROL_JEFE_CONT_PRESU]]="*",Tabla_Presupuesto[[#This Row],[ROL_JEFE_CONT_PRSU_HOSPI]]="*"),"*","")</f>
        <v>*</v>
      </c>
    </row>
    <row r="96" spans="1:33" x14ac:dyDescent="0.5">
      <c r="A96" s="5">
        <f>MAX(Tabla_Contabilidad[Id])</f>
        <v>210</v>
      </c>
      <c r="B96" s="2">
        <v>299</v>
      </c>
      <c r="C96" s="5">
        <f>IF(Tabla_Presupuesto[[#This Row],[id_padre]]="",0,_xlfn.XLOOKUP(Tabla_Presupuesto[[#This Row],[id_padre]],Tabla_Presupuesto[Id],Tabla_Presupuesto[Nivel],0,0,1)+1)</f>
        <v>4</v>
      </c>
      <c r="D96" s="2" t="s">
        <v>229</v>
      </c>
      <c r="E96" s="2">
        <f>IF(Tabla_Presupuesto[[#This Row],[Id_anterior]]=1,ROW()-1,SUM(ROW()-1,Tabla_Presupuesto[[#This Row],[Id_anterior]]))</f>
        <v>305</v>
      </c>
      <c r="F9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PRESUPUESTO_CONSULTAS_FLUJO_CAJA_CAJA_SOLICITADA_IMPREVISTOS_OTROS</v>
      </c>
      <c r="G96" s="2" t="str">
        <f>CLEAN(PROPER(Tabla_Presupuesto[[#This Row],[Nombre Opción]]))</f>
        <v>Imprevistos / Otros</v>
      </c>
      <c r="H96" s="2" t="s">
        <v>1735</v>
      </c>
      <c r="I96" s="2" t="str">
        <f>_xlfn.XLOOKUP(Tabla_Presupuesto[[#This Row],[id_padre]],Tabla_Presupuesto[Id],Tabla_Presupuesto[Codigo_Tecnico],"",0,1)</f>
        <v>PRESUPUESTO_CONSULTAS_FLUJO_CAJA_CAJA_SOLICITADA</v>
      </c>
      <c r="J9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/presupuesto/consultas/flujo-caja/caja-solicitada/imprevistos-otros</v>
      </c>
      <c r="K9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imprevistos-otros</v>
      </c>
      <c r="L96" s="2" t="s">
        <v>1475</v>
      </c>
      <c r="M96" s="2" t="s">
        <v>1792</v>
      </c>
      <c r="N96" s="4"/>
      <c r="O96" s="4"/>
      <c r="P96" s="4" t="s">
        <v>360</v>
      </c>
      <c r="Q96" s="4" t="s">
        <v>360</v>
      </c>
      <c r="R96" s="4" t="s">
        <v>360</v>
      </c>
      <c r="S96" s="4" t="s">
        <v>360</v>
      </c>
      <c r="T96" s="4" t="s">
        <v>360</v>
      </c>
      <c r="U96" s="4" t="s">
        <v>360</v>
      </c>
      <c r="V96" s="4" t="s">
        <v>360</v>
      </c>
      <c r="W96" s="4" t="s">
        <v>360</v>
      </c>
      <c r="X96" s="4" t="s">
        <v>360</v>
      </c>
      <c r="Y96" s="4" t="s">
        <v>360</v>
      </c>
      <c r="Z96" s="4" t="s">
        <v>360</v>
      </c>
      <c r="AA96" s="4" t="s">
        <v>360</v>
      </c>
      <c r="AB96" s="4" t="s">
        <v>360</v>
      </c>
      <c r="AC96" s="5" t="s">
        <v>360</v>
      </c>
      <c r="AD96" s="5"/>
      <c r="AE96" s="5"/>
      <c r="AF96" s="5" t="s">
        <v>360</v>
      </c>
      <c r="AG96" s="2" t="str">
        <f>IF(OR(Tabla_Presupuesto[[#This Row],[ROL_JEFE_CONT_PRESU]]="*",Tabla_Presupuesto[[#This Row],[ROL_JEFE_CONT_PRSU_HOSPI]]="*"),"*","")</f>
        <v>*</v>
      </c>
    </row>
    <row r="97" spans="1:33" x14ac:dyDescent="0.5">
      <c r="A97" s="5">
        <f>MAX(Tabla_Contabilidad[Id])</f>
        <v>210</v>
      </c>
      <c r="B97" s="2">
        <v>290</v>
      </c>
      <c r="C97" s="5">
        <f>IF(Tabla_Presupuesto[[#This Row],[id_padre]]="",0,_xlfn.XLOOKUP(Tabla_Presupuesto[[#This Row],[id_padre]],Tabla_Presupuesto[Id],Tabla_Presupuesto[Nivel],0,0,1)+1)</f>
        <v>3</v>
      </c>
      <c r="D97" s="2" t="s">
        <v>281</v>
      </c>
      <c r="E97" s="2">
        <f>IF(Tabla_Presupuesto[[#This Row],[Id_anterior]]=1,ROW()-1,SUM(ROW()-1,Tabla_Presupuesto[[#This Row],[Id_anterior]]))</f>
        <v>306</v>
      </c>
      <c r="F9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PRESUPUESTO_CONSULTAS_FLUJO_CAJA_COMPROMISOS_POR_DEVENGAR_UNIDAD_INTERNA</v>
      </c>
      <c r="G97" s="2" t="str">
        <f>CLEAN(PROPER(Tabla_Presupuesto[[#This Row],[Nombre Opción]]))</f>
        <v>Compromisos Por Devengar Unidad Interna</v>
      </c>
      <c r="H97" s="2" t="s">
        <v>1735</v>
      </c>
      <c r="I97" s="2" t="str">
        <f>_xlfn.XLOOKUP(Tabla_Presupuesto[[#This Row],[id_padre]],Tabla_Presupuesto[Id],Tabla_Presupuesto[Codigo_Tecnico],"",0,1)</f>
        <v>PRESUPUESTO_CONSULTAS_FLUJO_CAJA</v>
      </c>
      <c r="J9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/presupuesto/consultas/flujo-caja/compromisos-por-devengar-unidad-interna</v>
      </c>
      <c r="K9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compromisos-por-devengar-unidad-interna</v>
      </c>
      <c r="L97" s="2" t="s">
        <v>1472</v>
      </c>
      <c r="M97" s="2" t="s">
        <v>1792</v>
      </c>
      <c r="N97" s="4"/>
      <c r="O97" s="4"/>
      <c r="P97" s="4" t="s">
        <v>360</v>
      </c>
      <c r="Q97" s="4"/>
      <c r="U97" s="4" t="s">
        <v>360</v>
      </c>
      <c r="W97" s="4" t="s">
        <v>360</v>
      </c>
      <c r="X97" s="4" t="s">
        <v>360</v>
      </c>
      <c r="Y97" s="4" t="s">
        <v>360</v>
      </c>
      <c r="AA97" s="4" t="s">
        <v>360</v>
      </c>
      <c r="AB97" s="4" t="s">
        <v>360</v>
      </c>
      <c r="AC97" s="5"/>
      <c r="AD97" s="5" t="s">
        <v>360</v>
      </c>
      <c r="AE97" s="5" t="s">
        <v>360</v>
      </c>
      <c r="AF97" s="5" t="s">
        <v>360</v>
      </c>
      <c r="AG97" s="2" t="str">
        <f>IF(OR(Tabla_Presupuesto[[#This Row],[ROL_JEFE_CONT_PRESU]]="*",Tabla_Presupuesto[[#This Row],[ROL_JEFE_CONT_PRSU_HOSPI]]="*"),"*","")</f>
        <v>*</v>
      </c>
    </row>
    <row r="98" spans="1:33" x14ac:dyDescent="0.5">
      <c r="A98" s="5">
        <f>MAX(Tabla_Contabilidad[Id])</f>
        <v>210</v>
      </c>
      <c r="B98" s="2">
        <v>215</v>
      </c>
      <c r="C98" s="5">
        <f>IF(Tabla_Presupuesto[[#This Row],[id_padre]]="",0,_xlfn.XLOOKUP(Tabla_Presupuesto[[#This Row],[id_padre]],Tabla_Presupuesto[Id],Tabla_Presupuesto[Nivel],0,0,1)+1)</f>
        <v>2</v>
      </c>
      <c r="D98" s="2" t="s">
        <v>282</v>
      </c>
      <c r="E98" s="2">
        <f>IF(Tabla_Presupuesto[[#This Row],[Id_anterior]]=1,ROW()-1,SUM(ROW()-1,Tabla_Presupuesto[[#This Row],[Id_anterior]]))</f>
        <v>307</v>
      </c>
      <c r="F9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</v>
      </c>
      <c r="G98" s="2" t="str">
        <f>CLEAN(PROPER(Tabla_Presupuesto[[#This Row],[Nombre Opción]]))</f>
        <v>Ejecucion Presupuestaria De Ingresos</v>
      </c>
      <c r="H98" s="2" t="s">
        <v>1735</v>
      </c>
      <c r="I98" s="2" t="str">
        <f>_xlfn.XLOOKUP(Tabla_Presupuesto[[#This Row],[id_padre]],Tabla_Presupuesto[Id],Tabla_Presupuesto[Codigo_Tecnico],"",0,1)</f>
        <v>PRESUPUESTO_INFORMES</v>
      </c>
      <c r="J9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</v>
      </c>
      <c r="K9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ejecucion-presupuestaria-ingresos</v>
      </c>
      <c r="L98" s="2" t="s">
        <v>1494</v>
      </c>
      <c r="M98" s="2" t="s">
        <v>1792</v>
      </c>
      <c r="N98" s="4"/>
      <c r="O98" s="4"/>
      <c r="P98" s="4" t="s">
        <v>360</v>
      </c>
      <c r="Q98" s="4"/>
      <c r="X98" s="4" t="s">
        <v>360</v>
      </c>
      <c r="Y98" s="4" t="s">
        <v>360</v>
      </c>
      <c r="AA98" s="4" t="s">
        <v>360</v>
      </c>
      <c r="AB98" s="4" t="s">
        <v>360</v>
      </c>
      <c r="AC98" s="5"/>
      <c r="AD98" s="5"/>
      <c r="AE98" s="5"/>
      <c r="AF98" s="5" t="s">
        <v>360</v>
      </c>
      <c r="AG98" s="2" t="str">
        <f>IF(OR(Tabla_Presupuesto[[#This Row],[ROL_JEFE_CONT_PRESU]]="*",Tabla_Presupuesto[[#This Row],[ROL_JEFE_CONT_PRSU_HOSPI]]="*"),"*","")</f>
        <v>*</v>
      </c>
    </row>
    <row r="99" spans="1:33" x14ac:dyDescent="0.5">
      <c r="A99" s="5">
        <f>MAX(Tabla_Contabilidad[Id])</f>
        <v>210</v>
      </c>
      <c r="B99" s="2">
        <v>307</v>
      </c>
      <c r="C99" s="5">
        <f>IF(Tabla_Presupuesto[[#This Row],[id_padre]]="",0,_xlfn.XLOOKUP(Tabla_Presupuesto[[#This Row],[id_padre]],Tabla_Presupuesto[Id],Tabla_Presupuesto[Nivel],0,0,1)+1)</f>
        <v>3</v>
      </c>
      <c r="D99" s="2" t="s">
        <v>283</v>
      </c>
      <c r="E99" s="2">
        <f>IF(Tabla_Presupuesto[[#This Row],[Id_anterior]]=1,ROW()-1,SUM(ROW()-1,Tabla_Presupuesto[[#This Row],[Id_anterior]]))</f>
        <v>308</v>
      </c>
      <c r="F9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PRESUPUESTO_INFORMES_EJECUCION_PRESUPUESTARIA_INGRESOS_GASTOS_NIVEL_PARTIDA</v>
      </c>
      <c r="G99" s="2" t="str">
        <f>CLEAN(PROPER(Tabla_Presupuesto[[#This Row],[Nombre Opción]]))</f>
        <v>Gastos Nivel Partida</v>
      </c>
      <c r="H99" s="2" t="s">
        <v>1735</v>
      </c>
      <c r="I99" s="2" t="str">
        <f>_xlfn.XLOOKUP(Tabla_Presupuesto[[#This Row],[id_padre]],Tabla_Presupuesto[Id],Tabla_Presupuesto[Codigo_Tecnico],"",0,1)</f>
        <v>PRESUPUESTO_INFORMES_EJECUCION_PRESUPUESTARIA_INGRESOS</v>
      </c>
      <c r="J9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/presupuesto/informes/ejecucion-presupuestaria-ingresos/gastos-nivel-partida</v>
      </c>
      <c r="K9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gastos-nivel-partida</v>
      </c>
      <c r="L99" s="2" t="s">
        <v>1352</v>
      </c>
      <c r="M99" s="2" t="s">
        <v>1792</v>
      </c>
      <c r="N99" s="4"/>
      <c r="O99" s="4"/>
      <c r="P99" s="4" t="s">
        <v>360</v>
      </c>
      <c r="Q99" s="4"/>
      <c r="X99" s="4" t="s">
        <v>360</v>
      </c>
      <c r="Y99" s="4" t="s">
        <v>360</v>
      </c>
      <c r="AA99" s="4" t="s">
        <v>360</v>
      </c>
      <c r="AB99" s="4" t="s">
        <v>360</v>
      </c>
      <c r="AC99" s="5"/>
      <c r="AD99" s="5"/>
      <c r="AE99" s="5"/>
      <c r="AF99" s="5" t="s">
        <v>360</v>
      </c>
      <c r="AG99" s="2" t="str">
        <f>IF(OR(Tabla_Presupuesto[[#This Row],[ROL_JEFE_CONT_PRESU]]="*",Tabla_Presupuesto[[#This Row],[ROL_JEFE_CONT_PRSU_HOSPI]]="*"),"*","")</f>
        <v>*</v>
      </c>
    </row>
    <row r="100" spans="1:33" x14ac:dyDescent="0.5">
      <c r="A100" s="5">
        <f>MAX(Tabla_Contabilidad[Id])</f>
        <v>210</v>
      </c>
      <c r="B100" s="2">
        <v>307</v>
      </c>
      <c r="C100" s="5">
        <f>IF(Tabla_Presupuesto[[#This Row],[id_padre]]="",0,_xlfn.XLOOKUP(Tabla_Presupuesto[[#This Row],[id_padre]],Tabla_Presupuesto[Id],Tabla_Presupuesto[Nivel],0,0,1)+1)</f>
        <v>3</v>
      </c>
      <c r="D100" s="2" t="s">
        <v>284</v>
      </c>
      <c r="E100" s="2">
        <f>IF(Tabla_Presupuesto[[#This Row],[Id_anterior]]=1,ROW()-1,SUM(ROW()-1,Tabla_Presupuesto[[#This Row],[Id_anterior]]))</f>
        <v>309</v>
      </c>
      <c r="F10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PRESUPUESTO_INFORMES_EJECUCION_PRESUPUESTARIA_INGRESOS_GASTO_NIVEL_ENTIDAD</v>
      </c>
      <c r="G100" s="2" t="str">
        <f>CLEAN(PROPER(Tabla_Presupuesto[[#This Row],[Nombre Opción]]))</f>
        <v>Gasto Nivel Entidad</v>
      </c>
      <c r="H100" s="2" t="s">
        <v>1735</v>
      </c>
      <c r="I100" s="2" t="str">
        <f>_xlfn.XLOOKUP(Tabla_Presupuesto[[#This Row],[id_padre]],Tabla_Presupuesto[Id],Tabla_Presupuesto[Codigo_Tecnico],"",0,1)</f>
        <v>PRESUPUESTO_INFORMES_EJECUCION_PRESUPUESTARIA_INGRESOS</v>
      </c>
      <c r="J10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/presupuesto/informes/ejecucion-presupuestaria-ingresos/gasto-nivel-entidad</v>
      </c>
      <c r="K10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gasto-nivel-entidad</v>
      </c>
      <c r="L100" s="2" t="s">
        <v>1495</v>
      </c>
      <c r="M100" s="2" t="s">
        <v>1792</v>
      </c>
      <c r="N100" s="4"/>
      <c r="O100" s="4"/>
      <c r="P100" s="4" t="s">
        <v>360</v>
      </c>
      <c r="Q100" s="4" t="s">
        <v>360</v>
      </c>
      <c r="R100" s="4" t="s">
        <v>360</v>
      </c>
      <c r="S100" s="4" t="s">
        <v>360</v>
      </c>
      <c r="U100" s="4" t="s">
        <v>360</v>
      </c>
      <c r="X100" s="4" t="s">
        <v>360</v>
      </c>
      <c r="Y100" s="4" t="s">
        <v>360</v>
      </c>
      <c r="Z100" s="4" t="s">
        <v>360</v>
      </c>
      <c r="AA100" s="4" t="s">
        <v>360</v>
      </c>
      <c r="AB100" s="4" t="s">
        <v>360</v>
      </c>
      <c r="AD100" s="5"/>
      <c r="AE100" s="5"/>
      <c r="AF100" s="5" t="s">
        <v>360</v>
      </c>
      <c r="AG100" s="2" t="str">
        <f>IF(OR(Tabla_Presupuesto[[#This Row],[ROL_JEFE_CONT_PRESU]]="*",Tabla_Presupuesto[[#This Row],[ROL_JEFE_CONT_PRSU_HOSPI]]="*"),"*","")</f>
        <v>*</v>
      </c>
    </row>
    <row r="101" spans="1:33" x14ac:dyDescent="0.5">
      <c r="A101" s="5">
        <f>MAX(Tabla_Contabilidad[Id])</f>
        <v>210</v>
      </c>
      <c r="B101" s="2">
        <v>307</v>
      </c>
      <c r="C101" s="5">
        <f>IF(Tabla_Presupuesto[[#This Row],[id_padre]]="",0,_xlfn.XLOOKUP(Tabla_Presupuesto[[#This Row],[id_padre]],Tabla_Presupuesto[Id],Tabla_Presupuesto[Nivel],0,0,1)+1)</f>
        <v>3</v>
      </c>
      <c r="D101" s="2" t="s">
        <v>285</v>
      </c>
      <c r="E101" s="2">
        <f>IF(Tabla_Presupuesto[[#This Row],[Id_anterior]]=1,ROW()-1,SUM(ROW()-1,Tabla_Presupuesto[[#This Row],[Id_anterior]]))</f>
        <v>310</v>
      </c>
      <c r="F10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PRESUPUESTO_INFORMES_EJECUCION_PRESUPUESTARIA_INGRESOS_GASTO_NIVEL_UNIDAD</v>
      </c>
      <c r="G101" s="2" t="str">
        <f>CLEAN(PROPER(Tabla_Presupuesto[[#This Row],[Nombre Opción]]))</f>
        <v>Gasto Nivel Unidad</v>
      </c>
      <c r="H101" s="2" t="s">
        <v>1735</v>
      </c>
      <c r="I101" s="2" t="str">
        <f>_xlfn.XLOOKUP(Tabla_Presupuesto[[#This Row],[id_padre]],Tabla_Presupuesto[Id],Tabla_Presupuesto[Codigo_Tecnico],"",0,1)</f>
        <v>PRESUPUESTO_INFORMES_EJECUCION_PRESUPUESTARIA_INGRESOS</v>
      </c>
      <c r="J10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/presupuesto/informes/ejecucion-presupuestaria-ingresos/gasto-nivel-unidad</v>
      </c>
      <c r="K10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gasto-nivel-unidad</v>
      </c>
      <c r="L101" s="2" t="s">
        <v>1457</v>
      </c>
      <c r="M101" s="2" t="s">
        <v>1792</v>
      </c>
      <c r="N101" s="4"/>
      <c r="O101" s="4"/>
      <c r="P101" s="4" t="s">
        <v>360</v>
      </c>
      <c r="Q101" s="4" t="s">
        <v>360</v>
      </c>
      <c r="R101" s="4" t="s">
        <v>360</v>
      </c>
      <c r="S101" s="4" t="s">
        <v>360</v>
      </c>
      <c r="U101" s="4" t="s">
        <v>360</v>
      </c>
      <c r="X101" s="4" t="s">
        <v>360</v>
      </c>
      <c r="Y101" s="4" t="s">
        <v>360</v>
      </c>
      <c r="Z101" s="4" t="s">
        <v>360</v>
      </c>
      <c r="AA101" s="4" t="s">
        <v>360</v>
      </c>
      <c r="AB101" s="4" t="s">
        <v>360</v>
      </c>
      <c r="AC101" s="5"/>
      <c r="AD101" s="5"/>
      <c r="AE101" s="5"/>
      <c r="AF101" s="5" t="s">
        <v>360</v>
      </c>
      <c r="AG101" s="2" t="str">
        <f>IF(OR(Tabla_Presupuesto[[#This Row],[ROL_JEFE_CONT_PRESU]]="*",Tabla_Presupuesto[[#This Row],[ROL_JEFE_CONT_PRSU_HOSPI]]="*"),"*","")</f>
        <v>*</v>
      </c>
    </row>
    <row r="102" spans="1:33" x14ac:dyDescent="0.5">
      <c r="A102" s="5">
        <f>MAX(Tabla_Contabilidad[Id])</f>
        <v>210</v>
      </c>
      <c r="B102" s="2">
        <v>307</v>
      </c>
      <c r="C102" s="5">
        <f>IF(Tabla_Presupuesto[[#This Row],[id_padre]]="",0,_xlfn.XLOOKUP(Tabla_Presupuesto[[#This Row],[id_padre]],Tabla_Presupuesto[Id],Tabla_Presupuesto[Nivel],0,0,1)+1)</f>
        <v>3</v>
      </c>
      <c r="D102" s="2" t="s">
        <v>286</v>
      </c>
      <c r="E102" s="2">
        <f>IF(Tabla_Presupuesto[[#This Row],[Id_anterior]]=1,ROW()-1,SUM(ROW()-1,Tabla_Presupuesto[[#This Row],[Id_anterior]]))</f>
        <v>311</v>
      </c>
      <c r="F10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PRESUPUESTO_INFORMES_EJECUCION_PRESUPUESTARIA_INGRESOS_GASTO_MATRIZ_UNIDAD_INTERNA</v>
      </c>
      <c r="G102" s="2" t="str">
        <f>CLEAN(PROPER(Tabla_Presupuesto[[#This Row],[Nombre Opción]]))</f>
        <v>Gasto Matriz Unidad Interna</v>
      </c>
      <c r="H102" s="2" t="s">
        <v>1735</v>
      </c>
      <c r="I102" s="2" t="str">
        <f>_xlfn.XLOOKUP(Tabla_Presupuesto[[#This Row],[id_padre]],Tabla_Presupuesto[Id],Tabla_Presupuesto[Codigo_Tecnico],"",0,1)</f>
        <v>PRESUPUESTO_INFORMES_EJECUCION_PRESUPUESTARIA_INGRESOS</v>
      </c>
      <c r="J10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/presupuesto/informes/ejecucion-presupuestaria-ingresos/gasto-matriz-unidad-interna</v>
      </c>
      <c r="K10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gasto-matriz-unidad-interna</v>
      </c>
      <c r="L102" s="2" t="s">
        <v>1424</v>
      </c>
      <c r="M102" s="2" t="s">
        <v>1792</v>
      </c>
      <c r="N102" s="4"/>
      <c r="O102" s="4"/>
      <c r="P102" s="4" t="s">
        <v>360</v>
      </c>
      <c r="Q102" s="4" t="s">
        <v>360</v>
      </c>
      <c r="R102" s="4" t="s">
        <v>360</v>
      </c>
      <c r="S102" s="4" t="s">
        <v>360</v>
      </c>
      <c r="U102" s="4" t="s">
        <v>360</v>
      </c>
      <c r="X102" s="4" t="s">
        <v>360</v>
      </c>
      <c r="Y102" s="4" t="s">
        <v>360</v>
      </c>
      <c r="Z102" s="4" t="s">
        <v>360</v>
      </c>
      <c r="AA102" s="4" t="s">
        <v>360</v>
      </c>
      <c r="AB102" s="4" t="s">
        <v>360</v>
      </c>
      <c r="AC102" s="5"/>
      <c r="AD102" s="5"/>
      <c r="AE102" s="5"/>
      <c r="AF102" s="5" t="s">
        <v>360</v>
      </c>
      <c r="AG102" s="2" t="str">
        <f>IF(OR(Tabla_Presupuesto[[#This Row],[ROL_JEFE_CONT_PRESU]]="*",Tabla_Presupuesto[[#This Row],[ROL_JEFE_CONT_PRSU_HOSPI]]="*"),"*","")</f>
        <v>*</v>
      </c>
    </row>
    <row r="103" spans="1:33" x14ac:dyDescent="0.5">
      <c r="A103" s="5">
        <f>MAX(Tabla_Contabilidad[Id])</f>
        <v>210</v>
      </c>
      <c r="B103" s="2">
        <v>307</v>
      </c>
      <c r="C103" s="5">
        <f>IF(Tabla_Presupuesto[[#This Row],[id_padre]]="",0,_xlfn.XLOOKUP(Tabla_Presupuesto[[#This Row],[id_padre]],Tabla_Presupuesto[Id],Tabla_Presupuesto[Nivel],0,0,1)+1)</f>
        <v>3</v>
      </c>
      <c r="D103" s="2" t="s">
        <v>287</v>
      </c>
      <c r="E103" s="2">
        <f>IF(Tabla_Presupuesto[[#This Row],[Id_anterior]]=1,ROW()-1,SUM(ROW()-1,Tabla_Presupuesto[[#This Row],[Id_anterior]]))</f>
        <v>312</v>
      </c>
      <c r="F10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PRESUPUESTO_INFORMES_EJECUCION_PRESUPUESTARIA_INGRESOS_GASTO_UNIDADES_INTERNAS</v>
      </c>
      <c r="G103" s="2" t="str">
        <f>CLEAN(PROPER(Tabla_Presupuesto[[#This Row],[Nombre Opción]]))</f>
        <v>Gasto Unidades Internas</v>
      </c>
      <c r="H103" s="2" t="s">
        <v>1735</v>
      </c>
      <c r="I103" s="2" t="str">
        <f>_xlfn.XLOOKUP(Tabla_Presupuesto[[#This Row],[id_padre]],Tabla_Presupuesto[Id],Tabla_Presupuesto[Codigo_Tecnico],"",0,1)</f>
        <v>PRESUPUESTO_INFORMES_EJECUCION_PRESUPUESTARIA_INGRESOS</v>
      </c>
      <c r="J10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/presupuesto/informes/ejecucion-presupuestaria-ingresos/gasto-unidades-internas</v>
      </c>
      <c r="K10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gasto-unidades-internas</v>
      </c>
      <c r="L103" s="2" t="s">
        <v>1367</v>
      </c>
      <c r="M103" s="2" t="s">
        <v>1792</v>
      </c>
      <c r="N103" s="4"/>
      <c r="O103" s="4"/>
      <c r="P103" s="4" t="s">
        <v>360</v>
      </c>
      <c r="Q103" s="4" t="s">
        <v>360</v>
      </c>
      <c r="R103" s="4" t="s">
        <v>360</v>
      </c>
      <c r="S103" s="4" t="s">
        <v>360</v>
      </c>
      <c r="U103" s="4" t="s">
        <v>360</v>
      </c>
      <c r="X103" s="4" t="s">
        <v>360</v>
      </c>
      <c r="Y103" s="4" t="s">
        <v>360</v>
      </c>
      <c r="Z103" s="4" t="s">
        <v>360</v>
      </c>
      <c r="AA103" s="4" t="s">
        <v>360</v>
      </c>
      <c r="AB103" s="4" t="s">
        <v>360</v>
      </c>
      <c r="AC103" s="5"/>
      <c r="AD103" s="5"/>
      <c r="AE103" s="5"/>
      <c r="AF103" s="5" t="s">
        <v>360</v>
      </c>
      <c r="AG103" s="2" t="str">
        <f>IF(OR(Tabla_Presupuesto[[#This Row],[ROL_JEFE_CONT_PRESU]]="*",Tabla_Presupuesto[[#This Row],[ROL_JEFE_CONT_PRSU_HOSPI]]="*"),"*","")</f>
        <v>*</v>
      </c>
    </row>
    <row r="104" spans="1:33" x14ac:dyDescent="0.5">
      <c r="A104" s="5">
        <f>MAX(Tabla_Contabilidad[Id])</f>
        <v>210</v>
      </c>
      <c r="B104" s="2">
        <v>307</v>
      </c>
      <c r="C104" s="5">
        <f>IF(Tabla_Presupuesto[[#This Row],[id_padre]]="",0,_xlfn.XLOOKUP(Tabla_Presupuesto[[#This Row],[id_padre]],Tabla_Presupuesto[Id],Tabla_Presupuesto[Nivel],0,0,1)+1)</f>
        <v>3</v>
      </c>
      <c r="D104" s="2" t="s">
        <v>288</v>
      </c>
      <c r="E104" s="2">
        <f>IF(Tabla_Presupuesto[[#This Row],[Id_anterior]]=1,ROW()-1,SUM(ROW()-1,Tabla_Presupuesto[[#This Row],[Id_anterior]]))</f>
        <v>313</v>
      </c>
      <c r="F10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PRESUPUESTO_INFORMES_EJECUCION_PRESUPUESTARIA_INGRESOS_GASTO_NIVEL_ITEM</v>
      </c>
      <c r="G104" s="2" t="str">
        <f>CLEAN(PROPER(Tabla_Presupuesto[[#This Row],[Nombre Opción]]))</f>
        <v>Gasto Nivel Item</v>
      </c>
      <c r="H104" s="2" t="s">
        <v>1735</v>
      </c>
      <c r="I104" s="2" t="str">
        <f>_xlfn.XLOOKUP(Tabla_Presupuesto[[#This Row],[id_padre]],Tabla_Presupuesto[Id],Tabla_Presupuesto[Codigo_Tecnico],"",0,1)</f>
        <v>PRESUPUESTO_INFORMES_EJECUCION_PRESUPUESTARIA_INGRESOS</v>
      </c>
      <c r="J10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/presupuesto/informes/ejecucion-presupuestaria-ingresos/gasto-nivel-item</v>
      </c>
      <c r="K10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gasto-nivel-item</v>
      </c>
      <c r="L104" s="2" t="s">
        <v>1349</v>
      </c>
      <c r="M104" s="2" t="s">
        <v>1792</v>
      </c>
      <c r="N104" s="4"/>
      <c r="O104" s="4"/>
      <c r="P104" s="4" t="s">
        <v>360</v>
      </c>
      <c r="Q104" s="4" t="s">
        <v>360</v>
      </c>
      <c r="R104" s="4" t="s">
        <v>360</v>
      </c>
      <c r="S104" s="4" t="s">
        <v>360</v>
      </c>
      <c r="U104" s="4" t="s">
        <v>360</v>
      </c>
      <c r="X104" s="4" t="s">
        <v>360</v>
      </c>
      <c r="Y104" s="4" t="s">
        <v>360</v>
      </c>
      <c r="Z104" s="4" t="s">
        <v>360</v>
      </c>
      <c r="AA104" s="4" t="s">
        <v>360</v>
      </c>
      <c r="AB104" s="4" t="s">
        <v>360</v>
      </c>
      <c r="AC104" s="5"/>
      <c r="AD104" s="5"/>
      <c r="AE104" s="5"/>
      <c r="AF104" s="5" t="s">
        <v>360</v>
      </c>
      <c r="AG104" s="2" t="str">
        <f>IF(OR(Tabla_Presupuesto[[#This Row],[ROL_JEFE_CONT_PRESU]]="*",Tabla_Presupuesto[[#This Row],[ROL_JEFE_CONT_PRSU_HOSPI]]="*"),"*","")</f>
        <v>*</v>
      </c>
    </row>
    <row r="105" spans="1:33" x14ac:dyDescent="0.5">
      <c r="A105" s="5">
        <f>MAX(Tabla_Contabilidad[Id])</f>
        <v>210</v>
      </c>
      <c r="B105" s="2">
        <v>307</v>
      </c>
      <c r="C105" s="5">
        <f>IF(Tabla_Presupuesto[[#This Row],[id_padre]]="",0,_xlfn.XLOOKUP(Tabla_Presupuesto[[#This Row],[id_padre]],Tabla_Presupuesto[Id],Tabla_Presupuesto[Nivel],0,0,1)+1)</f>
        <v>3</v>
      </c>
      <c r="D105" s="2" t="s">
        <v>289</v>
      </c>
      <c r="E105" s="2">
        <f>IF(Tabla_Presupuesto[[#This Row],[Id_anterior]]=1,ROW()-1,SUM(ROW()-1,Tabla_Presupuesto[[#This Row],[Id_anterior]]))</f>
        <v>314</v>
      </c>
      <c r="F10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PRESUPUESTO_INFORMES_EJECUCION_PRESUPUESTARIA_INGRESOS_GASTO_CONSOLIDADO_UNIDAD_INTERNA</v>
      </c>
      <c r="G105" s="2" t="str">
        <f>CLEAN(PROPER(Tabla_Presupuesto[[#This Row],[Nombre Opción]]))</f>
        <v>Gasto Consolidado Unidad Interna</v>
      </c>
      <c r="H105" s="2" t="s">
        <v>1735</v>
      </c>
      <c r="I105" s="2" t="str">
        <f>_xlfn.XLOOKUP(Tabla_Presupuesto[[#This Row],[id_padre]],Tabla_Presupuesto[Id],Tabla_Presupuesto[Codigo_Tecnico],"",0,1)</f>
        <v>PRESUPUESTO_INFORMES_EJECUCION_PRESUPUESTARIA_INGRESOS</v>
      </c>
      <c r="J10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/presupuesto/informes/ejecucion-presupuestaria-ingresos/gasto-consolidado-unidad-interna</v>
      </c>
      <c r="K10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gasto-consolidado-unidad-interna</v>
      </c>
      <c r="L105" s="2" t="s">
        <v>1440</v>
      </c>
      <c r="M105" s="2" t="s">
        <v>1792</v>
      </c>
      <c r="N105" s="4"/>
      <c r="O105" s="4"/>
      <c r="P105" s="4" t="s">
        <v>360</v>
      </c>
      <c r="Q105" s="4" t="s">
        <v>360</v>
      </c>
      <c r="R105" s="4" t="s">
        <v>360</v>
      </c>
      <c r="S105" s="4" t="s">
        <v>360</v>
      </c>
      <c r="U105" s="4" t="s">
        <v>360</v>
      </c>
      <c r="X105" s="4" t="s">
        <v>360</v>
      </c>
      <c r="Y105" s="4" t="s">
        <v>360</v>
      </c>
      <c r="Z105" s="4" t="s">
        <v>360</v>
      </c>
      <c r="AA105" s="4" t="s">
        <v>360</v>
      </c>
      <c r="AB105" s="4" t="s">
        <v>360</v>
      </c>
      <c r="AC105" s="5"/>
      <c r="AD105" s="5"/>
      <c r="AE105" s="5"/>
      <c r="AF105" s="5" t="s">
        <v>360</v>
      </c>
      <c r="AG105" s="2" t="str">
        <f>IF(OR(Tabla_Presupuesto[[#This Row],[ROL_JEFE_CONT_PRESU]]="*",Tabla_Presupuesto[[#This Row],[ROL_JEFE_CONT_PRSU_HOSPI]]="*"),"*","")</f>
        <v>*</v>
      </c>
    </row>
    <row r="106" spans="1:33" x14ac:dyDescent="0.5">
      <c r="A106" s="5">
        <f>MAX(Tabla_Contabilidad[Id])</f>
        <v>210</v>
      </c>
      <c r="B106" s="2">
        <v>307</v>
      </c>
      <c r="C106" s="5">
        <f>IF(Tabla_Presupuesto[[#This Row],[id_padre]]="",0,_xlfn.XLOOKUP(Tabla_Presupuesto[[#This Row],[id_padre]],Tabla_Presupuesto[Id],Tabla_Presupuesto[Nivel],0,0,1)+1)</f>
        <v>3</v>
      </c>
      <c r="D106" s="2" t="s">
        <v>292</v>
      </c>
      <c r="E106" s="2">
        <f>IF(Tabla_Presupuesto[[#This Row],[Id_anterior]]=1,ROW()-1,SUM(ROW()-1,Tabla_Presupuesto[[#This Row],[Id_anterior]]))</f>
        <v>315</v>
      </c>
      <c r="F10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PRESUPUESTO_INFORMES_EJECUCION_PRESUPUESTARIA_INGRESOS_EJECUCION_PRESUPUESTARIA_HISTORICA_INGRESOS</v>
      </c>
      <c r="G106" s="2" t="str">
        <f>CLEAN(PROPER(Tabla_Presupuesto[[#This Row],[Nombre Opción]]))</f>
        <v>Ejecucion Presupuestaria Historica Ingresos</v>
      </c>
      <c r="H106" s="2" t="s">
        <v>1735</v>
      </c>
      <c r="I106" s="2" t="str">
        <f>_xlfn.XLOOKUP(Tabla_Presupuesto[[#This Row],[id_padre]],Tabla_Presupuesto[Id],Tabla_Presupuesto[Codigo_Tecnico],"",0,1)</f>
        <v>PRESUPUESTO_INFORMES_EJECUCION_PRESUPUESTARIA_INGRESOS</v>
      </c>
      <c r="J10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/presupuesto/informes/ejecucion-presupuestaria-ingresos/ejecucion-presupuestaria-historica-ingresos</v>
      </c>
      <c r="K10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ejecucion-presupuestaria-historica-ingresos</v>
      </c>
      <c r="L106" s="2" t="s">
        <v>1342</v>
      </c>
      <c r="M106" s="2" t="s">
        <v>1792</v>
      </c>
      <c r="N106" s="4"/>
      <c r="O106" s="4"/>
      <c r="P106" s="4" t="s">
        <v>360</v>
      </c>
      <c r="Q106" s="4" t="s">
        <v>360</v>
      </c>
      <c r="R106" s="4" t="s">
        <v>360</v>
      </c>
      <c r="S106" s="4" t="s">
        <v>360</v>
      </c>
      <c r="U106" s="4" t="s">
        <v>360</v>
      </c>
      <c r="X106" s="4" t="s">
        <v>360</v>
      </c>
      <c r="Y106" s="4" t="s">
        <v>360</v>
      </c>
      <c r="Z106" s="4" t="s">
        <v>360</v>
      </c>
      <c r="AA106" s="4" t="s">
        <v>360</v>
      </c>
      <c r="AB106" s="4" t="s">
        <v>360</v>
      </c>
      <c r="AC106" s="5"/>
      <c r="AD106" s="5"/>
      <c r="AE106" s="5"/>
      <c r="AF106" s="5" t="s">
        <v>360</v>
      </c>
      <c r="AG106" s="2" t="str">
        <f>IF(OR(Tabla_Presupuesto[[#This Row],[ROL_JEFE_CONT_PRESU]]="*",Tabla_Presupuesto[[#This Row],[ROL_JEFE_CONT_PRSU_HOSPI]]="*"),"*","")</f>
        <v>*</v>
      </c>
    </row>
    <row r="107" spans="1:33" x14ac:dyDescent="0.5">
      <c r="A107" s="5">
        <f>MAX(Tabla_Contabilidad[Id])</f>
        <v>210</v>
      </c>
      <c r="B107" s="2">
        <v>307</v>
      </c>
      <c r="C107" s="5">
        <f>IF(Tabla_Presupuesto[[#This Row],[id_padre]]="",0,_xlfn.XLOOKUP(Tabla_Presupuesto[[#This Row],[id_padre]],Tabla_Presupuesto[Id],Tabla_Presupuesto[Nivel],0,0,1)+1)</f>
        <v>3</v>
      </c>
      <c r="D107" s="2" t="s">
        <v>291</v>
      </c>
      <c r="E107" s="2">
        <f>IF(Tabla_Presupuesto[[#This Row],[Id_anterior]]=1,ROW()-1,SUM(ROW()-1,Tabla_Presupuesto[[#This Row],[Id_anterior]]))</f>
        <v>316</v>
      </c>
      <c r="F10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PRESUPUESTO_INFORMES_EJECUCION_PRESUPUESTARIA_INGRESOS_GASTO_UNIDAD_INTERNA</v>
      </c>
      <c r="G107" s="2" t="str">
        <f>CLEAN(PROPER(Tabla_Presupuesto[[#This Row],[Nombre Opción]]))</f>
        <v>Gasto Unidad Interna</v>
      </c>
      <c r="H107" s="2" t="s">
        <v>1735</v>
      </c>
      <c r="I107" s="2" t="str">
        <f>_xlfn.XLOOKUP(Tabla_Presupuesto[[#This Row],[id_padre]],Tabla_Presupuesto[Id],Tabla_Presupuesto[Codigo_Tecnico],"",0,1)</f>
        <v>PRESUPUESTO_INFORMES_EJECUCION_PRESUPUESTARIA_INGRESOS</v>
      </c>
      <c r="J10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/presupuesto/informes/ejecucion-presupuestaria-ingresos/gasto-unidad-interna</v>
      </c>
      <c r="K10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gasto-unidad-interna</v>
      </c>
      <c r="L107" s="2" t="s">
        <v>1467</v>
      </c>
      <c r="M107" s="2" t="s">
        <v>1792</v>
      </c>
      <c r="N107" s="4"/>
      <c r="O107" s="4"/>
      <c r="P107" s="4" t="s">
        <v>360</v>
      </c>
      <c r="Q107" s="4" t="s">
        <v>360</v>
      </c>
      <c r="R107" s="4" t="s">
        <v>360</v>
      </c>
      <c r="S107" s="4" t="s">
        <v>360</v>
      </c>
      <c r="U107" s="4" t="s">
        <v>360</v>
      </c>
      <c r="X107" s="4" t="s">
        <v>360</v>
      </c>
      <c r="Y107" s="4" t="s">
        <v>360</v>
      </c>
      <c r="Z107" s="4" t="s">
        <v>360</v>
      </c>
      <c r="AA107" s="4" t="s">
        <v>360</v>
      </c>
      <c r="AB107" s="4" t="s">
        <v>360</v>
      </c>
      <c r="AC107" s="5"/>
      <c r="AD107" s="5"/>
      <c r="AE107" s="5"/>
      <c r="AF107" s="5" t="s">
        <v>360</v>
      </c>
      <c r="AG107" s="2" t="str">
        <f>IF(OR(Tabla_Presupuesto[[#This Row],[ROL_JEFE_CONT_PRESU]]="*",Tabla_Presupuesto[[#This Row],[ROL_JEFE_CONT_PRSU_HOSPI]]="*"),"*","")</f>
        <v>*</v>
      </c>
    </row>
    <row r="108" spans="1:33" x14ac:dyDescent="0.5">
      <c r="A108" s="5">
        <f>MAX(Tabla_Contabilidad[Id])</f>
        <v>210</v>
      </c>
      <c r="B108" s="2">
        <v>307</v>
      </c>
      <c r="C108" s="5">
        <f>IF(Tabla_Presupuesto[[#This Row],[id_padre]]="",0,_xlfn.XLOOKUP(Tabla_Presupuesto[[#This Row],[id_padre]],Tabla_Presupuesto[Id],Tabla_Presupuesto[Nivel],0,0,1)+1)</f>
        <v>3</v>
      </c>
      <c r="D108" s="2" t="s">
        <v>293</v>
      </c>
      <c r="E108" s="2">
        <f>IF(Tabla_Presupuesto[[#This Row],[Id_anterior]]=1,ROW()-1,SUM(ROW()-1,Tabla_Presupuesto[[#This Row],[Id_anterior]]))</f>
        <v>317</v>
      </c>
      <c r="F10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PRESUPUESTO_INFORMES_EJECUCION_PRESUPUESTARIA_INGRESOS_EJECUCION_PRESUPUESTARIA_POR_PROGRAMA_INGRESOS</v>
      </c>
      <c r="G108" s="2" t="str">
        <f>CLEAN(PROPER(Tabla_Presupuesto[[#This Row],[Nombre Opción]]))</f>
        <v>Ejecucion Presupuestaria Por Programa Ingresos</v>
      </c>
      <c r="H108" s="2" t="s">
        <v>1735</v>
      </c>
      <c r="I108" s="2" t="str">
        <f>_xlfn.XLOOKUP(Tabla_Presupuesto[[#This Row],[id_padre]],Tabla_Presupuesto[Id],Tabla_Presupuesto[Codigo_Tecnico],"",0,1)</f>
        <v>PRESUPUESTO_INFORMES_EJECUCION_PRESUPUESTARIA_INGRESOS</v>
      </c>
      <c r="J10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/presupuesto/informes/ejecucion-presupuestaria-ingresos/ejecucion-presupuestaria-por-programa-ingresos</v>
      </c>
      <c r="K10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ejecucion-presupuestaria-por-programa-ingresos</v>
      </c>
      <c r="L108" s="2" t="s">
        <v>1354</v>
      </c>
      <c r="M108" s="2" t="s">
        <v>1792</v>
      </c>
      <c r="N108" s="4"/>
      <c r="O108" s="4"/>
      <c r="P108" s="4" t="s">
        <v>360</v>
      </c>
      <c r="Q108" s="4" t="s">
        <v>360</v>
      </c>
      <c r="R108" s="4" t="s">
        <v>360</v>
      </c>
      <c r="S108" s="4" t="s">
        <v>360</v>
      </c>
      <c r="U108" s="4" t="s">
        <v>360</v>
      </c>
      <c r="X108" s="4" t="s">
        <v>360</v>
      </c>
      <c r="Y108" s="4" t="s">
        <v>360</v>
      </c>
      <c r="Z108" s="4" t="s">
        <v>360</v>
      </c>
      <c r="AA108" s="4" t="s">
        <v>360</v>
      </c>
      <c r="AB108" s="4" t="s">
        <v>360</v>
      </c>
      <c r="AC108" s="5"/>
      <c r="AD108" s="5"/>
      <c r="AE108" s="5"/>
      <c r="AF108" s="5" t="s">
        <v>360</v>
      </c>
      <c r="AG108" s="2" t="str">
        <f>IF(OR(Tabla_Presupuesto[[#This Row],[ROL_JEFE_CONT_PRESU]]="*",Tabla_Presupuesto[[#This Row],[ROL_JEFE_CONT_PRSU_HOSPI]]="*"),"*","")</f>
        <v>*</v>
      </c>
    </row>
    <row r="109" spans="1:33" x14ac:dyDescent="0.5">
      <c r="A109" s="5">
        <f>MAX(Tabla_Contabilidad[Id])</f>
        <v>210</v>
      </c>
      <c r="B109" s="2">
        <v>307</v>
      </c>
      <c r="C109" s="5">
        <f>IF(Tabla_Presupuesto[[#This Row],[id_padre]]="",0,_xlfn.XLOOKUP(Tabla_Presupuesto[[#This Row],[id_padre]],Tabla_Presupuesto[Id],Tabla_Presupuesto[Nivel],0,0,1)+1)</f>
        <v>3</v>
      </c>
      <c r="D109" s="2" t="s">
        <v>290</v>
      </c>
      <c r="E109" s="2">
        <f>IF(Tabla_Presupuesto[[#This Row],[Id_anterior]]=1,ROW()-1,SUM(ROW()-1,Tabla_Presupuesto[[#This Row],[Id_anterior]]))</f>
        <v>318</v>
      </c>
      <c r="F10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PRESUPUESTO_INFORMES_EJECUCION_PRESUPUESTARIA_INGRESOS_GASTOS</v>
      </c>
      <c r="G109" s="2" t="str">
        <f>CLEAN(PROPER(Tabla_Presupuesto[[#This Row],[Nombre Opción]]))</f>
        <v>Gastos</v>
      </c>
      <c r="H109" s="2" t="s">
        <v>1735</v>
      </c>
      <c r="I109" s="2" t="str">
        <f>_xlfn.XLOOKUP(Tabla_Presupuesto[[#This Row],[id_padre]],Tabla_Presupuesto[Id],Tabla_Presupuesto[Codigo_Tecnico],"",0,1)</f>
        <v>PRESUPUESTO_INFORMES_EJECUCION_PRESUPUESTARIA_INGRESOS</v>
      </c>
      <c r="J10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/presupuesto/informes/ejecucion-presupuestaria-ingresos/gastos</v>
      </c>
      <c r="K10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gastos</v>
      </c>
      <c r="L109" s="2" t="s">
        <v>1338</v>
      </c>
      <c r="M109" s="2" t="s">
        <v>1792</v>
      </c>
      <c r="N109" s="4"/>
      <c r="O109" s="4"/>
      <c r="P109" s="4" t="s">
        <v>360</v>
      </c>
      <c r="Q109" s="4" t="s">
        <v>360</v>
      </c>
      <c r="R109" s="4" t="s">
        <v>360</v>
      </c>
      <c r="S109" s="4" t="s">
        <v>360</v>
      </c>
      <c r="U109" s="4" t="s">
        <v>360</v>
      </c>
      <c r="X109" s="4" t="s">
        <v>360</v>
      </c>
      <c r="Y109" s="4" t="s">
        <v>360</v>
      </c>
      <c r="Z109" s="4" t="s">
        <v>360</v>
      </c>
      <c r="AA109" s="4" t="s">
        <v>360</v>
      </c>
      <c r="AB109" s="4" t="s">
        <v>360</v>
      </c>
      <c r="AC109" s="5"/>
      <c r="AD109" s="5"/>
      <c r="AE109" s="5"/>
      <c r="AF109" s="5" t="s">
        <v>360</v>
      </c>
      <c r="AG109" s="2" t="str">
        <f>IF(OR(Tabla_Presupuesto[[#This Row],[ROL_JEFE_CONT_PRESU]]="*",Tabla_Presupuesto[[#This Row],[ROL_JEFE_CONT_PRSU_HOSPI]]="*"),"*","")</f>
        <v>*</v>
      </c>
    </row>
    <row r="110" spans="1:33" x14ac:dyDescent="0.5">
      <c r="A110" s="5">
        <f>MAX(Tabla_Contabilidad[Id])</f>
        <v>210</v>
      </c>
      <c r="B110" s="2">
        <v>215</v>
      </c>
      <c r="C110" s="5">
        <f>IF(Tabla_Presupuesto[[#This Row],[id_padre]]="",0,_xlfn.XLOOKUP(Tabla_Presupuesto[[#This Row],[id_padre]],Tabla_Presupuesto[Id],Tabla_Presupuesto[Nivel],0,0,1)+1)</f>
        <v>2</v>
      </c>
      <c r="D110" s="2" t="s">
        <v>294</v>
      </c>
      <c r="E110" s="2">
        <f>IF(Tabla_Presupuesto[[#This Row],[Id_anterior]]=1,ROW()-1,SUM(ROW()-1,Tabla_Presupuesto[[#This Row],[Id_anterior]]))</f>
        <v>319</v>
      </c>
      <c r="F11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PRESUPUESTO_INFORMES_EJECUCION_PRESUPUESTARIA_PLURIANUAL</v>
      </c>
      <c r="G110" s="2" t="str">
        <f>CLEAN(PROPER(Tabla_Presupuesto[[#This Row],[Nombre Opción]]))</f>
        <v>Ejecucion Presupuestaria Plurianual</v>
      </c>
      <c r="H110" s="2" t="s">
        <v>1735</v>
      </c>
      <c r="I110" s="2" t="str">
        <f>_xlfn.XLOOKUP(Tabla_Presupuesto[[#This Row],[id_padre]],Tabla_Presupuesto[Id],Tabla_Presupuesto[Codigo_Tecnico],"",0,1)</f>
        <v>PRESUPUESTO_INFORMES</v>
      </c>
      <c r="J11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/presupuesto/informes/ejecucion-presupuestaria-plurianual</v>
      </c>
      <c r="K11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ejecucion-presupuestaria-plurianual</v>
      </c>
      <c r="L110" s="2" t="s">
        <v>1434</v>
      </c>
      <c r="M110" s="2" t="s">
        <v>1792</v>
      </c>
      <c r="N110" s="4" t="s">
        <v>360</v>
      </c>
      <c r="O110" s="4" t="s">
        <v>360</v>
      </c>
      <c r="P110" s="4" t="s">
        <v>360</v>
      </c>
      <c r="Q110" s="4" t="s">
        <v>360</v>
      </c>
      <c r="R110" s="4" t="s">
        <v>360</v>
      </c>
      <c r="S110" s="4" t="s">
        <v>360</v>
      </c>
      <c r="T110" s="4" t="s">
        <v>360</v>
      </c>
      <c r="U110" s="4" t="s">
        <v>360</v>
      </c>
      <c r="V110" s="4" t="s">
        <v>360</v>
      </c>
      <c r="W110" s="4" t="s">
        <v>360</v>
      </c>
      <c r="X110" s="4" t="s">
        <v>360</v>
      </c>
      <c r="Y110" s="4" t="s">
        <v>360</v>
      </c>
      <c r="Z110" s="4" t="s">
        <v>360</v>
      </c>
      <c r="AA110" s="4" t="s">
        <v>360</v>
      </c>
      <c r="AB110" s="4" t="s">
        <v>360</v>
      </c>
      <c r="AC110" s="4" t="s">
        <v>360</v>
      </c>
      <c r="AE110" s="5"/>
      <c r="AF110" s="5" t="s">
        <v>360</v>
      </c>
      <c r="AG110" s="2" t="str">
        <f>IF(OR(Tabla_Presupuesto[[#This Row],[ROL_JEFE_CONT_PRESU]]="*",Tabla_Presupuesto[[#This Row],[ROL_JEFE_CONT_PRSU_HOSPI]]="*"),"*","")</f>
        <v>*</v>
      </c>
    </row>
    <row r="111" spans="1:33" x14ac:dyDescent="0.5">
      <c r="A111" s="5">
        <f>MAX(Tabla_Contabilidad[Id])</f>
        <v>210</v>
      </c>
      <c r="B111" s="2">
        <v>319</v>
      </c>
      <c r="C111" s="5">
        <f>IF(Tabla_Presupuesto[[#This Row],[id_padre]]="",0,_xlfn.XLOOKUP(Tabla_Presupuesto[[#This Row],[id_padre]],Tabla_Presupuesto[Id],Tabla_Presupuesto[Nivel],0,0,1)+1)</f>
        <v>3</v>
      </c>
      <c r="D111" s="2" t="s">
        <v>295</v>
      </c>
      <c r="E111" s="2">
        <f>IF(Tabla_Presupuesto[[#This Row],[Id_anterior]]=1,ROW()-1,SUM(ROW()-1,Tabla_Presupuesto[[#This Row],[Id_anterior]]))</f>
        <v>320</v>
      </c>
      <c r="F11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PRESUPUESTO_INFORMES_EJECUCION_PRESUPUESTARIA_PLURIANUAL_EJECUCION_PPTARIA_PLURIANUAL_POR_ENTIDAD</v>
      </c>
      <c r="G111" s="2" t="str">
        <f>CLEAN(PROPER(Tabla_Presupuesto[[#This Row],[Nombre Opción]]))</f>
        <v>Ejecucion Pptaria Plurianual Por Entidad</v>
      </c>
      <c r="H111" s="2" t="s">
        <v>1735</v>
      </c>
      <c r="I111" s="2" t="str">
        <f>_xlfn.XLOOKUP(Tabla_Presupuesto[[#This Row],[id_padre]],Tabla_Presupuesto[Id],Tabla_Presupuesto[Codigo_Tecnico],"",0,1)</f>
        <v>PRESUPUESTO_INFORMES_EJECUCION_PRESUPUESTARIA_PLURIANUAL</v>
      </c>
      <c r="J11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/presupuesto/informes/ejecucion-presupuestaria-plurianual/ejecucion-pptaria-plurianual-por-entidad</v>
      </c>
      <c r="K11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ejecucion-pptaria-plurianual-por-entidad</v>
      </c>
      <c r="L111" s="2" t="s">
        <v>1496</v>
      </c>
      <c r="M111" s="2" t="s">
        <v>1792</v>
      </c>
      <c r="N111" s="4" t="s">
        <v>360</v>
      </c>
      <c r="O111" s="4" t="s">
        <v>360</v>
      </c>
      <c r="P111" s="4" t="s">
        <v>360</v>
      </c>
      <c r="Q111" s="4" t="s">
        <v>360</v>
      </c>
      <c r="R111" s="4" t="s">
        <v>360</v>
      </c>
      <c r="S111" s="4" t="s">
        <v>360</v>
      </c>
      <c r="T111" s="4" t="s">
        <v>360</v>
      </c>
      <c r="U111" s="4" t="s">
        <v>360</v>
      </c>
      <c r="V111" s="4" t="s">
        <v>360</v>
      </c>
      <c r="W111" s="4" t="s">
        <v>360</v>
      </c>
      <c r="X111" s="4" t="s">
        <v>360</v>
      </c>
      <c r="Y111" s="4" t="s">
        <v>360</v>
      </c>
      <c r="Z111" s="4" t="s">
        <v>360</v>
      </c>
      <c r="AA111" s="4" t="s">
        <v>360</v>
      </c>
      <c r="AB111" s="4" t="s">
        <v>360</v>
      </c>
      <c r="AC111" s="4" t="s">
        <v>360</v>
      </c>
      <c r="AD111" s="5"/>
      <c r="AE111" s="5"/>
      <c r="AF111" s="5" t="s">
        <v>360</v>
      </c>
      <c r="AG111" s="2" t="str">
        <f>IF(OR(Tabla_Presupuesto[[#This Row],[ROL_JEFE_CONT_PRESU]]="*",Tabla_Presupuesto[[#This Row],[ROL_JEFE_CONT_PRSU_HOSPI]]="*"),"*","")</f>
        <v>*</v>
      </c>
    </row>
    <row r="112" spans="1:33" x14ac:dyDescent="0.5">
      <c r="A112" s="5">
        <f>MAX(Tabla_Contabilidad[Id])</f>
        <v>210</v>
      </c>
      <c r="B112" s="2">
        <v>319</v>
      </c>
      <c r="C112" s="5">
        <f>IF(Tabla_Presupuesto[[#This Row],[id_padre]]="",0,_xlfn.XLOOKUP(Tabla_Presupuesto[[#This Row],[id_padre]],Tabla_Presupuesto[Id],Tabla_Presupuesto[Nivel],0,0,1)+1)</f>
        <v>3</v>
      </c>
      <c r="D112" s="2" t="s">
        <v>296</v>
      </c>
      <c r="E112" s="2">
        <f>IF(Tabla_Presupuesto[[#This Row],[Id_anterior]]=1,ROW()-1,SUM(ROW()-1,Tabla_Presupuesto[[#This Row],[Id_anterior]]))</f>
        <v>321</v>
      </c>
      <c r="F11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PRESUPUESTO_INFORMES_EJECUCION_PRESUPUESTARIA_PLURIANUAL_EJECUCION_PPTARIA_GASTO_PLURIANUAL_POR_UNIDAD</v>
      </c>
      <c r="G112" s="2" t="str">
        <f>CLEAN(PROPER(Tabla_Presupuesto[[#This Row],[Nombre Opción]]))</f>
        <v>Ejecucion Pptaria Del Gasto Plurianual Por Unidad</v>
      </c>
      <c r="H112" s="2" t="s">
        <v>1735</v>
      </c>
      <c r="I112" s="2" t="str">
        <f>_xlfn.XLOOKUP(Tabla_Presupuesto[[#This Row],[id_padre]],Tabla_Presupuesto[Id],Tabla_Presupuesto[Codigo_Tecnico],"",0,1)</f>
        <v>PRESUPUESTO_INFORMES_EJECUCION_PRESUPUESTARIA_PLURIANUAL</v>
      </c>
      <c r="J11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/presupuesto/informes/ejecucion-presupuestaria-plurianual/ejecucion-pptaria-gasto-plurianual-por-unidad</v>
      </c>
      <c r="K11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ejecucion-pptaria-gasto-plurianual-por-unidad</v>
      </c>
      <c r="L112" s="2" t="s">
        <v>1367</v>
      </c>
      <c r="M112" s="2" t="s">
        <v>1792</v>
      </c>
      <c r="N112" s="4" t="s">
        <v>360</v>
      </c>
      <c r="O112" s="4" t="s">
        <v>360</v>
      </c>
      <c r="P112" s="4" t="s">
        <v>360</v>
      </c>
      <c r="Q112" s="4" t="s">
        <v>360</v>
      </c>
      <c r="R112" s="4" t="s">
        <v>360</v>
      </c>
      <c r="S112" s="4" t="s">
        <v>360</v>
      </c>
      <c r="T112" s="4" t="s">
        <v>360</v>
      </c>
      <c r="U112" s="4" t="s">
        <v>360</v>
      </c>
      <c r="V112" s="4" t="s">
        <v>360</v>
      </c>
      <c r="W112" s="4" t="s">
        <v>360</v>
      </c>
      <c r="X112" s="4" t="s">
        <v>360</v>
      </c>
      <c r="Y112" s="4" t="s">
        <v>360</v>
      </c>
      <c r="Z112" s="4" t="s">
        <v>360</v>
      </c>
      <c r="AA112" s="4" t="s">
        <v>360</v>
      </c>
      <c r="AB112" s="4" t="s">
        <v>360</v>
      </c>
      <c r="AC112" s="4" t="s">
        <v>360</v>
      </c>
      <c r="AD112" s="5"/>
      <c r="AE112" s="5"/>
      <c r="AF112" s="5" t="s">
        <v>360</v>
      </c>
      <c r="AG112" s="2" t="str">
        <f>IF(OR(Tabla_Presupuesto[[#This Row],[ROL_JEFE_CONT_PRESU]]="*",Tabla_Presupuesto[[#This Row],[ROL_JEFE_CONT_PRSU_HOSPI]]="*"),"*","")</f>
        <v>*</v>
      </c>
    </row>
    <row r="113" spans="1:33" x14ac:dyDescent="0.5">
      <c r="A113" s="5">
        <f>MAX(Tabla_Contabilidad[Id])</f>
        <v>210</v>
      </c>
      <c r="B113" s="2">
        <v>319</v>
      </c>
      <c r="C113" s="5">
        <f>IF(Tabla_Presupuesto[[#This Row],[id_padre]]="",0,_xlfn.XLOOKUP(Tabla_Presupuesto[[#This Row],[id_padre]],Tabla_Presupuesto[Id],Tabla_Presupuesto[Nivel],0,0,1)+1)</f>
        <v>3</v>
      </c>
      <c r="D113" s="2" t="s">
        <v>297</v>
      </c>
      <c r="E113" s="2">
        <f>IF(Tabla_Presupuesto[[#This Row],[Id_anterior]]=1,ROW()-1,SUM(ROW()-1,Tabla_Presupuesto[[#This Row],[Id_anterior]]))</f>
        <v>322</v>
      </c>
      <c r="F11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PRESUPUESTO_INFORMES_EJECUCION_PRESUPUESTARIA_PLURIANUAL_EJECUCION_PPTARIA_GASTO_PLURIANUAL_POR_UNIDAD_INTERNA</v>
      </c>
      <c r="G113" s="2" t="str">
        <f>CLEAN(PROPER(Tabla_Presupuesto[[#This Row],[Nombre Opción]]))</f>
        <v>Ejecucion Pptaria Del Gasto Plurianual Por Unidad Interna</v>
      </c>
      <c r="H113" s="2" t="s">
        <v>1735</v>
      </c>
      <c r="I113" s="2" t="str">
        <f>_xlfn.XLOOKUP(Tabla_Presupuesto[[#This Row],[id_padre]],Tabla_Presupuesto[Id],Tabla_Presupuesto[Codigo_Tecnico],"",0,1)</f>
        <v>PRESUPUESTO_INFORMES_EJECUCION_PRESUPUESTARIA_PLURIANUAL</v>
      </c>
      <c r="J11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/presupuesto/informes/ejecucion-presupuestaria-plurianual/ejecucion-pptaria-gasto-plurianual-por-unidad-interna</v>
      </c>
      <c r="K11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ejecucion-pptaria-gasto-plurianual-por-unidad-interna</v>
      </c>
      <c r="L113" s="2" t="s">
        <v>1341</v>
      </c>
      <c r="M113" s="2" t="s">
        <v>1792</v>
      </c>
      <c r="N113" s="4" t="s">
        <v>360</v>
      </c>
      <c r="O113" s="4" t="s">
        <v>360</v>
      </c>
      <c r="P113" s="4" t="s">
        <v>360</v>
      </c>
      <c r="Q113" s="4" t="s">
        <v>360</v>
      </c>
      <c r="R113" s="4" t="s">
        <v>360</v>
      </c>
      <c r="S113" s="4" t="s">
        <v>360</v>
      </c>
      <c r="T113" s="4" t="s">
        <v>360</v>
      </c>
      <c r="U113" s="4" t="s">
        <v>360</v>
      </c>
      <c r="V113" s="4" t="s">
        <v>360</v>
      </c>
      <c r="W113" s="4" t="s">
        <v>360</v>
      </c>
      <c r="X113" s="4" t="s">
        <v>360</v>
      </c>
      <c r="Y113" s="4" t="s">
        <v>360</v>
      </c>
      <c r="Z113" s="4" t="s">
        <v>360</v>
      </c>
      <c r="AA113" s="4" t="s">
        <v>360</v>
      </c>
      <c r="AB113" s="4" t="s">
        <v>360</v>
      </c>
      <c r="AC113" s="4" t="s">
        <v>360</v>
      </c>
      <c r="AD113" s="5"/>
      <c r="AE113" s="5"/>
      <c r="AF113" s="5" t="s">
        <v>360</v>
      </c>
      <c r="AG113" s="2" t="str">
        <f>IF(OR(Tabla_Presupuesto[[#This Row],[ROL_JEFE_CONT_PRESU]]="*",Tabla_Presupuesto[[#This Row],[ROL_JEFE_CONT_PRSU_HOSPI]]="*"),"*","")</f>
        <v>*</v>
      </c>
    </row>
    <row r="114" spans="1:33" x14ac:dyDescent="0.5">
      <c r="A114" s="5">
        <f>MAX(Tabla_Contabilidad[Id])</f>
        <v>210</v>
      </c>
      <c r="B114" s="2">
        <v>319</v>
      </c>
      <c r="C114" s="5">
        <f>IF(Tabla_Presupuesto[[#This Row],[id_padre]]="",0,_xlfn.XLOOKUP(Tabla_Presupuesto[[#This Row],[id_padre]],Tabla_Presupuesto[Id],Tabla_Presupuesto[Nivel],0,0,1)+1)</f>
        <v>3</v>
      </c>
      <c r="D114" s="2" t="s">
        <v>298</v>
      </c>
      <c r="E114" s="2">
        <f>IF(Tabla_Presupuesto[[#This Row],[Id_anterior]]=1,ROW()-1,SUM(ROW()-1,Tabla_Presupuesto[[#This Row],[Id_anterior]]))</f>
        <v>323</v>
      </c>
      <c r="F11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PRESUPUESTO_INFORMES_EJECUCION_PRESUPUESTARIA_PLURIANUAL_EJECUCION_PPTARIA_GASTO_PLURIANUAL_POR_PROGRAMA</v>
      </c>
      <c r="G114" s="2" t="str">
        <f>CLEAN(PROPER(Tabla_Presupuesto[[#This Row],[Nombre Opción]]))</f>
        <v>Ejecucion Pptaria Del Gasto Plurianual Por Programa</v>
      </c>
      <c r="H114" s="2" t="s">
        <v>1735</v>
      </c>
      <c r="I114" s="2" t="str">
        <f>_xlfn.XLOOKUP(Tabla_Presupuesto[[#This Row],[id_padre]],Tabla_Presupuesto[Id],Tabla_Presupuesto[Codigo_Tecnico],"",0,1)</f>
        <v>PRESUPUESTO_INFORMES_EJECUCION_PRESUPUESTARIA_PLURIANUAL</v>
      </c>
      <c r="J11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/presupuesto/informes/ejecucion-presupuestaria-plurianual/ejecucion-pptaria-gasto-plurianual-por-programa</v>
      </c>
      <c r="K11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ejecucion-pptaria-gasto-plurianual-por-programa</v>
      </c>
      <c r="L114" s="2" t="s">
        <v>1497</v>
      </c>
      <c r="M114" s="2" t="s">
        <v>1792</v>
      </c>
      <c r="N114" s="4" t="s">
        <v>360</v>
      </c>
      <c r="O114" s="4" t="s">
        <v>360</v>
      </c>
      <c r="P114" s="4" t="s">
        <v>360</v>
      </c>
      <c r="Q114" s="4" t="s">
        <v>360</v>
      </c>
      <c r="R114" s="4" t="s">
        <v>360</v>
      </c>
      <c r="S114" s="4" t="s">
        <v>360</v>
      </c>
      <c r="T114" s="4" t="s">
        <v>360</v>
      </c>
      <c r="U114" s="4" t="s">
        <v>360</v>
      </c>
      <c r="V114" s="4" t="s">
        <v>360</v>
      </c>
      <c r="W114" s="4" t="s">
        <v>360</v>
      </c>
      <c r="X114" s="4" t="s">
        <v>360</v>
      </c>
      <c r="Y114" s="4" t="s">
        <v>360</v>
      </c>
      <c r="Z114" s="4" t="s">
        <v>360</v>
      </c>
      <c r="AA114" s="4" t="s">
        <v>360</v>
      </c>
      <c r="AB114" s="4" t="s">
        <v>360</v>
      </c>
      <c r="AC114" s="4" t="s">
        <v>360</v>
      </c>
      <c r="AD114" s="5"/>
      <c r="AE114" s="5"/>
      <c r="AF114" s="5" t="s">
        <v>360</v>
      </c>
      <c r="AG114" s="2" t="str">
        <f>IF(OR(Tabla_Presupuesto[[#This Row],[ROL_JEFE_CONT_PRESU]]="*",Tabla_Presupuesto[[#This Row],[ROL_JEFE_CONT_PRSU_HOSPI]]="*"),"*","")</f>
        <v>*</v>
      </c>
    </row>
    <row r="115" spans="1:33" hidden="1" x14ac:dyDescent="0.5">
      <c r="A115" s="5">
        <f>MAX(Tabla_Contabilidad[Id])</f>
        <v>210</v>
      </c>
      <c r="B115" s="2">
        <v>215</v>
      </c>
      <c r="C115" s="5">
        <f>IF(Tabla_Presupuesto[[#This Row],[id_padre]]="",0,_xlfn.XLOOKUP(Tabla_Presupuesto[[#This Row],[id_padre]],Tabla_Presupuesto[Id],Tabla_Presupuesto[Nivel],0,0,1)+1)</f>
        <v>2</v>
      </c>
      <c r="D115" s="2" t="s">
        <v>299</v>
      </c>
      <c r="E115" s="2">
        <f>IF(Tabla_Presupuesto[[#This Row],[Id_anterior]]=1,ROW()-1,SUM(ROW()-1,Tabla_Presupuesto[[#This Row],[Id_anterior]]))</f>
        <v>324</v>
      </c>
      <c r="F11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PRESUPUESTO_INFORMES_CONSOLIDADORES_PROGRAMAS</v>
      </c>
      <c r="G115" s="2" t="str">
        <f>CLEAN(PROPER(Tabla_Presupuesto[[#This Row],[Nombre Opción]]))</f>
        <v>Consolidadores De Programas</v>
      </c>
      <c r="H115" s="2" t="s">
        <v>1735</v>
      </c>
      <c r="I115" s="2" t="str">
        <f>_xlfn.XLOOKUP(Tabla_Presupuesto[[#This Row],[id_padre]],Tabla_Presupuesto[Id],Tabla_Presupuesto[Codigo_Tecnico],"",0,1)</f>
        <v>PRESUPUESTO_INFORMES</v>
      </c>
      <c r="J11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/presupuesto/informes/consolidadores-programas</v>
      </c>
      <c r="K11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consolidadores-programas</v>
      </c>
      <c r="L115" s="2" t="s">
        <v>1389</v>
      </c>
      <c r="M115" s="2" t="s">
        <v>1792</v>
      </c>
      <c r="N115" s="4"/>
      <c r="O115" s="4"/>
      <c r="P115" s="4" t="s">
        <v>360</v>
      </c>
      <c r="Q115" s="4"/>
      <c r="AB115" s="5"/>
      <c r="AC115" s="5"/>
      <c r="AD115" s="5"/>
      <c r="AE115" s="5"/>
      <c r="AF115" s="5" t="s">
        <v>360</v>
      </c>
      <c r="AG115" s="2" t="str">
        <f>IF(OR(Tabla_Presupuesto[[#This Row],[ROL_JEFE_CONT_PRESU]]="*",Tabla_Presupuesto[[#This Row],[ROL_JEFE_CONT_PRSU_HOSPI]]="*"),"*","")</f>
        <v/>
      </c>
    </row>
    <row r="116" spans="1:33" hidden="1" x14ac:dyDescent="0.5">
      <c r="A116" s="5">
        <f>MAX(Tabla_Contabilidad[Id])</f>
        <v>210</v>
      </c>
      <c r="B116" s="2">
        <v>324</v>
      </c>
      <c r="C116" s="5">
        <f>IF(Tabla_Presupuesto[[#This Row],[id_padre]]="",0,_xlfn.XLOOKUP(Tabla_Presupuesto[[#This Row],[id_padre]],Tabla_Presupuesto[Id],Tabla_Presupuesto[Nivel],0,0,1)+1)</f>
        <v>3</v>
      </c>
      <c r="D116" s="2" t="s">
        <v>300</v>
      </c>
      <c r="E116" s="2">
        <f>IF(Tabla_Presupuesto[[#This Row],[Id_anterior]]=1,ROW()-1,SUM(ROW()-1,Tabla_Presupuesto[[#This Row],[Id_anterior]]))</f>
        <v>325</v>
      </c>
      <c r="F11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PRESUPUESTO_INFORMES_CONSOLIDADORES_PROGRAMAS_MONEDA_NACIONAL</v>
      </c>
      <c r="G116" s="2" t="str">
        <f>CLEAN(PROPER(Tabla_Presupuesto[[#This Row],[Nombre Opción]]))</f>
        <v>Moneda Nacional</v>
      </c>
      <c r="H116" s="2" t="s">
        <v>1735</v>
      </c>
      <c r="I116" s="2" t="str">
        <f>_xlfn.XLOOKUP(Tabla_Presupuesto[[#This Row],[id_padre]],Tabla_Presupuesto[Id],Tabla_Presupuesto[Codigo_Tecnico],"",0,1)</f>
        <v>PRESUPUESTO_INFORMES_CONSOLIDADORES_PROGRAMAS</v>
      </c>
      <c r="J11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/presupuesto/informes/consolidadores-programas/moneda-nacional</v>
      </c>
      <c r="K11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moneda-nacional</v>
      </c>
      <c r="L116" s="2" t="s">
        <v>1488</v>
      </c>
      <c r="M116" s="2" t="s">
        <v>1792</v>
      </c>
      <c r="N116" s="4"/>
      <c r="O116" s="4"/>
      <c r="P116" s="4" t="s">
        <v>360</v>
      </c>
      <c r="Q116" s="4"/>
      <c r="AB116" s="5"/>
      <c r="AC116" s="5"/>
      <c r="AD116" s="5"/>
      <c r="AE116" s="5"/>
      <c r="AF116" s="5" t="s">
        <v>360</v>
      </c>
      <c r="AG116" s="2" t="str">
        <f>IF(OR(Tabla_Presupuesto[[#This Row],[ROL_JEFE_CONT_PRESU]]="*",Tabla_Presupuesto[[#This Row],[ROL_JEFE_CONT_PRSU_HOSPI]]="*"),"*","")</f>
        <v/>
      </c>
    </row>
    <row r="117" spans="1:33" hidden="1" x14ac:dyDescent="0.5">
      <c r="A117" s="5">
        <f>MAX(Tabla_Contabilidad[Id])</f>
        <v>210</v>
      </c>
      <c r="B117" s="2">
        <v>324</v>
      </c>
      <c r="C117" s="5">
        <f>IF(Tabla_Presupuesto[[#This Row],[id_padre]]="",0,_xlfn.XLOOKUP(Tabla_Presupuesto[[#This Row],[id_padre]],Tabla_Presupuesto[Id],Tabla_Presupuesto[Nivel],0,0,1)+1)</f>
        <v>3</v>
      </c>
      <c r="D117" s="2" t="s">
        <v>301</v>
      </c>
      <c r="E117" s="2">
        <f>IF(Tabla_Presupuesto[[#This Row],[Id_anterior]]=1,ROW()-1,SUM(ROW()-1,Tabla_Presupuesto[[#This Row],[Id_anterior]]))</f>
        <v>326</v>
      </c>
      <c r="F11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PRESUPUESTO_INFORMES_CONSOLIDADORES_PROGRAMAS_MONEDA_EXTRANJERA</v>
      </c>
      <c r="G117" s="2" t="str">
        <f>CLEAN(PROPER(Tabla_Presupuesto[[#This Row],[Nombre Opción]]))</f>
        <v>Moneda Extranjera</v>
      </c>
      <c r="H117" s="2" t="s">
        <v>1735</v>
      </c>
      <c r="I117" s="2" t="str">
        <f>_xlfn.XLOOKUP(Tabla_Presupuesto[[#This Row],[id_padre]],Tabla_Presupuesto[Id],Tabla_Presupuesto[Codigo_Tecnico],"",0,1)</f>
        <v>PRESUPUESTO_INFORMES_CONSOLIDADORES_PROGRAMAS</v>
      </c>
      <c r="J11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/presupuesto/informes/consolidadores-programas/moneda-extranjera</v>
      </c>
      <c r="K11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moneda-extranjera</v>
      </c>
      <c r="L117" s="2" t="s">
        <v>1412</v>
      </c>
      <c r="M117" s="2" t="s">
        <v>1792</v>
      </c>
      <c r="N117" s="4"/>
      <c r="O117" s="4"/>
      <c r="P117" s="4" t="s">
        <v>360</v>
      </c>
      <c r="Q117" s="4"/>
      <c r="AB117" s="5"/>
      <c r="AC117" s="5"/>
      <c r="AD117" s="5"/>
      <c r="AE117" s="5"/>
      <c r="AF117" s="5" t="s">
        <v>360</v>
      </c>
      <c r="AG117" s="2" t="str">
        <f>IF(OR(Tabla_Presupuesto[[#This Row],[ROL_JEFE_CONT_PRESU]]="*",Tabla_Presupuesto[[#This Row],[ROL_JEFE_CONT_PRSU_HOSPI]]="*"),"*","")</f>
        <v/>
      </c>
    </row>
    <row r="118" spans="1:33" x14ac:dyDescent="0.5">
      <c r="A118" s="5">
        <f>MAX(Tabla_Contabilidad[Id])</f>
        <v>210</v>
      </c>
      <c r="B118" s="2">
        <v>215</v>
      </c>
      <c r="C118" s="5">
        <f>IF(Tabla_Presupuesto[[#This Row],[id_padre]]="",0,_xlfn.XLOOKUP(Tabla_Presupuesto[[#This Row],[id_padre]],Tabla_Presupuesto[Id],Tabla_Presupuesto[Nivel],0,0,1)+1)</f>
        <v>2</v>
      </c>
      <c r="D118" s="2" t="s">
        <v>302</v>
      </c>
      <c r="E118" s="2">
        <f>IF(Tabla_Presupuesto[[#This Row],[Id_anterior]]=1,ROW()-1,SUM(ROW()-1,Tabla_Presupuesto[[#This Row],[Id_anterior]]))</f>
        <v>327</v>
      </c>
      <c r="F11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PRESUPUESTO_INFORMES_SALDOS_PRESUPUESTARIOS_POR_UNIDAD_INTERNA</v>
      </c>
      <c r="G118" s="2" t="str">
        <f>CLEAN(PROPER(Tabla_Presupuesto[[#This Row],[Nombre Opción]]))</f>
        <v>Saldos Presupuestarios Por Unidad Interna</v>
      </c>
      <c r="H118" s="2" t="s">
        <v>1735</v>
      </c>
      <c r="I118" s="2" t="str">
        <f>_xlfn.XLOOKUP(Tabla_Presupuesto[[#This Row],[id_padre]],Tabla_Presupuesto[Id],Tabla_Presupuesto[Codigo_Tecnico],"",0,1)</f>
        <v>PRESUPUESTO_INFORMES</v>
      </c>
      <c r="J11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/presupuesto/informes/saldos-presupuestarios-por-unidad-interna</v>
      </c>
      <c r="K11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saldos-presupuestarios-por-unidad-interna</v>
      </c>
      <c r="L118" s="2" t="s">
        <v>1439</v>
      </c>
      <c r="M118" s="2" t="s">
        <v>1792</v>
      </c>
      <c r="N118" s="4"/>
      <c r="O118" s="4"/>
      <c r="P118" s="4" t="s">
        <v>360</v>
      </c>
      <c r="Q118" s="4" t="s">
        <v>360</v>
      </c>
      <c r="R118" s="4" t="s">
        <v>360</v>
      </c>
      <c r="S118" s="4" t="s">
        <v>360</v>
      </c>
      <c r="T118" s="4" t="s">
        <v>360</v>
      </c>
      <c r="U118" s="4" t="s">
        <v>360</v>
      </c>
      <c r="V118" s="4" t="s">
        <v>360</v>
      </c>
      <c r="W118" s="4" t="s">
        <v>360</v>
      </c>
      <c r="X118" s="4" t="s">
        <v>360</v>
      </c>
      <c r="Y118" s="4" t="s">
        <v>360</v>
      </c>
      <c r="Z118" s="4" t="s">
        <v>360</v>
      </c>
      <c r="AA118" s="4" t="s">
        <v>360</v>
      </c>
      <c r="AB118" s="4" t="s">
        <v>360</v>
      </c>
      <c r="AC118" s="5"/>
      <c r="AD118" s="5"/>
      <c r="AE118" s="5"/>
      <c r="AF118" s="5" t="s">
        <v>360</v>
      </c>
      <c r="AG118" s="2" t="str">
        <f>IF(OR(Tabla_Presupuesto[[#This Row],[ROL_JEFE_CONT_PRESU]]="*",Tabla_Presupuesto[[#This Row],[ROL_JEFE_CONT_PRSU_HOSPI]]="*"),"*","")</f>
        <v>*</v>
      </c>
    </row>
    <row r="119" spans="1:33" x14ac:dyDescent="0.5">
      <c r="A119" s="5">
        <f>MAX(Tabla_Contabilidad[Id])</f>
        <v>210</v>
      </c>
      <c r="B119" s="2">
        <v>215</v>
      </c>
      <c r="C119" s="5">
        <f>IF(Tabla_Presupuesto[[#This Row],[id_padre]]="",0,_xlfn.XLOOKUP(Tabla_Presupuesto[[#This Row],[id_padre]],Tabla_Presupuesto[Id],Tabla_Presupuesto[Nivel],0,0,1)+1)</f>
        <v>2</v>
      </c>
      <c r="D119" s="2" t="s">
        <v>218</v>
      </c>
      <c r="E119" s="2">
        <f>IF(Tabla_Presupuesto[[#This Row],[Id_anterior]]=1,ROW()-1,SUM(ROW()-1,Tabla_Presupuesto[[#This Row],[Id_anterior]]))</f>
        <v>328</v>
      </c>
      <c r="F11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</v>
      </c>
      <c r="G119" s="2" t="str">
        <f>CLEAN(PROPER(Tabla_Presupuesto[[#This Row],[Nombre Opción]]))</f>
        <v>Modificaciones Presupuestarias</v>
      </c>
      <c r="H119" s="2" t="s">
        <v>1735</v>
      </c>
      <c r="I119" s="2" t="str">
        <f>_xlfn.XLOOKUP(Tabla_Presupuesto[[#This Row],[id_padre]],Tabla_Presupuesto[Id],Tabla_Presupuesto[Codigo_Tecnico],"",0,1)</f>
        <v>PRESUPUESTO_INFORMES</v>
      </c>
      <c r="J11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</v>
      </c>
      <c r="K11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modificaciones-presupuestarias</v>
      </c>
      <c r="L119" s="2" t="s">
        <v>1472</v>
      </c>
      <c r="M119" s="2" t="s">
        <v>1792</v>
      </c>
      <c r="N119" s="4"/>
      <c r="O119" s="4"/>
      <c r="P119" s="4" t="s">
        <v>360</v>
      </c>
      <c r="Q119" s="4" t="s">
        <v>360</v>
      </c>
      <c r="R119" s="4" t="s">
        <v>360</v>
      </c>
      <c r="S119" s="4" t="s">
        <v>360</v>
      </c>
      <c r="U119" s="4" t="s">
        <v>360</v>
      </c>
      <c r="X119" s="4" t="s">
        <v>360</v>
      </c>
      <c r="Y119" s="4" t="s">
        <v>360</v>
      </c>
      <c r="Z119" s="4" t="s">
        <v>360</v>
      </c>
      <c r="AA119" s="4" t="s">
        <v>360</v>
      </c>
      <c r="AB119" s="4" t="s">
        <v>360</v>
      </c>
      <c r="AC119" s="5"/>
      <c r="AD119" s="5"/>
      <c r="AE119" s="5"/>
      <c r="AF119" s="5" t="s">
        <v>360</v>
      </c>
      <c r="AG119" s="2" t="str">
        <f>IF(OR(Tabla_Presupuesto[[#This Row],[ROL_JEFE_CONT_PRESU]]="*",Tabla_Presupuesto[[#This Row],[ROL_JEFE_CONT_PRSU_HOSPI]]="*"),"*","")</f>
        <v>*</v>
      </c>
    </row>
    <row r="120" spans="1:33" x14ac:dyDescent="0.5">
      <c r="A120" s="5">
        <f>MAX(Tabla_Contabilidad[Id])</f>
        <v>210</v>
      </c>
      <c r="B120" s="2">
        <v>328</v>
      </c>
      <c r="C120" s="5">
        <f>IF(Tabla_Presupuesto[[#This Row],[id_padre]]="",0,_xlfn.XLOOKUP(Tabla_Presupuesto[[#This Row],[id_padre]],Tabla_Presupuesto[Id],Tabla_Presupuesto[Nivel],0,0,1)+1)</f>
        <v>3</v>
      </c>
      <c r="D120" s="2" t="s">
        <v>303</v>
      </c>
      <c r="E120" s="2">
        <f>IF(Tabla_Presupuesto[[#This Row],[Id_anterior]]=1,ROW()-1,SUM(ROW()-1,Tabla_Presupuesto[[#This Row],[Id_anterior]]))</f>
        <v>329</v>
      </c>
      <c r="F12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PRESUPUESTO_INFORMES_MODIFICACIONES_PRESUPUESTARIAS_INTERNA</v>
      </c>
      <c r="G120" s="2" t="str">
        <f>CLEAN(PROPER(Tabla_Presupuesto[[#This Row],[Nombre Opción]]))</f>
        <v>Interna</v>
      </c>
      <c r="H120" s="2" t="s">
        <v>1735</v>
      </c>
      <c r="I120" s="2" t="str">
        <f>_xlfn.XLOOKUP(Tabla_Presupuesto[[#This Row],[id_padre]],Tabla_Presupuesto[Id],Tabla_Presupuesto[Codigo_Tecnico],"",0,1)</f>
        <v>PRESUPUESTO_INFORMES_MODIFICACIONES_PRESUPUESTARIAS</v>
      </c>
      <c r="J12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/presupuesto/informes/modificaciones-presupuestarias/interna</v>
      </c>
      <c r="K12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interna</v>
      </c>
      <c r="L120" s="2" t="s">
        <v>1463</v>
      </c>
      <c r="M120" s="2" t="s">
        <v>1792</v>
      </c>
      <c r="N120" s="4"/>
      <c r="O120" s="4"/>
      <c r="P120" s="4" t="s">
        <v>360</v>
      </c>
      <c r="Q120" s="4" t="s">
        <v>360</v>
      </c>
      <c r="R120" s="4" t="s">
        <v>360</v>
      </c>
      <c r="S120" s="4" t="s">
        <v>360</v>
      </c>
      <c r="U120" s="4" t="s">
        <v>360</v>
      </c>
      <c r="X120" s="4" t="s">
        <v>360</v>
      </c>
      <c r="Y120" s="4" t="s">
        <v>360</v>
      </c>
      <c r="Z120" s="4" t="s">
        <v>360</v>
      </c>
      <c r="AA120" s="4" t="s">
        <v>360</v>
      </c>
      <c r="AB120" s="4" t="s">
        <v>360</v>
      </c>
      <c r="AC120" s="5"/>
      <c r="AD120" s="5"/>
      <c r="AE120" s="5"/>
      <c r="AF120" s="5" t="s">
        <v>360</v>
      </c>
      <c r="AG120" s="2" t="str">
        <f>IF(OR(Tabla_Presupuesto[[#This Row],[ROL_JEFE_CONT_PRESU]]="*",Tabla_Presupuesto[[#This Row],[ROL_JEFE_CONT_PRSU_HOSPI]]="*"),"*","")</f>
        <v>*</v>
      </c>
    </row>
    <row r="121" spans="1:33" x14ac:dyDescent="0.5">
      <c r="A121" s="5">
        <f>MAX(Tabla_Contabilidad[Id])</f>
        <v>210</v>
      </c>
      <c r="B121" s="2">
        <v>328</v>
      </c>
      <c r="C121" s="5">
        <f>IF(Tabla_Presupuesto[[#This Row],[id_padre]]="",0,_xlfn.XLOOKUP(Tabla_Presupuesto[[#This Row],[id_padre]],Tabla_Presupuesto[Id],Tabla_Presupuesto[Nivel],0,0,1)+1)</f>
        <v>3</v>
      </c>
      <c r="D121" s="2" t="s">
        <v>304</v>
      </c>
      <c r="E121" s="2">
        <f>IF(Tabla_Presupuesto[[#This Row],[Id_anterior]]=1,ROW()-1,SUM(ROW()-1,Tabla_Presupuesto[[#This Row],[Id_anterior]]))</f>
        <v>330</v>
      </c>
      <c r="F12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PRESUPUESTO_INFORMES_MODIFICACIONES_PRESUPUESTARIAS_EXTERNA</v>
      </c>
      <c r="G121" s="2" t="str">
        <f>CLEAN(PROPER(Tabla_Presupuesto[[#This Row],[Nombre Opción]]))</f>
        <v>Externa</v>
      </c>
      <c r="H121" s="2" t="s">
        <v>1735</v>
      </c>
      <c r="I121" s="2" t="str">
        <f>_xlfn.XLOOKUP(Tabla_Presupuesto[[#This Row],[id_padre]],Tabla_Presupuesto[Id],Tabla_Presupuesto[Codigo_Tecnico],"",0,1)</f>
        <v>PRESUPUESTO_INFORMES_MODIFICACIONES_PRESUPUESTARIAS</v>
      </c>
      <c r="J12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/presupuesto/informes/modificaciones-presupuestarias/externa</v>
      </c>
      <c r="K12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externa</v>
      </c>
      <c r="L121" s="2" t="s">
        <v>1353</v>
      </c>
      <c r="M121" s="2" t="s">
        <v>1792</v>
      </c>
      <c r="N121" s="4"/>
      <c r="O121" s="4"/>
      <c r="P121" s="4" t="s">
        <v>360</v>
      </c>
      <c r="Q121" s="4" t="s">
        <v>360</v>
      </c>
      <c r="R121" s="4" t="s">
        <v>360</v>
      </c>
      <c r="S121" s="4" t="s">
        <v>360</v>
      </c>
      <c r="U121" s="4" t="s">
        <v>360</v>
      </c>
      <c r="X121" s="4" t="s">
        <v>360</v>
      </c>
      <c r="Y121" s="4" t="s">
        <v>360</v>
      </c>
      <c r="Z121" s="4" t="s">
        <v>360</v>
      </c>
      <c r="AA121" s="4" t="s">
        <v>360</v>
      </c>
      <c r="AB121" s="4" t="s">
        <v>360</v>
      </c>
      <c r="AC121" s="5"/>
      <c r="AD121" s="5"/>
      <c r="AE121" s="5"/>
      <c r="AF121" s="5" t="s">
        <v>360</v>
      </c>
      <c r="AG121" s="2" t="str">
        <f>IF(OR(Tabla_Presupuesto[[#This Row],[ROL_JEFE_CONT_PRESU]]="*",Tabla_Presupuesto[[#This Row],[ROL_JEFE_CONT_PRSU_HOSPI]]="*"),"*","")</f>
        <v>*</v>
      </c>
    </row>
    <row r="122" spans="1:33" x14ac:dyDescent="0.5">
      <c r="A122" s="5">
        <f>MAX(Tabla_Contabilidad[Id])</f>
        <v>210</v>
      </c>
      <c r="B122" s="2">
        <v>328</v>
      </c>
      <c r="C122" s="5">
        <f>IF(Tabla_Presupuesto[[#This Row],[id_padre]]="",0,_xlfn.XLOOKUP(Tabla_Presupuesto[[#This Row],[id_padre]],Tabla_Presupuesto[Id],Tabla_Presupuesto[Nivel],0,0,1)+1)</f>
        <v>3</v>
      </c>
      <c r="D122" s="2" t="s">
        <v>305</v>
      </c>
      <c r="E122" s="2">
        <f>IF(Tabla_Presupuesto[[#This Row],[Id_anterior]]=1,ROW()-1,SUM(ROW()-1,Tabla_Presupuesto[[#This Row],[Id_anterior]]))</f>
        <v>331</v>
      </c>
      <c r="F12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PRESUPUESTO_INFORMES_MODIFICACIONES_PRESUPUESTARIAS_INTERNA_POR_PROGRAMA</v>
      </c>
      <c r="G122" s="2" t="str">
        <f>CLEAN(PROPER(Tabla_Presupuesto[[#This Row],[Nombre Opción]]))</f>
        <v>Interna Por Programa</v>
      </c>
      <c r="H122" s="2" t="s">
        <v>1735</v>
      </c>
      <c r="I122" s="2" t="str">
        <f>_xlfn.XLOOKUP(Tabla_Presupuesto[[#This Row],[id_padre]],Tabla_Presupuesto[Id],Tabla_Presupuesto[Codigo_Tecnico],"",0,1)</f>
        <v>PRESUPUESTO_INFORMES_MODIFICACIONES_PRESUPUESTARIAS</v>
      </c>
      <c r="J12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/presupuesto/informes/modificaciones-presupuestarias/interna-por-programa</v>
      </c>
      <c r="K12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interna-por-programa</v>
      </c>
      <c r="L122" s="2" t="s">
        <v>1436</v>
      </c>
      <c r="M122" s="2" t="s">
        <v>1792</v>
      </c>
      <c r="N122" s="4"/>
      <c r="O122" s="4"/>
      <c r="P122" s="4" t="s">
        <v>360</v>
      </c>
      <c r="Q122" s="4" t="s">
        <v>360</v>
      </c>
      <c r="R122" s="4" t="s">
        <v>360</v>
      </c>
      <c r="S122" s="4" t="s">
        <v>360</v>
      </c>
      <c r="U122" s="4" t="s">
        <v>360</v>
      </c>
      <c r="X122" s="4" t="s">
        <v>360</v>
      </c>
      <c r="Y122" s="4" t="s">
        <v>360</v>
      </c>
      <c r="Z122" s="4" t="s">
        <v>360</v>
      </c>
      <c r="AA122" s="4" t="s">
        <v>360</v>
      </c>
      <c r="AB122" s="4" t="s">
        <v>360</v>
      </c>
      <c r="AC122" s="5"/>
      <c r="AD122" s="5"/>
      <c r="AE122" s="5"/>
      <c r="AF122" s="5" t="s">
        <v>360</v>
      </c>
      <c r="AG122" s="2" t="str">
        <f>IF(OR(Tabla_Presupuesto[[#This Row],[ROL_JEFE_CONT_PRESU]]="*",Tabla_Presupuesto[[#This Row],[ROL_JEFE_CONT_PRSU_HOSPI]]="*"),"*","")</f>
        <v>*</v>
      </c>
    </row>
    <row r="123" spans="1:33" x14ac:dyDescent="0.5">
      <c r="A123" s="5">
        <f>MAX(Tabla_Contabilidad[Id])</f>
        <v>210</v>
      </c>
      <c r="B123" s="2">
        <v>331</v>
      </c>
      <c r="C123" s="5">
        <f>IF(Tabla_Presupuesto[[#This Row],[id_padre]]="",0,_xlfn.XLOOKUP(Tabla_Presupuesto[[#This Row],[id_padre]],Tabla_Presupuesto[Id],Tabla_Presupuesto[Nivel],0,0,1)+1)</f>
        <v>4</v>
      </c>
      <c r="D123" s="2" t="s">
        <v>306</v>
      </c>
      <c r="E123" s="2">
        <f>IF(Tabla_Presupuesto[[#This Row],[Id_anterior]]=1,ROW()-1,SUM(ROW()-1,Tabla_Presupuesto[[#This Row],[Id_anterior]]))</f>
        <v>332</v>
      </c>
      <c r="F12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PRESUPUESTO_INFORMES_MODIFICACIONES_PRESUPUESTARIAS_INTERNA_POR_PROGRAMA_ITEM</v>
      </c>
      <c r="G123" s="2" t="str">
        <f>CLEAN(PROPER(Tabla_Presupuesto[[#This Row],[Nombre Opción]]))</f>
        <v>Item</v>
      </c>
      <c r="H123" s="2" t="s">
        <v>1735</v>
      </c>
      <c r="I123" s="2" t="str">
        <f>_xlfn.XLOOKUP(Tabla_Presupuesto[[#This Row],[id_padre]],Tabla_Presupuesto[Id],Tabla_Presupuesto[Codigo_Tecnico],"",0,1)</f>
        <v>PRESUPUESTO_INFORMES_MODIFICACIONES_PRESUPUESTARIAS_INTERNA_POR_PROGRAMA</v>
      </c>
      <c r="J12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/presupuesto/informes/modificaciones-presupuestarias/interna-por-programa/item</v>
      </c>
      <c r="K12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item</v>
      </c>
      <c r="L123" s="2" t="s">
        <v>1367</v>
      </c>
      <c r="M123" s="2" t="s">
        <v>1792</v>
      </c>
      <c r="N123" s="4"/>
      <c r="O123" s="4"/>
      <c r="P123" s="4" t="s">
        <v>360</v>
      </c>
      <c r="Q123" s="4" t="s">
        <v>360</v>
      </c>
      <c r="R123" s="4" t="s">
        <v>360</v>
      </c>
      <c r="S123" s="4" t="s">
        <v>360</v>
      </c>
      <c r="U123" s="4" t="s">
        <v>360</v>
      </c>
      <c r="X123" s="4" t="s">
        <v>360</v>
      </c>
      <c r="Y123" s="4" t="s">
        <v>360</v>
      </c>
      <c r="Z123" s="4" t="s">
        <v>360</v>
      </c>
      <c r="AA123" s="4" t="s">
        <v>360</v>
      </c>
      <c r="AB123" s="4" t="s">
        <v>360</v>
      </c>
      <c r="AC123" s="5"/>
      <c r="AD123" s="5"/>
      <c r="AE123" s="5"/>
      <c r="AF123" s="5" t="s">
        <v>360</v>
      </c>
      <c r="AG123" s="2" t="str">
        <f>IF(OR(Tabla_Presupuesto[[#This Row],[ROL_JEFE_CONT_PRESU]]="*",Tabla_Presupuesto[[#This Row],[ROL_JEFE_CONT_PRSU_HOSPI]]="*"),"*","")</f>
        <v>*</v>
      </c>
    </row>
    <row r="124" spans="1:33" x14ac:dyDescent="0.5">
      <c r="A124" s="5">
        <f>MAX(Tabla_Contabilidad[Id])</f>
        <v>210</v>
      </c>
      <c r="B124" s="2">
        <v>328</v>
      </c>
      <c r="C124" s="5">
        <f>IF(Tabla_Presupuesto[[#This Row],[id_padre]]="",0,_xlfn.XLOOKUP(Tabla_Presupuesto[[#This Row],[id_padre]],Tabla_Presupuesto[Id],Tabla_Presupuesto[Nivel],0,0,1)+1)</f>
        <v>3</v>
      </c>
      <c r="D124" s="2" t="s">
        <v>307</v>
      </c>
      <c r="E124" s="2">
        <f>IF(Tabla_Presupuesto[[#This Row],[Id_anterior]]=1,ROW()-1,SUM(ROW()-1,Tabla_Presupuesto[[#This Row],[Id_anterior]]))</f>
        <v>333</v>
      </c>
      <c r="F12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PRESUPUESTO_INFORMES_MODIFICACIONES_PRESUPUESTARIAS_EXTERNA_POR_PROGRAMA</v>
      </c>
      <c r="G124" s="2" t="str">
        <f>CLEAN(PROPER(Tabla_Presupuesto[[#This Row],[Nombre Opción]]))</f>
        <v>Externa Por Programa</v>
      </c>
      <c r="H124" s="2" t="s">
        <v>1735</v>
      </c>
      <c r="I124" s="2" t="str">
        <f>_xlfn.XLOOKUP(Tabla_Presupuesto[[#This Row],[id_padre]],Tabla_Presupuesto[Id],Tabla_Presupuesto[Codigo_Tecnico],"",0,1)</f>
        <v>PRESUPUESTO_INFORMES_MODIFICACIONES_PRESUPUESTARIAS</v>
      </c>
      <c r="J12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/presupuesto/informes/modificaciones-presupuestarias/externa-por-programa</v>
      </c>
      <c r="K12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externa-por-programa</v>
      </c>
      <c r="L124" s="2" t="s">
        <v>1341</v>
      </c>
      <c r="M124" s="2" t="s">
        <v>1792</v>
      </c>
      <c r="N124" s="4"/>
      <c r="O124" s="4"/>
      <c r="P124" s="4" t="s">
        <v>360</v>
      </c>
      <c r="Q124" s="4" t="s">
        <v>360</v>
      </c>
      <c r="R124" s="4" t="s">
        <v>360</v>
      </c>
      <c r="S124" s="4" t="s">
        <v>360</v>
      </c>
      <c r="U124" s="4" t="s">
        <v>360</v>
      </c>
      <c r="X124" s="4" t="s">
        <v>360</v>
      </c>
      <c r="Y124" s="4" t="s">
        <v>360</v>
      </c>
      <c r="Z124" s="4" t="s">
        <v>360</v>
      </c>
      <c r="AA124" s="4" t="s">
        <v>360</v>
      </c>
      <c r="AB124" s="4" t="s">
        <v>360</v>
      </c>
      <c r="AC124" s="5"/>
      <c r="AD124" s="5"/>
      <c r="AE124" s="5"/>
      <c r="AF124" s="5" t="s">
        <v>360</v>
      </c>
      <c r="AG124" s="2" t="str">
        <f>IF(OR(Tabla_Presupuesto[[#This Row],[ROL_JEFE_CONT_PRESU]]="*",Tabla_Presupuesto[[#This Row],[ROL_JEFE_CONT_PRSU_HOSPI]]="*"),"*","")</f>
        <v>*</v>
      </c>
    </row>
    <row r="125" spans="1:33" x14ac:dyDescent="0.5">
      <c r="A125" s="5">
        <f>MAX(Tabla_Contabilidad[Id])</f>
        <v>210</v>
      </c>
      <c r="B125" s="2">
        <v>333</v>
      </c>
      <c r="C125" s="5">
        <f>IF(Tabla_Presupuesto[[#This Row],[id_padre]]="",0,_xlfn.XLOOKUP(Tabla_Presupuesto[[#This Row],[id_padre]],Tabla_Presupuesto[Id],Tabla_Presupuesto[Nivel],0,0,1)+1)</f>
        <v>4</v>
      </c>
      <c r="D125" s="2" t="s">
        <v>306</v>
      </c>
      <c r="E125" s="2">
        <f>IF(Tabla_Presupuesto[[#This Row],[Id_anterior]]=1,ROW()-1,SUM(ROW()-1,Tabla_Presupuesto[[#This Row],[Id_anterior]]))</f>
        <v>334</v>
      </c>
      <c r="F12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PRESUPUESTO_INFORMES_MODIFICACIONES_PRESUPUESTARIAS_EXTERNA_POR_PROGRAMA_ITEM</v>
      </c>
      <c r="G125" s="2" t="str">
        <f>CLEAN(PROPER(Tabla_Presupuesto[[#This Row],[Nombre Opción]]))</f>
        <v>Item</v>
      </c>
      <c r="H125" s="2" t="s">
        <v>1735</v>
      </c>
      <c r="I125" s="2" t="str">
        <f>_xlfn.XLOOKUP(Tabla_Presupuesto[[#This Row],[id_padre]],Tabla_Presupuesto[Id],Tabla_Presupuesto[Codigo_Tecnico],"",0,1)</f>
        <v>PRESUPUESTO_INFORMES_MODIFICACIONES_PRESUPUESTARIAS_EXTERNA_POR_PROGRAMA</v>
      </c>
      <c r="J12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/presupuesto/informes/modificaciones-presupuestarias/externa-por-programa/item</v>
      </c>
      <c r="K12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item</v>
      </c>
      <c r="L125" s="2" t="s">
        <v>1367</v>
      </c>
      <c r="M125" s="2" t="s">
        <v>1792</v>
      </c>
      <c r="N125" s="4"/>
      <c r="O125" s="4"/>
      <c r="P125" s="4" t="s">
        <v>360</v>
      </c>
      <c r="Q125" s="4" t="s">
        <v>360</v>
      </c>
      <c r="R125" s="4" t="s">
        <v>360</v>
      </c>
      <c r="S125" s="4" t="s">
        <v>360</v>
      </c>
      <c r="U125" s="4" t="s">
        <v>360</v>
      </c>
      <c r="X125" s="4" t="s">
        <v>360</v>
      </c>
      <c r="Y125" s="4" t="s">
        <v>360</v>
      </c>
      <c r="Z125" s="4" t="s">
        <v>360</v>
      </c>
      <c r="AA125" s="4" t="s">
        <v>360</v>
      </c>
      <c r="AB125" s="4" t="s">
        <v>360</v>
      </c>
      <c r="AC125" s="5"/>
      <c r="AD125" s="5"/>
      <c r="AE125" s="5"/>
      <c r="AF125" s="5" t="s">
        <v>360</v>
      </c>
      <c r="AG125" s="2" t="str">
        <f>IF(OR(Tabla_Presupuesto[[#This Row],[ROL_JEFE_CONT_PRESU]]="*",Tabla_Presupuesto[[#This Row],[ROL_JEFE_CONT_PRSU_HOSPI]]="*"),"*","")</f>
        <v>*</v>
      </c>
    </row>
    <row r="126" spans="1:33" x14ac:dyDescent="0.5">
      <c r="A126" s="5">
        <f>MAX(Tabla_Contabilidad[Id])</f>
        <v>210</v>
      </c>
      <c r="B126" s="2">
        <v>328</v>
      </c>
      <c r="C126" s="5">
        <f>IF(Tabla_Presupuesto[[#This Row],[id_padre]]="",0,_xlfn.XLOOKUP(Tabla_Presupuesto[[#This Row],[id_padre]],Tabla_Presupuesto[Id],Tabla_Presupuesto[Nivel],0,0,1)+1)</f>
        <v>3</v>
      </c>
      <c r="D126" s="2" t="s">
        <v>308</v>
      </c>
      <c r="E126" s="2">
        <f>IF(Tabla_Presupuesto[[#This Row],[Id_anterior]]=1,ROW()-1,SUM(ROW()-1,Tabla_Presupuesto[[#This Row],[Id_anterior]]))</f>
        <v>335</v>
      </c>
      <c r="F12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PRESUPUESTO_INFORMES_MODIFICACIONES_PRESUPUESTARIAS_NULAS_INTERNAS</v>
      </c>
      <c r="G126" s="2" t="str">
        <f>CLEAN(PROPER(Tabla_Presupuesto[[#This Row],[Nombre Opción]]))</f>
        <v>Nulas Internas</v>
      </c>
      <c r="H126" s="2" t="s">
        <v>1735</v>
      </c>
      <c r="I126" s="2" t="str">
        <f>_xlfn.XLOOKUP(Tabla_Presupuesto[[#This Row],[id_padre]],Tabla_Presupuesto[Id],Tabla_Presupuesto[Codigo_Tecnico],"",0,1)</f>
        <v>PRESUPUESTO_INFORMES_MODIFICACIONES_PRESUPUESTARIAS</v>
      </c>
      <c r="J12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/presupuesto/informes/modificaciones-presupuestarias/nulas-internas</v>
      </c>
      <c r="K12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nulas-internas</v>
      </c>
      <c r="L126" s="2" t="s">
        <v>1463</v>
      </c>
      <c r="M126" s="2" t="s">
        <v>1792</v>
      </c>
      <c r="N126" s="4"/>
      <c r="O126" s="4"/>
      <c r="P126" s="4" t="s">
        <v>360</v>
      </c>
      <c r="Q126" s="4" t="s">
        <v>360</v>
      </c>
      <c r="R126" s="4" t="s">
        <v>360</v>
      </c>
      <c r="S126" s="4" t="s">
        <v>360</v>
      </c>
      <c r="U126" s="4" t="s">
        <v>360</v>
      </c>
      <c r="X126" s="4" t="s">
        <v>360</v>
      </c>
      <c r="Y126" s="4" t="s">
        <v>360</v>
      </c>
      <c r="Z126" s="4" t="s">
        <v>360</v>
      </c>
      <c r="AA126" s="4" t="s">
        <v>360</v>
      </c>
      <c r="AB126" s="4" t="s">
        <v>360</v>
      </c>
      <c r="AC126" s="5"/>
      <c r="AD126" s="5"/>
      <c r="AE126" s="5"/>
      <c r="AF126" s="5" t="s">
        <v>360</v>
      </c>
      <c r="AG126" s="2" t="str">
        <f>IF(OR(Tabla_Presupuesto[[#This Row],[ROL_JEFE_CONT_PRESU]]="*",Tabla_Presupuesto[[#This Row],[ROL_JEFE_CONT_PRSU_HOSPI]]="*"),"*","")</f>
        <v>*</v>
      </c>
    </row>
    <row r="127" spans="1:33" x14ac:dyDescent="0.5">
      <c r="A127" s="5">
        <f>MAX(Tabla_Contabilidad[Id])</f>
        <v>210</v>
      </c>
      <c r="B127" s="2">
        <v>335</v>
      </c>
      <c r="C127" s="5">
        <f>IF(Tabla_Presupuesto[[#This Row],[id_padre]]="",0,_xlfn.XLOOKUP(Tabla_Presupuesto[[#This Row],[id_padre]],Tabla_Presupuesto[Id],Tabla_Presupuesto[Nivel],0,0,1)+1)</f>
        <v>4</v>
      </c>
      <c r="D127" s="2" t="s">
        <v>309</v>
      </c>
      <c r="E127" s="2">
        <f>IF(Tabla_Presupuesto[[#This Row],[Id_anterior]]=1,ROW()-1,SUM(ROW()-1,Tabla_Presupuesto[[#This Row],[Id_anterior]]))</f>
        <v>336</v>
      </c>
      <c r="F12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PRESUPUESTO_INFORMES_MODIFICACIONES_PRESUPUESTARIAS_NULAS_INTERNAS_EXTERNAS</v>
      </c>
      <c r="G127" s="2" t="str">
        <f>CLEAN(PROPER(Tabla_Presupuesto[[#This Row],[Nombre Opción]]))</f>
        <v>Externas</v>
      </c>
      <c r="H127" s="2" t="s">
        <v>1735</v>
      </c>
      <c r="I127" s="2" t="str">
        <f>_xlfn.XLOOKUP(Tabla_Presupuesto[[#This Row],[id_padre]],Tabla_Presupuesto[Id],Tabla_Presupuesto[Codigo_Tecnico],"",0,1)</f>
        <v>PRESUPUESTO_INFORMES_MODIFICACIONES_PRESUPUESTARIAS_NULAS_INTERNAS</v>
      </c>
      <c r="J12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/presupuesto/informes/modificaciones-presupuestarias/nulas-internas/externas</v>
      </c>
      <c r="K12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externas</v>
      </c>
      <c r="L127" s="2" t="s">
        <v>1382</v>
      </c>
      <c r="M127" s="2" t="s">
        <v>1792</v>
      </c>
      <c r="N127" s="4"/>
      <c r="O127" s="4"/>
      <c r="P127" s="4" t="s">
        <v>360</v>
      </c>
      <c r="Q127" s="4" t="s">
        <v>360</v>
      </c>
      <c r="R127" s="4" t="s">
        <v>360</v>
      </c>
      <c r="S127" s="4" t="s">
        <v>360</v>
      </c>
      <c r="U127" s="4" t="s">
        <v>360</v>
      </c>
      <c r="X127" s="4" t="s">
        <v>360</v>
      </c>
      <c r="Y127" s="4" t="s">
        <v>360</v>
      </c>
      <c r="Z127" s="4" t="s">
        <v>360</v>
      </c>
      <c r="AA127" s="4" t="s">
        <v>360</v>
      </c>
      <c r="AB127" s="4" t="s">
        <v>360</v>
      </c>
      <c r="AC127" s="5"/>
      <c r="AD127" s="5"/>
      <c r="AE127" s="5"/>
      <c r="AF127" s="5" t="s">
        <v>360</v>
      </c>
      <c r="AG127" s="2" t="str">
        <f>IF(OR(Tabla_Presupuesto[[#This Row],[ROL_JEFE_CONT_PRESU]]="*",Tabla_Presupuesto[[#This Row],[ROL_JEFE_CONT_PRSU_HOSPI]]="*"),"*","")</f>
        <v>*</v>
      </c>
    </row>
    <row r="128" spans="1:33" x14ac:dyDescent="0.5">
      <c r="A128" s="5">
        <f>MAX(Tabla_Contabilidad[Id])</f>
        <v>210</v>
      </c>
      <c r="B128" s="2">
        <v>328</v>
      </c>
      <c r="C128" s="5">
        <f>IF(Tabla_Presupuesto[[#This Row],[id_padre]]="",0,_xlfn.XLOOKUP(Tabla_Presupuesto[[#This Row],[id_padre]],Tabla_Presupuesto[Id],Tabla_Presupuesto[Nivel],0,0,1)+1)</f>
        <v>3</v>
      </c>
      <c r="D128" s="2" t="s">
        <v>260</v>
      </c>
      <c r="E128" s="2">
        <f>IF(Tabla_Presupuesto[[#This Row],[Id_anterior]]=1,ROW()-1,SUM(ROW()-1,Tabla_Presupuesto[[#This Row],[Id_anterior]]))</f>
        <v>337</v>
      </c>
      <c r="F12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PRESUPUESTO_INFORMES_MODIFICACIONES_PRESUPUESTARIAS_CALENDARIZACION_PROGRAMA_CAJA</v>
      </c>
      <c r="G128" s="2" t="str">
        <f>CLEAN(PROPER(Tabla_Presupuesto[[#This Row],[Nombre Opción]]))</f>
        <v>Calendarizacion Programa Caja</v>
      </c>
      <c r="H128" s="2" t="s">
        <v>1735</v>
      </c>
      <c r="I128" s="2" t="str">
        <f>_xlfn.XLOOKUP(Tabla_Presupuesto[[#This Row],[id_padre]],Tabla_Presupuesto[Id],Tabla_Presupuesto[Codigo_Tecnico],"",0,1)</f>
        <v>PRESUPUESTO_INFORMES_MODIFICACIONES_PRESUPUESTARIAS</v>
      </c>
      <c r="J12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/presupuesto/informes/modificaciones-presupuestarias/calendarizacion-programa-caja</v>
      </c>
      <c r="K12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calendarizacion-programa-caja</v>
      </c>
      <c r="L128" s="2" t="s">
        <v>1372</v>
      </c>
      <c r="M128" s="2" t="s">
        <v>1792</v>
      </c>
      <c r="N128" s="4"/>
      <c r="O128" s="4"/>
      <c r="P128" s="4" t="s">
        <v>360</v>
      </c>
      <c r="Q128" s="4" t="s">
        <v>360</v>
      </c>
      <c r="R128" s="4" t="s">
        <v>360</v>
      </c>
      <c r="S128" s="4" t="s">
        <v>360</v>
      </c>
      <c r="U128" s="4" t="s">
        <v>360</v>
      </c>
      <c r="X128" s="4" t="s">
        <v>360</v>
      </c>
      <c r="Y128" s="4" t="s">
        <v>360</v>
      </c>
      <c r="Z128" s="4" t="s">
        <v>360</v>
      </c>
      <c r="AA128" s="4" t="s">
        <v>360</v>
      </c>
      <c r="AB128" s="4" t="s">
        <v>360</v>
      </c>
      <c r="AC128" s="5"/>
      <c r="AD128" s="5"/>
      <c r="AE128" s="5"/>
      <c r="AF128" s="5" t="s">
        <v>360</v>
      </c>
      <c r="AG128" s="2" t="str">
        <f>IF(OR(Tabla_Presupuesto[[#This Row],[ROL_JEFE_CONT_PRESU]]="*",Tabla_Presupuesto[[#This Row],[ROL_JEFE_CONT_PRSU_HOSPI]]="*"),"*","")</f>
        <v>*</v>
      </c>
    </row>
    <row r="129" spans="1:33" x14ac:dyDescent="0.5">
      <c r="A129" s="5">
        <f>MAX(Tabla_Contabilidad[Id])</f>
        <v>210</v>
      </c>
      <c r="B129" s="2">
        <v>215</v>
      </c>
      <c r="C129" s="5">
        <f>IF(Tabla_Presupuesto[[#This Row],[id_padre]]="",0,_xlfn.XLOOKUP(Tabla_Presupuesto[[#This Row],[id_padre]],Tabla_Presupuesto[Id],Tabla_Presupuesto[Nivel],0,0,1)+1)</f>
        <v>2</v>
      </c>
      <c r="D129" s="2" t="s">
        <v>310</v>
      </c>
      <c r="E129" s="2">
        <f>IF(Tabla_Presupuesto[[#This Row],[Id_anterior]]=1,ROW()-1,SUM(ROW()-1,Tabla_Presupuesto[[#This Row],[Id_anterior]]))</f>
        <v>338</v>
      </c>
      <c r="F12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PRESUPUESTO_INFORMES_LISTADO_COMPROMISOS_PENDIENTES</v>
      </c>
      <c r="G129" s="2" t="str">
        <f>CLEAN(PROPER(Tabla_Presupuesto[[#This Row],[Nombre Opción]]))</f>
        <v>Listado De Compromisos Pendientes</v>
      </c>
      <c r="H129" s="2" t="s">
        <v>1735</v>
      </c>
      <c r="I129" s="2" t="str">
        <f>_xlfn.XLOOKUP(Tabla_Presupuesto[[#This Row],[id_padre]],Tabla_Presupuesto[Id],Tabla_Presupuesto[Codigo_Tecnico],"",0,1)</f>
        <v>PRESUPUESTO_INFORMES</v>
      </c>
      <c r="J12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/presupuesto/informes/listado-compromisos-pendientes</v>
      </c>
      <c r="K12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listado-compromisos-pendientes</v>
      </c>
      <c r="L129" s="2" t="s">
        <v>1362</v>
      </c>
      <c r="M129" s="2" t="s">
        <v>1792</v>
      </c>
      <c r="N129" s="4"/>
      <c r="O129" s="4"/>
      <c r="P129" s="4" t="s">
        <v>360</v>
      </c>
      <c r="Q129" s="4" t="s">
        <v>360</v>
      </c>
      <c r="R129" s="4" t="s">
        <v>360</v>
      </c>
      <c r="S129" s="4" t="s">
        <v>360</v>
      </c>
      <c r="T129" s="4" t="s">
        <v>360</v>
      </c>
      <c r="U129" s="4" t="s">
        <v>360</v>
      </c>
      <c r="V129" s="4" t="s">
        <v>360</v>
      </c>
      <c r="W129" s="4" t="s">
        <v>360</v>
      </c>
      <c r="X129" s="4" t="s">
        <v>360</v>
      </c>
      <c r="Y129" s="4" t="s">
        <v>360</v>
      </c>
      <c r="Z129" s="4" t="s">
        <v>360</v>
      </c>
      <c r="AA129" s="4" t="s">
        <v>360</v>
      </c>
      <c r="AB129" s="4" t="s">
        <v>360</v>
      </c>
      <c r="AC129" s="5"/>
      <c r="AD129" s="5"/>
      <c r="AE129" s="5"/>
      <c r="AF129" s="5" t="s">
        <v>360</v>
      </c>
      <c r="AG129" s="2" t="str">
        <f>IF(OR(Tabla_Presupuesto[[#This Row],[ROL_JEFE_CONT_PRESU]]="*",Tabla_Presupuesto[[#This Row],[ROL_JEFE_CONT_PRSU_HOSPI]]="*"),"*","")</f>
        <v>*</v>
      </c>
    </row>
    <row r="130" spans="1:33" x14ac:dyDescent="0.5">
      <c r="A130" s="5">
        <f>MAX(Tabla_Contabilidad[Id])</f>
        <v>210</v>
      </c>
      <c r="B130" s="2">
        <v>338</v>
      </c>
      <c r="C130" s="5">
        <f>IF(Tabla_Presupuesto[[#This Row],[id_padre]]="",0,_xlfn.XLOOKUP(Tabla_Presupuesto[[#This Row],[id_padre]],Tabla_Presupuesto[Id],Tabla_Presupuesto[Nivel],0,0,1)+1)</f>
        <v>3</v>
      </c>
      <c r="D130" s="2" t="s">
        <v>311</v>
      </c>
      <c r="E130" s="2">
        <f>IF(Tabla_Presupuesto[[#This Row],[Id_anterior]]=1,ROW()-1,SUM(ROW()-1,Tabla_Presupuesto[[#This Row],[Id_anterior]]))</f>
        <v>339</v>
      </c>
      <c r="F13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PRESUPUESTO_INFORMES_LISTADO_COMPROMISOS_PENDIENTES_PRESUPUESTARIO_MENSUAL</v>
      </c>
      <c r="G130" s="2" t="str">
        <f>CLEAN(PROPER(Tabla_Presupuesto[[#This Row],[Nombre Opción]]))</f>
        <v>Presupuestario Mensual</v>
      </c>
      <c r="H130" s="2" t="s">
        <v>1735</v>
      </c>
      <c r="I130" s="2" t="str">
        <f>_xlfn.XLOOKUP(Tabla_Presupuesto[[#This Row],[id_padre]],Tabla_Presupuesto[Id],Tabla_Presupuesto[Codigo_Tecnico],"",0,1)</f>
        <v>PRESUPUESTO_INFORMES_LISTADO_COMPROMISOS_PENDIENTES</v>
      </c>
      <c r="J13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/presupuesto/informes/listado-compromisos-pendientes/presupuestario-mensual</v>
      </c>
      <c r="K13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presupuestario-mensual</v>
      </c>
      <c r="L130" s="2" t="s">
        <v>1395</v>
      </c>
      <c r="M130" s="2" t="s">
        <v>1792</v>
      </c>
      <c r="N130" s="4"/>
      <c r="O130" s="4"/>
      <c r="P130" s="4" t="s">
        <v>360</v>
      </c>
      <c r="Q130" s="4" t="s">
        <v>360</v>
      </c>
      <c r="R130" s="4" t="s">
        <v>360</v>
      </c>
      <c r="S130" s="4" t="s">
        <v>360</v>
      </c>
      <c r="T130" s="4" t="s">
        <v>360</v>
      </c>
      <c r="U130" s="4" t="s">
        <v>360</v>
      </c>
      <c r="V130" s="4" t="s">
        <v>360</v>
      </c>
      <c r="W130" s="4" t="s">
        <v>360</v>
      </c>
      <c r="X130" s="4" t="s">
        <v>360</v>
      </c>
      <c r="Y130" s="4" t="s">
        <v>360</v>
      </c>
      <c r="Z130" s="4" t="s">
        <v>360</v>
      </c>
      <c r="AA130" s="4" t="s">
        <v>360</v>
      </c>
      <c r="AB130" s="4" t="s">
        <v>360</v>
      </c>
      <c r="AC130" s="5"/>
      <c r="AD130" s="5"/>
      <c r="AE130" s="5"/>
      <c r="AF130" s="5" t="s">
        <v>360</v>
      </c>
      <c r="AG130" s="2" t="str">
        <f>IF(OR(Tabla_Presupuesto[[#This Row],[ROL_JEFE_CONT_PRESU]]="*",Tabla_Presupuesto[[#This Row],[ROL_JEFE_CONT_PRSU_HOSPI]]="*"),"*","")</f>
        <v>*</v>
      </c>
    </row>
    <row r="131" spans="1:33" x14ac:dyDescent="0.5">
      <c r="A131" s="5">
        <f>MAX(Tabla_Contabilidad[Id])</f>
        <v>210</v>
      </c>
      <c r="B131" s="2">
        <v>338</v>
      </c>
      <c r="C131" s="5">
        <f>IF(Tabla_Presupuesto[[#This Row],[id_padre]]="",0,_xlfn.XLOOKUP(Tabla_Presupuesto[[#This Row],[id_padre]],Tabla_Presupuesto[Id],Tabla_Presupuesto[Nivel],0,0,1)+1)</f>
        <v>3</v>
      </c>
      <c r="D131" s="2" t="s">
        <v>312</v>
      </c>
      <c r="E131" s="2">
        <f>IF(Tabla_Presupuesto[[#This Row],[Id_anterior]]=1,ROW()-1,SUM(ROW()-1,Tabla_Presupuesto[[#This Row],[Id_anterior]]))</f>
        <v>340</v>
      </c>
      <c r="F13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PRESUPUESTO_INFORMES_LISTADO_COMPROMISOS_PENDIENTES_PRESUPUESTARIO_ACUMULADO</v>
      </c>
      <c r="G131" s="2" t="str">
        <f>CLEAN(PROPER(Tabla_Presupuesto[[#This Row],[Nombre Opción]]))</f>
        <v>Presupuestario Acumulado</v>
      </c>
      <c r="H131" s="2" t="s">
        <v>1735</v>
      </c>
      <c r="I131" s="2" t="str">
        <f>_xlfn.XLOOKUP(Tabla_Presupuesto[[#This Row],[id_padre]],Tabla_Presupuesto[Id],Tabla_Presupuesto[Codigo_Tecnico],"",0,1)</f>
        <v>PRESUPUESTO_INFORMES_LISTADO_COMPROMISOS_PENDIENTES</v>
      </c>
      <c r="J13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/presupuesto/informes/listado-compromisos-pendientes/presupuestario-acumulado</v>
      </c>
      <c r="K13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presupuestario-acumulado</v>
      </c>
      <c r="L131" s="2" t="s">
        <v>1472</v>
      </c>
      <c r="M131" s="2" t="s">
        <v>1792</v>
      </c>
      <c r="N131" s="4"/>
      <c r="O131" s="4"/>
      <c r="P131" s="4" t="s">
        <v>360</v>
      </c>
      <c r="Q131" s="4" t="s">
        <v>360</v>
      </c>
      <c r="R131" s="4" t="s">
        <v>360</v>
      </c>
      <c r="S131" s="4" t="s">
        <v>360</v>
      </c>
      <c r="T131" s="4" t="s">
        <v>360</v>
      </c>
      <c r="U131" s="4" t="s">
        <v>360</v>
      </c>
      <c r="V131" s="4" t="s">
        <v>360</v>
      </c>
      <c r="W131" s="4" t="s">
        <v>360</v>
      </c>
      <c r="X131" s="4" t="s">
        <v>360</v>
      </c>
      <c r="Y131" s="4" t="s">
        <v>360</v>
      </c>
      <c r="Z131" s="4" t="s">
        <v>360</v>
      </c>
      <c r="AA131" s="4" t="s">
        <v>360</v>
      </c>
      <c r="AB131" s="4" t="s">
        <v>360</v>
      </c>
      <c r="AC131" s="5"/>
      <c r="AD131" s="5"/>
      <c r="AE131" s="5"/>
      <c r="AF131" s="5" t="s">
        <v>360</v>
      </c>
      <c r="AG131" s="2" t="str">
        <f>IF(OR(Tabla_Presupuesto[[#This Row],[ROL_JEFE_CONT_PRESU]]="*",Tabla_Presupuesto[[#This Row],[ROL_JEFE_CONT_PRSU_HOSPI]]="*"),"*","")</f>
        <v>*</v>
      </c>
    </row>
    <row r="132" spans="1:33" x14ac:dyDescent="0.5">
      <c r="A132" s="5">
        <f>MAX(Tabla_Contabilidad[Id])</f>
        <v>210</v>
      </c>
      <c r="B132" s="2">
        <v>338</v>
      </c>
      <c r="C132" s="5">
        <f>IF(Tabla_Presupuesto[[#This Row],[id_padre]]="",0,_xlfn.XLOOKUP(Tabla_Presupuesto[[#This Row],[id_padre]],Tabla_Presupuesto[Id],Tabla_Presupuesto[Nivel],0,0,1)+1)</f>
        <v>3</v>
      </c>
      <c r="D132" s="2" t="s">
        <v>313</v>
      </c>
      <c r="E132" s="2">
        <f>IF(Tabla_Presupuesto[[#This Row],[Id_anterior]]=1,ROW()-1,SUM(ROW()-1,Tabla_Presupuesto[[#This Row],[Id_anterior]]))</f>
        <v>341</v>
      </c>
      <c r="F13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PRESUPUESTO_INFORMES_LISTADO_COMPROMISOS_PENDIENTES_NO_PRESUPUESTARIO_MENSUAL</v>
      </c>
      <c r="G132" s="2" t="str">
        <f>CLEAN(PROPER(Tabla_Presupuesto[[#This Row],[Nombre Opción]]))</f>
        <v>No Presupuestario Mensual</v>
      </c>
      <c r="H132" s="2" t="s">
        <v>1735</v>
      </c>
      <c r="I132" s="2" t="str">
        <f>_xlfn.XLOOKUP(Tabla_Presupuesto[[#This Row],[id_padre]],Tabla_Presupuesto[Id],Tabla_Presupuesto[Codigo_Tecnico],"",0,1)</f>
        <v>PRESUPUESTO_INFORMES_LISTADO_COMPROMISOS_PENDIENTES</v>
      </c>
      <c r="J13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/presupuesto/informes/listado-compromisos-pendientes/no-presupuestario-mensual</v>
      </c>
      <c r="K13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no-presupuestario-mensual</v>
      </c>
      <c r="L132" s="2" t="s">
        <v>1499</v>
      </c>
      <c r="M132" s="2" t="s">
        <v>1792</v>
      </c>
      <c r="N132" s="4"/>
      <c r="O132" s="4"/>
      <c r="P132" s="4" t="s">
        <v>360</v>
      </c>
      <c r="Q132" s="4" t="s">
        <v>360</v>
      </c>
      <c r="R132" s="4" t="s">
        <v>360</v>
      </c>
      <c r="S132" s="4" t="s">
        <v>360</v>
      </c>
      <c r="T132" s="4" t="s">
        <v>360</v>
      </c>
      <c r="U132" s="4" t="s">
        <v>360</v>
      </c>
      <c r="V132" s="4" t="s">
        <v>360</v>
      </c>
      <c r="W132" s="4" t="s">
        <v>360</v>
      </c>
      <c r="X132" s="4" t="s">
        <v>360</v>
      </c>
      <c r="Y132" s="4" t="s">
        <v>360</v>
      </c>
      <c r="Z132" s="4" t="s">
        <v>360</v>
      </c>
      <c r="AA132" s="4" t="s">
        <v>360</v>
      </c>
      <c r="AB132" s="4" t="s">
        <v>360</v>
      </c>
      <c r="AC132" s="5"/>
      <c r="AD132" s="5"/>
      <c r="AE132" s="5"/>
      <c r="AF132" s="5" t="s">
        <v>360</v>
      </c>
      <c r="AG132" s="2" t="str">
        <f>IF(OR(Tabla_Presupuesto[[#This Row],[ROL_JEFE_CONT_PRESU]]="*",Tabla_Presupuesto[[#This Row],[ROL_JEFE_CONT_PRSU_HOSPI]]="*"),"*","")</f>
        <v>*</v>
      </c>
    </row>
    <row r="133" spans="1:33" x14ac:dyDescent="0.5">
      <c r="A133" s="5">
        <f>MAX(Tabla_Contabilidad[Id])</f>
        <v>210</v>
      </c>
      <c r="B133" s="2">
        <v>338</v>
      </c>
      <c r="C133" s="5">
        <f>IF(Tabla_Presupuesto[[#This Row],[id_padre]]="",0,_xlfn.XLOOKUP(Tabla_Presupuesto[[#This Row],[id_padre]],Tabla_Presupuesto[Id],Tabla_Presupuesto[Nivel],0,0,1)+1)</f>
        <v>3</v>
      </c>
      <c r="D133" s="2" t="s">
        <v>314</v>
      </c>
      <c r="E133" s="2">
        <f>IF(Tabla_Presupuesto[[#This Row],[Id_anterior]]=1,ROW()-1,SUM(ROW()-1,Tabla_Presupuesto[[#This Row],[Id_anterior]]))</f>
        <v>342</v>
      </c>
      <c r="F13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PRESUPUESTO_INFORMES_LISTADO_COMPROMISOS_PENDIENTES_NO_PRESUPUESTARIO_ACUMULADO</v>
      </c>
      <c r="G133" s="2" t="str">
        <f>CLEAN(PROPER(Tabla_Presupuesto[[#This Row],[Nombre Opción]]))</f>
        <v>No Presupuestario Acumulado</v>
      </c>
      <c r="H133" s="2" t="s">
        <v>1735</v>
      </c>
      <c r="I133" s="2" t="str">
        <f>_xlfn.XLOOKUP(Tabla_Presupuesto[[#This Row],[id_padre]],Tabla_Presupuesto[Id],Tabla_Presupuesto[Codigo_Tecnico],"",0,1)</f>
        <v>PRESUPUESTO_INFORMES_LISTADO_COMPROMISOS_PENDIENTES</v>
      </c>
      <c r="J13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/presupuesto/informes/listado-compromisos-pendientes/no-presupuestario-acumulado</v>
      </c>
      <c r="K13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no-presupuestario-acumulado</v>
      </c>
      <c r="L133" s="2" t="s">
        <v>1500</v>
      </c>
      <c r="M133" s="2" t="s">
        <v>1792</v>
      </c>
      <c r="N133" s="4"/>
      <c r="O133" s="4"/>
      <c r="P133" s="4" t="s">
        <v>360</v>
      </c>
      <c r="Q133" s="4" t="s">
        <v>360</v>
      </c>
      <c r="R133" s="4" t="s">
        <v>360</v>
      </c>
      <c r="S133" s="4" t="s">
        <v>360</v>
      </c>
      <c r="T133" s="4" t="s">
        <v>360</v>
      </c>
      <c r="U133" s="4" t="s">
        <v>360</v>
      </c>
      <c r="V133" s="4" t="s">
        <v>360</v>
      </c>
      <c r="W133" s="4" t="s">
        <v>360</v>
      </c>
      <c r="X133" s="4" t="s">
        <v>360</v>
      </c>
      <c r="Y133" s="4" t="s">
        <v>360</v>
      </c>
      <c r="Z133" s="4" t="s">
        <v>360</v>
      </c>
      <c r="AA133" s="4" t="s">
        <v>360</v>
      </c>
      <c r="AB133" s="4" t="s">
        <v>360</v>
      </c>
      <c r="AC133" s="5"/>
      <c r="AD133" s="5"/>
      <c r="AE133" s="5"/>
      <c r="AF133" s="5" t="s">
        <v>360</v>
      </c>
      <c r="AG133" s="2" t="str">
        <f>IF(OR(Tabla_Presupuesto[[#This Row],[ROL_JEFE_CONT_PRESU]]="*",Tabla_Presupuesto[[#This Row],[ROL_JEFE_CONT_PRSU_HOSPI]]="*"),"*","")</f>
        <v>*</v>
      </c>
    </row>
    <row r="134" spans="1:33" x14ac:dyDescent="0.5">
      <c r="A134" s="5">
        <f>MAX(Tabla_Contabilidad[Id])</f>
        <v>210</v>
      </c>
      <c r="B134" s="2">
        <v>338</v>
      </c>
      <c r="C134" s="5">
        <f>IF(Tabla_Presupuesto[[#This Row],[id_padre]]="",0,_xlfn.XLOOKUP(Tabla_Presupuesto[[#This Row],[id_padre]],Tabla_Presupuesto[Id],Tabla_Presupuesto[Nivel],0,0,1)+1)</f>
        <v>3</v>
      </c>
      <c r="D134" s="2" t="s">
        <v>315</v>
      </c>
      <c r="E134" s="2">
        <f>IF(Tabla_Presupuesto[[#This Row],[Id_anterior]]=1,ROW()-1,SUM(ROW()-1,Tabla_Presupuesto[[#This Row],[Id_anterior]]))</f>
        <v>343</v>
      </c>
      <c r="F13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PRESUPUESTO_INFORMES_LISTADO_COMPROMISOS_PENDIENTES_CIRCULAZACION_DEUDAS</v>
      </c>
      <c r="G134" s="2" t="str">
        <f>CLEAN(PROPER(Tabla_Presupuesto[[#This Row],[Nombre Opción]]))</f>
        <v>Circulazacion De Deudas</v>
      </c>
      <c r="H134" s="2" t="s">
        <v>1735</v>
      </c>
      <c r="I134" s="2" t="str">
        <f>_xlfn.XLOOKUP(Tabla_Presupuesto[[#This Row],[id_padre]],Tabla_Presupuesto[Id],Tabla_Presupuesto[Codigo_Tecnico],"",0,1)</f>
        <v>PRESUPUESTO_INFORMES_LISTADO_COMPROMISOS_PENDIENTES</v>
      </c>
      <c r="J13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/presupuesto/informes/listado-compromisos-pendientes/circulazacion-deudas</v>
      </c>
      <c r="K13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circulazacion-deudas</v>
      </c>
      <c r="L134" s="2" t="s">
        <v>1463</v>
      </c>
      <c r="M134" s="2" t="s">
        <v>1792</v>
      </c>
      <c r="N134" s="4"/>
      <c r="O134" s="4"/>
      <c r="P134" s="4" t="s">
        <v>360</v>
      </c>
      <c r="Q134" s="4" t="s">
        <v>360</v>
      </c>
      <c r="R134" s="4" t="s">
        <v>360</v>
      </c>
      <c r="S134" s="4" t="s">
        <v>360</v>
      </c>
      <c r="T134" s="4" t="s">
        <v>360</v>
      </c>
      <c r="U134" s="4" t="s">
        <v>360</v>
      </c>
      <c r="V134" s="4" t="s">
        <v>360</v>
      </c>
      <c r="W134" s="4" t="s">
        <v>360</v>
      </c>
      <c r="X134" s="4" t="s">
        <v>360</v>
      </c>
      <c r="Y134" s="4" t="s">
        <v>360</v>
      </c>
      <c r="AA134" s="4" t="s">
        <v>360</v>
      </c>
      <c r="AB134" s="4" t="s">
        <v>360</v>
      </c>
      <c r="AC134" s="5"/>
      <c r="AD134" s="5"/>
      <c r="AE134" s="5"/>
      <c r="AF134" s="5" t="s">
        <v>360</v>
      </c>
      <c r="AG134" s="2" t="str">
        <f>IF(OR(Tabla_Presupuesto[[#This Row],[ROL_JEFE_CONT_PRESU]]="*",Tabla_Presupuesto[[#This Row],[ROL_JEFE_CONT_PRSU_HOSPI]]="*"),"*","")</f>
        <v>*</v>
      </c>
    </row>
    <row r="135" spans="1:33" x14ac:dyDescent="0.5">
      <c r="A135" s="5">
        <f>MAX(Tabla_Contabilidad[Id])</f>
        <v>210</v>
      </c>
      <c r="B135" s="2">
        <v>338</v>
      </c>
      <c r="C135" s="5">
        <f>IF(Tabla_Presupuesto[[#This Row],[id_padre]]="",0,_xlfn.XLOOKUP(Tabla_Presupuesto[[#This Row],[id_padre]],Tabla_Presupuesto[Id],Tabla_Presupuesto[Nivel],0,0,1)+1)</f>
        <v>3</v>
      </c>
      <c r="D135" s="2" t="s">
        <v>154</v>
      </c>
      <c r="E135" s="2">
        <f>IF(Tabla_Presupuesto[[#This Row],[Id_anterior]]=1,ROW()-1,SUM(ROW()-1,Tabla_Presupuesto[[#This Row],[Id_anterior]]))</f>
        <v>344</v>
      </c>
      <c r="F13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PRESUPUESTO_INFORMES_LISTADO_COMPROMISOS_PENDIENTES_PAGO_PROVEEDORES</v>
      </c>
      <c r="G135" s="2" t="str">
        <f>CLEAN(PROPER(Tabla_Presupuesto[[#This Row],[Nombre Opción]]))</f>
        <v>Pago A Proveedores</v>
      </c>
      <c r="H135" s="2" t="s">
        <v>1735</v>
      </c>
      <c r="I135" s="2" t="str">
        <f>_xlfn.XLOOKUP(Tabla_Presupuesto[[#This Row],[id_padre]],Tabla_Presupuesto[Id],Tabla_Presupuesto[Codigo_Tecnico],"",0,1)</f>
        <v>PRESUPUESTO_INFORMES_LISTADO_COMPROMISOS_PENDIENTES</v>
      </c>
      <c r="J13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/presupuesto/informes/listado-compromisos-pendientes/pago-proveedores</v>
      </c>
      <c r="K13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pago-proveedores</v>
      </c>
      <c r="L135" s="2" t="s">
        <v>1488</v>
      </c>
      <c r="M135" s="2" t="s">
        <v>1792</v>
      </c>
      <c r="N135" s="4"/>
      <c r="O135" s="4"/>
      <c r="P135" s="4" t="s">
        <v>360</v>
      </c>
      <c r="Q135" s="4" t="s">
        <v>360</v>
      </c>
      <c r="R135" s="4" t="s">
        <v>360</v>
      </c>
      <c r="S135" s="4" t="s">
        <v>360</v>
      </c>
      <c r="T135" s="4" t="s">
        <v>360</v>
      </c>
      <c r="U135" s="4" t="s">
        <v>360</v>
      </c>
      <c r="V135" s="4" t="s">
        <v>360</v>
      </c>
      <c r="W135" s="4" t="s">
        <v>360</v>
      </c>
      <c r="X135" s="4" t="s">
        <v>360</v>
      </c>
      <c r="Y135" s="4" t="s">
        <v>360</v>
      </c>
      <c r="AA135" s="4" t="s">
        <v>360</v>
      </c>
      <c r="AB135" s="4" t="s">
        <v>360</v>
      </c>
      <c r="AC135" s="5"/>
      <c r="AD135" s="5"/>
      <c r="AE135" s="5"/>
      <c r="AF135" s="5" t="s">
        <v>360</v>
      </c>
      <c r="AG135" s="2" t="str">
        <f>IF(OR(Tabla_Presupuesto[[#This Row],[ROL_JEFE_CONT_PRESU]]="*",Tabla_Presupuesto[[#This Row],[ROL_JEFE_CONT_PRSU_HOSPI]]="*"),"*","")</f>
        <v>*</v>
      </c>
    </row>
    <row r="136" spans="1:33" x14ac:dyDescent="0.5">
      <c r="A136" s="5">
        <f>MAX(Tabla_Contabilidad[Id])</f>
        <v>210</v>
      </c>
      <c r="B136" s="2">
        <v>338</v>
      </c>
      <c r="C136" s="5">
        <f>IF(Tabla_Presupuesto[[#This Row],[id_padre]]="",0,_xlfn.XLOOKUP(Tabla_Presupuesto[[#This Row],[id_padre]],Tabla_Presupuesto[Id],Tabla_Presupuesto[Nivel],0,0,1)+1)</f>
        <v>3</v>
      </c>
      <c r="D136" s="2" t="s">
        <v>316</v>
      </c>
      <c r="E136" s="2">
        <f>IF(Tabla_Presupuesto[[#This Row],[Id_anterior]]=1,ROW()-1,SUM(ROW()-1,Tabla_Presupuesto[[#This Row],[Id_anterior]]))</f>
        <v>345</v>
      </c>
      <c r="F13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PRESUPUESTO_INFORMES_LISTADO_COMPROMISOS_PENDIENTES_CARTOLA_POR_PROVEEDOR</v>
      </c>
      <c r="G136" s="2" t="str">
        <f>CLEAN(PROPER(Tabla_Presupuesto[[#This Row],[Nombre Opción]]))</f>
        <v>Cartola Por Proveedor</v>
      </c>
      <c r="H136" s="2" t="s">
        <v>1735</v>
      </c>
      <c r="I136" s="2" t="str">
        <f>_xlfn.XLOOKUP(Tabla_Presupuesto[[#This Row],[id_padre]],Tabla_Presupuesto[Id],Tabla_Presupuesto[Codigo_Tecnico],"",0,1)</f>
        <v>PRESUPUESTO_INFORMES_LISTADO_COMPROMISOS_PENDIENTES</v>
      </c>
      <c r="J13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/presupuesto/informes/listado-compromisos-pendientes/cartola-por-proveedor</v>
      </c>
      <c r="K13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cartola-por-proveedor</v>
      </c>
      <c r="L136" s="2" t="s">
        <v>1463</v>
      </c>
      <c r="M136" s="2" t="s">
        <v>1792</v>
      </c>
      <c r="N136" s="4"/>
      <c r="O136" s="4"/>
      <c r="P136" s="4" t="s">
        <v>360</v>
      </c>
      <c r="Q136" s="4" t="s">
        <v>360</v>
      </c>
      <c r="R136" s="4" t="s">
        <v>360</v>
      </c>
      <c r="S136" s="4" t="s">
        <v>360</v>
      </c>
      <c r="T136" s="4" t="s">
        <v>360</v>
      </c>
      <c r="U136" s="4" t="s">
        <v>360</v>
      </c>
      <c r="V136" s="4" t="s">
        <v>360</v>
      </c>
      <c r="W136" s="4" t="s">
        <v>360</v>
      </c>
      <c r="X136" s="4" t="s">
        <v>360</v>
      </c>
      <c r="Y136" s="4" t="s">
        <v>360</v>
      </c>
      <c r="AA136" s="4" t="s">
        <v>360</v>
      </c>
      <c r="AB136" s="4" t="s">
        <v>360</v>
      </c>
      <c r="AC136" s="5"/>
      <c r="AD136" s="5"/>
      <c r="AE136" s="5"/>
      <c r="AF136" s="5" t="s">
        <v>360</v>
      </c>
      <c r="AG136" s="2" t="str">
        <f>IF(OR(Tabla_Presupuesto[[#This Row],[ROL_JEFE_CONT_PRESU]]="*",Tabla_Presupuesto[[#This Row],[ROL_JEFE_CONT_PRSU_HOSPI]]="*"),"*","")</f>
        <v>*</v>
      </c>
    </row>
    <row r="137" spans="1:33" hidden="1" x14ac:dyDescent="0.5">
      <c r="A137" s="5">
        <f>MAX(Tabla_Contabilidad[Id])</f>
        <v>210</v>
      </c>
      <c r="B137" s="2">
        <v>215</v>
      </c>
      <c r="C137" s="5">
        <f>IF(Tabla_Presupuesto[[#This Row],[id_padre]]="",0,_xlfn.XLOOKUP(Tabla_Presupuesto[[#This Row],[id_padre]],Tabla_Presupuesto[Id],Tabla_Presupuesto[Nivel],0,0,1)+1)</f>
        <v>2</v>
      </c>
      <c r="D137" s="2" t="s">
        <v>317</v>
      </c>
      <c r="E137" s="2">
        <f>IF(Tabla_Presupuesto[[#This Row],[Id_anterior]]=1,ROW()-1,SUM(ROW()-1,Tabla_Presupuesto[[#This Row],[Id_anterior]]))</f>
        <v>346</v>
      </c>
      <c r="F13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PRESUPUESTO_INFORMES_PORTAL_INSTITUCIONAL</v>
      </c>
      <c r="G137" s="2" t="str">
        <f>CLEAN(PROPER(Tabla_Presupuesto[[#This Row],[Nombre Opción]]))</f>
        <v>Portal Institucional</v>
      </c>
      <c r="H137" s="2" t="s">
        <v>1735</v>
      </c>
      <c r="I137" s="2" t="str">
        <f>_xlfn.XLOOKUP(Tabla_Presupuesto[[#This Row],[id_padre]],Tabla_Presupuesto[Id],Tabla_Presupuesto[Codigo_Tecnico],"",0,1)</f>
        <v>PRESUPUESTO_INFORMES</v>
      </c>
      <c r="J13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/presupuesto/informes/portal-institucional</v>
      </c>
      <c r="K13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portal-institucional</v>
      </c>
      <c r="L137" s="2" t="s">
        <v>1488</v>
      </c>
      <c r="M137" s="2" t="s">
        <v>1792</v>
      </c>
      <c r="N137" s="4"/>
      <c r="O137" s="4"/>
      <c r="P137" s="4" t="s">
        <v>360</v>
      </c>
      <c r="Q137" s="4"/>
      <c r="AB137" s="5"/>
      <c r="AC137" s="5"/>
      <c r="AD137" s="5"/>
      <c r="AE137" s="5"/>
      <c r="AF137" s="5" t="s">
        <v>360</v>
      </c>
      <c r="AG137" s="2" t="str">
        <f>IF(OR(Tabla_Presupuesto[[#This Row],[ROL_JEFE_CONT_PRESU]]="*",Tabla_Presupuesto[[#This Row],[ROL_JEFE_CONT_PRSU_HOSPI]]="*"),"*","")</f>
        <v/>
      </c>
    </row>
    <row r="138" spans="1:33" hidden="1" x14ac:dyDescent="0.5">
      <c r="A138" s="5">
        <f>MAX(Tabla_Contabilidad[Id])</f>
        <v>210</v>
      </c>
      <c r="B138" s="2">
        <v>346</v>
      </c>
      <c r="C138" s="5">
        <f>IF(Tabla_Presupuesto[[#This Row],[id_padre]]="",0,_xlfn.XLOOKUP(Tabla_Presupuesto[[#This Row],[id_padre]],Tabla_Presupuesto[Id],Tabla_Presupuesto[Nivel],0,0,1)+1)</f>
        <v>3</v>
      </c>
      <c r="D138" s="2" t="s">
        <v>318</v>
      </c>
      <c r="E138" s="2">
        <f>IF(Tabla_Presupuesto[[#This Row],[Id_anterior]]=1,ROW()-1,SUM(ROW()-1,Tabla_Presupuesto[[#This Row],[Id_anterior]]))</f>
        <v>347</v>
      </c>
      <c r="F13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PRESUPUESTO_INFORMES_PORTAL_INSTITUCIONAL_EJEC_PPTARIAS_ACUMULADAS</v>
      </c>
      <c r="G138" s="2" t="str">
        <f>CLEAN(PROPER(Tabla_Presupuesto[[#This Row],[Nombre Opción]]))</f>
        <v>Ejec. Pptarias Acumuladas</v>
      </c>
      <c r="H138" s="2" t="s">
        <v>1735</v>
      </c>
      <c r="I138" s="2" t="str">
        <f>_xlfn.XLOOKUP(Tabla_Presupuesto[[#This Row],[id_padre]],Tabla_Presupuesto[Id],Tabla_Presupuesto[Codigo_Tecnico],"",0,1)</f>
        <v>PRESUPUESTO_INFORMES_PORTAL_INSTITUCIONAL</v>
      </c>
      <c r="J13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/presupuesto/informes/portal-institucional/ejec-pptarias-acumuladas</v>
      </c>
      <c r="K13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ejec-pptarias-acumuladas</v>
      </c>
      <c r="L138" s="2" t="s">
        <v>1368</v>
      </c>
      <c r="M138" s="2" t="s">
        <v>1792</v>
      </c>
      <c r="N138" s="4"/>
      <c r="O138" s="4"/>
      <c r="P138" s="4" t="s">
        <v>360</v>
      </c>
      <c r="Q138" s="4"/>
      <c r="AB138" s="5"/>
      <c r="AC138" s="5"/>
      <c r="AD138" s="5"/>
      <c r="AE138" s="5"/>
      <c r="AF138" s="5" t="s">
        <v>360</v>
      </c>
      <c r="AG138" s="2" t="str">
        <f>IF(OR(Tabla_Presupuesto[[#This Row],[ROL_JEFE_CONT_PRESU]]="*",Tabla_Presupuesto[[#This Row],[ROL_JEFE_CONT_PRSU_HOSPI]]="*"),"*","")</f>
        <v/>
      </c>
    </row>
    <row r="139" spans="1:33" hidden="1" x14ac:dyDescent="0.5">
      <c r="A139" s="5">
        <f>MAX(Tabla_Contabilidad[Id])</f>
        <v>210</v>
      </c>
      <c r="B139" s="2">
        <v>347</v>
      </c>
      <c r="C139" s="5">
        <f>IF(Tabla_Presupuesto[[#This Row],[id_padre]]="",0,_xlfn.XLOOKUP(Tabla_Presupuesto[[#This Row],[id_padre]],Tabla_Presupuesto[Id],Tabla_Presupuesto[Nivel],0,0,1)+1)</f>
        <v>4</v>
      </c>
      <c r="D139" s="2" t="s">
        <v>320</v>
      </c>
      <c r="E139" s="2">
        <f>IF(Tabla_Presupuesto[[#This Row],[Id_anterior]]=1,ROW()-1,SUM(ROW()-1,Tabla_Presupuesto[[#This Row],[Id_anterior]]))</f>
        <v>348</v>
      </c>
      <c r="F13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PRESUPUESTO_INFORMES_PORTAL_INSTITUCIONAL_EJEC_PPTARIAS_ACUMULADAS_FACH</v>
      </c>
      <c r="G139" s="2" t="str">
        <f>CLEAN(PROPER(Tabla_Presupuesto[[#This Row],[Nombre Opción]]))</f>
        <v>Fach</v>
      </c>
      <c r="H139" s="2" t="s">
        <v>1735</v>
      </c>
      <c r="I139" s="2" t="str">
        <f>_xlfn.XLOOKUP(Tabla_Presupuesto[[#This Row],[id_padre]],Tabla_Presupuesto[Id],Tabla_Presupuesto[Codigo_Tecnico],"",0,1)</f>
        <v>PRESUPUESTO_INFORMES_PORTAL_INSTITUCIONAL_EJEC_PPTARIAS_ACUMULADAS</v>
      </c>
      <c r="J13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/presupuesto/informes/portal-institucional/ejec-pptarias-acumuladas/fach</v>
      </c>
      <c r="K13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fach</v>
      </c>
      <c r="L139" s="2" t="s">
        <v>1390</v>
      </c>
      <c r="M139" s="2" t="s">
        <v>1792</v>
      </c>
      <c r="N139" s="4"/>
      <c r="O139" s="4"/>
      <c r="P139" s="4" t="s">
        <v>360</v>
      </c>
      <c r="Q139" s="4"/>
      <c r="AB139" s="5"/>
      <c r="AC139" s="5"/>
      <c r="AD139" s="5"/>
      <c r="AE139" s="5"/>
      <c r="AF139" s="5" t="s">
        <v>360</v>
      </c>
      <c r="AG139" s="2" t="str">
        <f>IF(OR(Tabla_Presupuesto[[#This Row],[ROL_JEFE_CONT_PRESU]]="*",Tabla_Presupuesto[[#This Row],[ROL_JEFE_CONT_PRSU_HOSPI]]="*"),"*","")</f>
        <v/>
      </c>
    </row>
    <row r="140" spans="1:33" hidden="1" x14ac:dyDescent="0.5">
      <c r="A140" s="5">
        <f>MAX(Tabla_Contabilidad[Id])</f>
        <v>210</v>
      </c>
      <c r="B140" s="2">
        <v>347</v>
      </c>
      <c r="C140" s="5">
        <f>IF(Tabla_Presupuesto[[#This Row],[id_padre]]="",0,_xlfn.XLOOKUP(Tabla_Presupuesto[[#This Row],[id_padre]],Tabla_Presupuesto[Id],Tabla_Presupuesto[Nivel],0,0,1)+1)</f>
        <v>4</v>
      </c>
      <c r="D140" s="2" t="s">
        <v>321</v>
      </c>
      <c r="E140" s="2">
        <f>IF(Tabla_Presupuesto[[#This Row],[Id_anterior]]=1,ROW()-1,SUM(ROW()-1,Tabla_Presupuesto[[#This Row],[Id_anterior]]))</f>
        <v>349</v>
      </c>
      <c r="F14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PRESUPUESTO_INFORMES_PORTAL_INSTITUCIONAL_EJEC_PPTARIAS_ACUMULADAS_OTROS_ORGANISMOS</v>
      </c>
      <c r="G140" s="2" t="str">
        <f>CLEAN(PROPER(Tabla_Presupuesto[[#This Row],[Nombre Opción]]))</f>
        <v>Otros Organismos</v>
      </c>
      <c r="H140" s="2" t="s">
        <v>1735</v>
      </c>
      <c r="I140" s="2" t="str">
        <f>_xlfn.XLOOKUP(Tabla_Presupuesto[[#This Row],[id_padre]],Tabla_Presupuesto[Id],Tabla_Presupuesto[Codigo_Tecnico],"",0,1)</f>
        <v>PRESUPUESTO_INFORMES_PORTAL_INSTITUCIONAL_EJEC_PPTARIAS_ACUMULADAS</v>
      </c>
      <c r="J14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/presupuesto/informes/portal-institucional/ejec-pptarias-acumuladas/otros-organismos</v>
      </c>
      <c r="K14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otros-organismos</v>
      </c>
      <c r="L140" s="2" t="s">
        <v>1501</v>
      </c>
      <c r="M140" s="2" t="s">
        <v>1792</v>
      </c>
      <c r="N140" s="4"/>
      <c r="O140" s="4"/>
      <c r="P140" s="4" t="s">
        <v>360</v>
      </c>
      <c r="Q140" s="4"/>
      <c r="AB140" s="5"/>
      <c r="AC140" s="5"/>
      <c r="AD140" s="5"/>
      <c r="AE140" s="5"/>
      <c r="AF140" s="5" t="s">
        <v>360</v>
      </c>
      <c r="AG140" s="2" t="str">
        <f>IF(OR(Tabla_Presupuesto[[#This Row],[ROL_JEFE_CONT_PRESU]]="*",Tabla_Presupuesto[[#This Row],[ROL_JEFE_CONT_PRSU_HOSPI]]="*"),"*","")</f>
        <v/>
      </c>
    </row>
    <row r="141" spans="1:33" hidden="1" x14ac:dyDescent="0.5">
      <c r="A141" s="5">
        <f>MAX(Tabla_Contabilidad[Id])</f>
        <v>210</v>
      </c>
      <c r="B141" s="2">
        <v>346</v>
      </c>
      <c r="C141" s="5">
        <f>IF(Tabla_Presupuesto[[#This Row],[id_padre]]="",0,_xlfn.XLOOKUP(Tabla_Presupuesto[[#This Row],[id_padre]],Tabla_Presupuesto[Id],Tabla_Presupuesto[Nivel],0,0,1)+1)</f>
        <v>3</v>
      </c>
      <c r="D141" s="2" t="s">
        <v>319</v>
      </c>
      <c r="E141" s="2">
        <f>IF(Tabla_Presupuesto[[#This Row],[Id_anterior]]=1,ROW()-1,SUM(ROW()-1,Tabla_Presupuesto[[#This Row],[Id_anterior]]))</f>
        <v>350</v>
      </c>
      <c r="F14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PRESUPUESTO_INFORMES_PORTAL_INSTITUCIONAL_EJEC_PPTARIAS_MENSUAL</v>
      </c>
      <c r="G141" s="2" t="str">
        <f>CLEAN(PROPER(Tabla_Presupuesto[[#This Row],[Nombre Opción]]))</f>
        <v>Ejec. Pptarias Mensual</v>
      </c>
      <c r="H141" s="2" t="s">
        <v>1735</v>
      </c>
      <c r="I141" s="2" t="str">
        <f>_xlfn.XLOOKUP(Tabla_Presupuesto[[#This Row],[id_padre]],Tabla_Presupuesto[Id],Tabla_Presupuesto[Codigo_Tecnico],"",0,1)</f>
        <v>PRESUPUESTO_INFORMES_PORTAL_INSTITUCIONAL</v>
      </c>
      <c r="J14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/presupuesto/informes/portal-institucional/ejec-pptarias-mensual</v>
      </c>
      <c r="K14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ejec-pptarias-mensual</v>
      </c>
      <c r="L141" s="2" t="s">
        <v>1448</v>
      </c>
      <c r="M141" s="2" t="s">
        <v>1792</v>
      </c>
      <c r="N141" s="4"/>
      <c r="O141" s="4"/>
      <c r="P141" s="4" t="s">
        <v>360</v>
      </c>
      <c r="Q141" s="4"/>
      <c r="AB141" s="5"/>
      <c r="AC141" s="5"/>
      <c r="AD141" s="5"/>
      <c r="AE141" s="5"/>
      <c r="AF141" s="5" t="s">
        <v>360</v>
      </c>
      <c r="AG141" s="2" t="str">
        <f>IF(OR(Tabla_Presupuesto[[#This Row],[ROL_JEFE_CONT_PRESU]]="*",Tabla_Presupuesto[[#This Row],[ROL_JEFE_CONT_PRSU_HOSPI]]="*"),"*","")</f>
        <v/>
      </c>
    </row>
    <row r="142" spans="1:33" hidden="1" x14ac:dyDescent="0.5">
      <c r="A142" s="5">
        <f>MAX(Tabla_Contabilidad[Id])</f>
        <v>210</v>
      </c>
      <c r="B142" s="2">
        <v>350</v>
      </c>
      <c r="C142" s="5">
        <f>IF(Tabla_Presupuesto[[#This Row],[id_padre]]="",0,_xlfn.XLOOKUP(Tabla_Presupuesto[[#This Row],[id_padre]],Tabla_Presupuesto[Id],Tabla_Presupuesto[Nivel],0,0,1)+1)</f>
        <v>4</v>
      </c>
      <c r="D142" s="2" t="s">
        <v>320</v>
      </c>
      <c r="E142" s="2">
        <f>IF(Tabla_Presupuesto[[#This Row],[Id_anterior]]=1,ROW()-1,SUM(ROW()-1,Tabla_Presupuesto[[#This Row],[Id_anterior]]))</f>
        <v>351</v>
      </c>
      <c r="F14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PRESUPUESTO_INFORMES_PORTAL_INSTITUCIONAL_EJEC_PPTARIAS_MENSUAL_FACH</v>
      </c>
      <c r="G142" s="2" t="str">
        <f>CLEAN(PROPER(Tabla_Presupuesto[[#This Row],[Nombre Opción]]))</f>
        <v>Fach</v>
      </c>
      <c r="H142" s="2" t="s">
        <v>1735</v>
      </c>
      <c r="I142" s="2" t="str">
        <f>_xlfn.XLOOKUP(Tabla_Presupuesto[[#This Row],[id_padre]],Tabla_Presupuesto[Id],Tabla_Presupuesto[Codigo_Tecnico],"",0,1)</f>
        <v>PRESUPUESTO_INFORMES_PORTAL_INSTITUCIONAL_EJEC_PPTARIAS_MENSUAL</v>
      </c>
      <c r="J14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/presupuesto/informes/portal-institucional/ejec-pptarias-mensual/fach</v>
      </c>
      <c r="K14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fach</v>
      </c>
      <c r="L142" s="2" t="s">
        <v>1390</v>
      </c>
      <c r="M142" s="2" t="s">
        <v>1792</v>
      </c>
      <c r="N142" s="4"/>
      <c r="O142" s="4"/>
      <c r="P142" s="4" t="s">
        <v>360</v>
      </c>
      <c r="Q142" s="4"/>
      <c r="AB142" s="5"/>
      <c r="AC142" s="5"/>
      <c r="AD142" s="5"/>
      <c r="AE142" s="5"/>
      <c r="AF142" s="5" t="s">
        <v>360</v>
      </c>
      <c r="AG142" s="2" t="str">
        <f>IF(OR(Tabla_Presupuesto[[#This Row],[ROL_JEFE_CONT_PRESU]]="*",Tabla_Presupuesto[[#This Row],[ROL_JEFE_CONT_PRSU_HOSPI]]="*"),"*","")</f>
        <v/>
      </c>
    </row>
    <row r="143" spans="1:33" hidden="1" x14ac:dyDescent="0.5">
      <c r="A143" s="5">
        <f>MAX(Tabla_Contabilidad[Id])</f>
        <v>210</v>
      </c>
      <c r="B143" s="2">
        <v>350</v>
      </c>
      <c r="C143" s="5">
        <f>IF(Tabla_Presupuesto[[#This Row],[id_padre]]="",0,_xlfn.XLOOKUP(Tabla_Presupuesto[[#This Row],[id_padre]],Tabla_Presupuesto[Id],Tabla_Presupuesto[Nivel],0,0,1)+1)</f>
        <v>4</v>
      </c>
      <c r="D143" s="2" t="s">
        <v>321</v>
      </c>
      <c r="E143" s="2">
        <f>IF(Tabla_Presupuesto[[#This Row],[Id_anterior]]=1,ROW()-1,SUM(ROW()-1,Tabla_Presupuesto[[#This Row],[Id_anterior]]))</f>
        <v>352</v>
      </c>
      <c r="F14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PRESUPUESTO_INFORMES_PORTAL_INSTITUCIONAL_EJEC_PPTARIAS_MENSUAL_OTROS_ORGANISMOS</v>
      </c>
      <c r="G143" s="2" t="str">
        <f>CLEAN(PROPER(Tabla_Presupuesto[[#This Row],[Nombre Opción]]))</f>
        <v>Otros Organismos</v>
      </c>
      <c r="H143" s="2" t="s">
        <v>1735</v>
      </c>
      <c r="I143" s="2" t="str">
        <f>_xlfn.XLOOKUP(Tabla_Presupuesto[[#This Row],[id_padre]],Tabla_Presupuesto[Id],Tabla_Presupuesto[Codigo_Tecnico],"",0,1)</f>
        <v>PRESUPUESTO_INFORMES_PORTAL_INSTITUCIONAL_EJEC_PPTARIAS_MENSUAL</v>
      </c>
      <c r="J14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/presupuesto/informes/portal-institucional/ejec-pptarias-mensual/otros-organismos</v>
      </c>
      <c r="K14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otros-organismos</v>
      </c>
      <c r="L143" s="2" t="s">
        <v>1501</v>
      </c>
      <c r="M143" s="2" t="s">
        <v>1792</v>
      </c>
      <c r="N143" s="4"/>
      <c r="O143" s="4"/>
      <c r="P143" s="4" t="s">
        <v>360</v>
      </c>
      <c r="Q143" s="4"/>
      <c r="AB143" s="5"/>
      <c r="AC143" s="5"/>
      <c r="AD143" s="5"/>
      <c r="AE143" s="5"/>
      <c r="AF143" s="5" t="s">
        <v>360</v>
      </c>
      <c r="AG143" s="2" t="str">
        <f>IF(OR(Tabla_Presupuesto[[#This Row],[ROL_JEFE_CONT_PRESU]]="*",Tabla_Presupuesto[[#This Row],[ROL_JEFE_CONT_PRSU_HOSPI]]="*"),"*","")</f>
        <v/>
      </c>
    </row>
    <row r="144" spans="1:33" x14ac:dyDescent="0.5">
      <c r="A144" s="5">
        <f>MAX(Tabla_Contabilidad[Id])</f>
        <v>210</v>
      </c>
      <c r="B144" s="2">
        <v>215</v>
      </c>
      <c r="C144" s="5">
        <f>IF(Tabla_Presupuesto[[#This Row],[id_padre]]="",0,_xlfn.XLOOKUP(Tabla_Presupuesto[[#This Row],[id_padre]],Tabla_Presupuesto[Id],Tabla_Presupuesto[Nivel],0,0,1)+1)</f>
        <v>2</v>
      </c>
      <c r="D144" s="2" t="s">
        <v>322</v>
      </c>
      <c r="E144" s="2">
        <f>IF(Tabla_Presupuesto[[#This Row],[Id_anterior]]=1,ROW()-1,SUM(ROW()-1,Tabla_Presupuesto[[#This Row],[Id_anterior]]))</f>
        <v>353</v>
      </c>
      <c r="F14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PRESUPUESTO_INFORMES_FORMULACION_CONSOLIDADO_INSTITUCIONAL</v>
      </c>
      <c r="G144" s="2" t="str">
        <f>CLEAN(PROPER(Tabla_Presupuesto[[#This Row],[Nombre Opción]]))</f>
        <v>Formulacion Consolidado Institucional</v>
      </c>
      <c r="H144" s="2" t="s">
        <v>1735</v>
      </c>
      <c r="I144" s="2" t="str">
        <f>_xlfn.XLOOKUP(Tabla_Presupuesto[[#This Row],[id_padre]],Tabla_Presupuesto[Id],Tabla_Presupuesto[Codigo_Tecnico],"",0,1)</f>
        <v>PRESUPUESTO_INFORMES</v>
      </c>
      <c r="J14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/presupuesto/informes/formulacion-consolidado-institucional</v>
      </c>
      <c r="K14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formulacion-consolidado-institucional</v>
      </c>
      <c r="L144" s="2" t="s">
        <v>1502</v>
      </c>
      <c r="M144" s="2" t="s">
        <v>1792</v>
      </c>
      <c r="N144" s="4"/>
      <c r="O144" s="4"/>
      <c r="P144" s="4" t="s">
        <v>360</v>
      </c>
      <c r="Q144" s="4"/>
      <c r="R144" s="4" t="s">
        <v>360</v>
      </c>
      <c r="S144" s="4" t="s">
        <v>360</v>
      </c>
      <c r="U144" s="4" t="s">
        <v>360</v>
      </c>
      <c r="AA144" s="4" t="s">
        <v>360</v>
      </c>
      <c r="AB144" s="4" t="s">
        <v>360</v>
      </c>
      <c r="AC144" s="5"/>
      <c r="AD144" s="5"/>
      <c r="AE144" s="5"/>
      <c r="AF144" s="5" t="s">
        <v>360</v>
      </c>
      <c r="AG144" s="2" t="str">
        <f>IF(OR(Tabla_Presupuesto[[#This Row],[ROL_JEFE_CONT_PRESU]]="*",Tabla_Presupuesto[[#This Row],[ROL_JEFE_CONT_PRSU_HOSPI]]="*"),"*","")</f>
        <v>*</v>
      </c>
    </row>
    <row r="145" spans="1:33" x14ac:dyDescent="0.5">
      <c r="A145" s="5">
        <f>MAX(Tabla_Contabilidad[Id])</f>
        <v>210</v>
      </c>
      <c r="B145" s="2">
        <v>353</v>
      </c>
      <c r="C145" s="5">
        <f>IF(Tabla_Presupuesto[[#This Row],[id_padre]]="",0,_xlfn.XLOOKUP(Tabla_Presupuesto[[#This Row],[id_padre]],Tabla_Presupuesto[Id],Tabla_Presupuesto[Nivel],0,0,1)+1)</f>
        <v>3</v>
      </c>
      <c r="D145" s="2" t="s">
        <v>323</v>
      </c>
      <c r="E145" s="2">
        <f>IF(Tabla_Presupuesto[[#This Row],[Id_anterior]]=1,ROW()-1,SUM(ROW()-1,Tabla_Presupuesto[[#This Row],[Id_anterior]]))</f>
        <v>354</v>
      </c>
      <c r="F14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PRESUPUESTO_INFORMES_FORMULACION_CONSOLIDADO_INSTITUCIONAL_PRESUPUESTO_POR_PROGRAMA</v>
      </c>
      <c r="G145" s="2" t="str">
        <f>CLEAN(PROPER(Tabla_Presupuesto[[#This Row],[Nombre Opción]]))</f>
        <v>Presupuesto Por Programa</v>
      </c>
      <c r="H145" s="2" t="s">
        <v>1735</v>
      </c>
      <c r="I145" s="2" t="str">
        <f>_xlfn.XLOOKUP(Tabla_Presupuesto[[#This Row],[id_padre]],Tabla_Presupuesto[Id],Tabla_Presupuesto[Codigo_Tecnico],"",0,1)</f>
        <v>PRESUPUESTO_INFORMES_FORMULACION_CONSOLIDADO_INSTITUCIONAL</v>
      </c>
      <c r="J14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/presupuesto/informes/formulacion-consolidado-institucional/presupuesto-por-programa</v>
      </c>
      <c r="K14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presupuesto-por-programa</v>
      </c>
      <c r="L145" s="2" t="s">
        <v>1429</v>
      </c>
      <c r="M145" s="2" t="s">
        <v>1792</v>
      </c>
      <c r="N145" s="4"/>
      <c r="O145" s="4"/>
      <c r="P145" s="4" t="s">
        <v>360</v>
      </c>
      <c r="Q145" s="4"/>
      <c r="R145" s="4" t="s">
        <v>360</v>
      </c>
      <c r="S145" s="4" t="s">
        <v>360</v>
      </c>
      <c r="U145" s="4" t="s">
        <v>360</v>
      </c>
      <c r="AA145" s="4" t="s">
        <v>360</v>
      </c>
      <c r="AB145" s="4" t="s">
        <v>360</v>
      </c>
      <c r="AC145" s="5"/>
      <c r="AD145" s="5"/>
      <c r="AE145" s="5"/>
      <c r="AF145" s="5" t="s">
        <v>360</v>
      </c>
      <c r="AG145" s="2" t="str">
        <f>IF(OR(Tabla_Presupuesto[[#This Row],[ROL_JEFE_CONT_PRESU]]="*",Tabla_Presupuesto[[#This Row],[ROL_JEFE_CONT_PRSU_HOSPI]]="*"),"*","")</f>
        <v>*</v>
      </c>
    </row>
    <row r="146" spans="1:33" x14ac:dyDescent="0.5">
      <c r="A146" s="5">
        <f>MAX(Tabla_Contabilidad[Id])</f>
        <v>210</v>
      </c>
      <c r="B146" s="2">
        <v>353</v>
      </c>
      <c r="C146" s="5">
        <f>IF(Tabla_Presupuesto[[#This Row],[id_padre]]="",0,_xlfn.XLOOKUP(Tabla_Presupuesto[[#This Row],[id_padre]],Tabla_Presupuesto[Id],Tabla_Presupuesto[Nivel],0,0,1)+1)</f>
        <v>3</v>
      </c>
      <c r="D146" s="2" t="s">
        <v>324</v>
      </c>
      <c r="E146" s="2">
        <f>IF(Tabla_Presupuesto[[#This Row],[Id_anterior]]=1,ROW()-1,SUM(ROW()-1,Tabla_Presupuesto[[#This Row],[Id_anterior]]))</f>
        <v>355</v>
      </c>
      <c r="F14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PRESUPUESTO_INFORMES_FORMULACION_CONSOLIDADO_INSTITUCIONAL_PRESUPUESTO_POR_ITEM</v>
      </c>
      <c r="G146" s="2" t="str">
        <f>CLEAN(PROPER(Tabla_Presupuesto[[#This Row],[Nombre Opción]]))</f>
        <v>Presupuesto Por Item</v>
      </c>
      <c r="H146" s="2" t="s">
        <v>1735</v>
      </c>
      <c r="I146" s="2" t="str">
        <f>_xlfn.XLOOKUP(Tabla_Presupuesto[[#This Row],[id_padre]],Tabla_Presupuesto[Id],Tabla_Presupuesto[Codigo_Tecnico],"",0,1)</f>
        <v>PRESUPUESTO_INFORMES_FORMULACION_CONSOLIDADO_INSTITUCIONAL</v>
      </c>
      <c r="J14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/presupuesto/informes/formulacion-consolidado-institucional/presupuesto-por-item</v>
      </c>
      <c r="K14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presupuesto-por-item</v>
      </c>
      <c r="L146" s="2" t="s">
        <v>1348</v>
      </c>
      <c r="M146" s="2" t="s">
        <v>1792</v>
      </c>
      <c r="N146" s="4"/>
      <c r="O146" s="4"/>
      <c r="P146" s="4" t="s">
        <v>360</v>
      </c>
      <c r="Q146" s="4"/>
      <c r="R146" s="4" t="s">
        <v>360</v>
      </c>
      <c r="S146" s="4" t="s">
        <v>360</v>
      </c>
      <c r="U146" s="4" t="s">
        <v>360</v>
      </c>
      <c r="Y146" s="4" t="s">
        <v>360</v>
      </c>
      <c r="AA146" s="4" t="s">
        <v>360</v>
      </c>
      <c r="AB146" s="4" t="s">
        <v>360</v>
      </c>
      <c r="AC146" s="5"/>
      <c r="AD146" s="5"/>
      <c r="AE146" s="5"/>
      <c r="AF146" s="5" t="s">
        <v>360</v>
      </c>
      <c r="AG146" s="2" t="str">
        <f>IF(OR(Tabla_Presupuesto[[#This Row],[ROL_JEFE_CONT_PRESU]]="*",Tabla_Presupuesto[[#This Row],[ROL_JEFE_CONT_PRSU_HOSPI]]="*"),"*","")</f>
        <v>*</v>
      </c>
    </row>
    <row r="147" spans="1:33" x14ac:dyDescent="0.5">
      <c r="A147" s="5">
        <f>MAX(Tabla_Contabilidad[Id])</f>
        <v>210</v>
      </c>
      <c r="B147" s="2">
        <v>215</v>
      </c>
      <c r="C147" s="5">
        <f>IF(Tabla_Presupuesto[[#This Row],[id_padre]]="",0,_xlfn.XLOOKUP(Tabla_Presupuesto[[#This Row],[id_padre]],Tabla_Presupuesto[Id],Tabla_Presupuesto[Nivel],0,0,1)+1)</f>
        <v>2</v>
      </c>
      <c r="D147" s="2" t="s">
        <v>325</v>
      </c>
      <c r="E147" s="2">
        <f>IF(Tabla_Presupuesto[[#This Row],[Id_anterior]]=1,ROW()-1,SUM(ROW()-1,Tabla_Presupuesto[[#This Row],[Id_anterior]]))</f>
        <v>356</v>
      </c>
      <c r="F14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</v>
      </c>
      <c r="G147" s="2" t="str">
        <f>CLEAN(PROPER(Tabla_Presupuesto[[#This Row],[Nombre Opción]]))</f>
        <v>Anteproyecto Presupuestario</v>
      </c>
      <c r="H147" s="2" t="s">
        <v>1735</v>
      </c>
      <c r="I147" s="2" t="str">
        <f>_xlfn.XLOOKUP(Tabla_Presupuesto[[#This Row],[id_padre]],Tabla_Presupuesto[Id],Tabla_Presupuesto[Codigo_Tecnico],"",0,1)</f>
        <v>PRESUPUESTO_INFORMES</v>
      </c>
      <c r="J14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</v>
      </c>
      <c r="K14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anteproyecto-presupuestario</v>
      </c>
      <c r="L147" s="2" t="s">
        <v>1349</v>
      </c>
      <c r="M147" s="2" t="s">
        <v>1792</v>
      </c>
      <c r="N147" s="4"/>
      <c r="O147" s="4"/>
      <c r="P147" s="4" t="s">
        <v>360</v>
      </c>
      <c r="Q147" s="4" t="s">
        <v>360</v>
      </c>
      <c r="R147" s="4" t="s">
        <v>360</v>
      </c>
      <c r="S147" s="4" t="s">
        <v>360</v>
      </c>
      <c r="T147" s="4" t="s">
        <v>360</v>
      </c>
      <c r="U147" s="4" t="s">
        <v>360</v>
      </c>
      <c r="V147" s="4" t="s">
        <v>360</v>
      </c>
      <c r="W147" s="4" t="s">
        <v>360</v>
      </c>
      <c r="X147" s="4" t="s">
        <v>360</v>
      </c>
      <c r="Y147" s="4" t="s">
        <v>360</v>
      </c>
      <c r="Z147" s="4" t="s">
        <v>360</v>
      </c>
      <c r="AA147" s="4" t="s">
        <v>360</v>
      </c>
      <c r="AB147" s="4" t="s">
        <v>360</v>
      </c>
      <c r="AC147" s="5"/>
      <c r="AD147" s="5"/>
      <c r="AE147" s="5"/>
      <c r="AF147" s="5" t="s">
        <v>360</v>
      </c>
      <c r="AG147" s="2" t="str">
        <f>IF(OR(Tabla_Presupuesto[[#This Row],[ROL_JEFE_CONT_PRESU]]="*",Tabla_Presupuesto[[#This Row],[ROL_JEFE_CONT_PRSU_HOSPI]]="*"),"*","")</f>
        <v>*</v>
      </c>
    </row>
    <row r="148" spans="1:33" x14ac:dyDescent="0.5">
      <c r="A148" s="5">
        <f>MAX(Tabla_Contabilidad[Id])</f>
        <v>210</v>
      </c>
      <c r="B148" s="2">
        <v>356</v>
      </c>
      <c r="C148" s="5">
        <f>IF(Tabla_Presupuesto[[#This Row],[id_padre]]="",0,_xlfn.XLOOKUP(Tabla_Presupuesto[[#This Row],[id_padre]],Tabla_Presupuesto[Id],Tabla_Presupuesto[Nivel],0,0,1)+1)</f>
        <v>3</v>
      </c>
      <c r="D148" s="2" t="s">
        <v>326</v>
      </c>
      <c r="E148" s="2">
        <f>IF(Tabla_Presupuesto[[#This Row],[Id_anterior]]=1,ROW()-1,SUM(ROW()-1,Tabla_Presupuesto[[#This Row],[Id_anterior]]))</f>
        <v>357</v>
      </c>
      <c r="F14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PRESUPUESTO_INFORMES_ANTEPROYECTO_PRESUPUESTARIO_LISTADO_DETALLADO</v>
      </c>
      <c r="G148" s="2" t="str">
        <f>CLEAN(PROPER(Tabla_Presupuesto[[#This Row],[Nombre Opción]]))</f>
        <v>Listado Detallado</v>
      </c>
      <c r="H148" s="2" t="s">
        <v>1735</v>
      </c>
      <c r="I148" s="2" t="str">
        <f>_xlfn.XLOOKUP(Tabla_Presupuesto[[#This Row],[id_padre]],Tabla_Presupuesto[Id],Tabla_Presupuesto[Codigo_Tecnico],"",0,1)</f>
        <v>PRESUPUESTO_INFORMES_ANTEPROYECTO_PRESUPUESTARIO</v>
      </c>
      <c r="J14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/presupuesto/informes/anteproyecto-presupuestario/listado-detallado</v>
      </c>
      <c r="K14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listado-detallado</v>
      </c>
      <c r="L148" s="2" t="s">
        <v>1503</v>
      </c>
      <c r="M148" s="2" t="s">
        <v>1792</v>
      </c>
      <c r="N148" s="4"/>
      <c r="O148" s="4"/>
      <c r="P148" s="4" t="s">
        <v>360</v>
      </c>
      <c r="Q148" s="4" t="s">
        <v>360</v>
      </c>
      <c r="R148" s="4" t="s">
        <v>360</v>
      </c>
      <c r="S148" s="4" t="s">
        <v>360</v>
      </c>
      <c r="T148" s="4" t="s">
        <v>360</v>
      </c>
      <c r="U148" s="4" t="s">
        <v>360</v>
      </c>
      <c r="V148" s="4" t="s">
        <v>360</v>
      </c>
      <c r="W148" s="4" t="s">
        <v>360</v>
      </c>
      <c r="X148" s="4" t="s">
        <v>360</v>
      </c>
      <c r="Y148" s="4" t="s">
        <v>360</v>
      </c>
      <c r="Z148" s="4" t="s">
        <v>360</v>
      </c>
      <c r="AA148" s="4" t="s">
        <v>360</v>
      </c>
      <c r="AB148" s="4" t="s">
        <v>360</v>
      </c>
      <c r="AC148" s="5"/>
      <c r="AD148" s="5"/>
      <c r="AE148" s="5"/>
      <c r="AF148" s="5" t="s">
        <v>360</v>
      </c>
      <c r="AG148" s="2" t="str">
        <f>IF(OR(Tabla_Presupuesto[[#This Row],[ROL_JEFE_CONT_PRESU]]="*",Tabla_Presupuesto[[#This Row],[ROL_JEFE_CONT_PRSU_HOSPI]]="*"),"*","")</f>
        <v>*</v>
      </c>
    </row>
    <row r="149" spans="1:33" x14ac:dyDescent="0.5">
      <c r="A149" s="5">
        <f>MAX(Tabla_Contabilidad[Id])</f>
        <v>210</v>
      </c>
      <c r="B149" s="2">
        <v>356</v>
      </c>
      <c r="C149" s="5">
        <f>IF(Tabla_Presupuesto[[#This Row],[id_padre]]="",0,_xlfn.XLOOKUP(Tabla_Presupuesto[[#This Row],[id_padre]],Tabla_Presupuesto[Id],Tabla_Presupuesto[Nivel],0,0,1)+1)</f>
        <v>3</v>
      </c>
      <c r="D149" s="2" t="s">
        <v>327</v>
      </c>
      <c r="E149" s="2">
        <f>IF(Tabla_Presupuesto[[#This Row],[Id_anterior]]=1,ROW()-1,SUM(ROW()-1,Tabla_Presupuesto[[#This Row],[Id_anterior]]))</f>
        <v>358</v>
      </c>
      <c r="F14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PRESUPUESTO_INFORMES_ANTEPROYECTO_PRESUPUESTARIO_LISTADO_DETALLADO_POR_FASES</v>
      </c>
      <c r="G149" s="2" t="str">
        <f>CLEAN(PROPER(Tabla_Presupuesto[[#This Row],[Nombre Opción]]))</f>
        <v>Listado Detallado Por Fases</v>
      </c>
      <c r="H149" s="2" t="s">
        <v>1735</v>
      </c>
      <c r="I149" s="2" t="str">
        <f>_xlfn.XLOOKUP(Tabla_Presupuesto[[#This Row],[id_padre]],Tabla_Presupuesto[Id],Tabla_Presupuesto[Codigo_Tecnico],"",0,1)</f>
        <v>PRESUPUESTO_INFORMES_ANTEPROYECTO_PRESUPUESTARIO</v>
      </c>
      <c r="J14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/presupuesto/informes/anteproyecto-presupuestario/listado-detallado-por-fases</v>
      </c>
      <c r="K14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listado-detallado-por-fases</v>
      </c>
      <c r="L149" s="2" t="s">
        <v>1504</v>
      </c>
      <c r="M149" s="2" t="s">
        <v>1792</v>
      </c>
      <c r="N149" s="4"/>
      <c r="O149" s="4"/>
      <c r="P149" s="4" t="s">
        <v>360</v>
      </c>
      <c r="Q149" s="4" t="s">
        <v>360</v>
      </c>
      <c r="R149" s="4" t="s">
        <v>360</v>
      </c>
      <c r="S149" s="4" t="s">
        <v>360</v>
      </c>
      <c r="T149" s="4" t="s">
        <v>360</v>
      </c>
      <c r="U149" s="4" t="s">
        <v>360</v>
      </c>
      <c r="V149" s="4" t="s">
        <v>360</v>
      </c>
      <c r="W149" s="4" t="s">
        <v>360</v>
      </c>
      <c r="X149" s="4" t="s">
        <v>360</v>
      </c>
      <c r="Y149" s="4" t="s">
        <v>360</v>
      </c>
      <c r="Z149" s="4" t="s">
        <v>360</v>
      </c>
      <c r="AA149" s="4" t="s">
        <v>360</v>
      </c>
      <c r="AB149" s="4" t="s">
        <v>360</v>
      </c>
      <c r="AC149" s="5"/>
      <c r="AD149" s="5"/>
      <c r="AE149" s="5"/>
      <c r="AF149" s="5" t="s">
        <v>360</v>
      </c>
      <c r="AG149" s="2" t="str">
        <f>IF(OR(Tabla_Presupuesto[[#This Row],[ROL_JEFE_CONT_PRESU]]="*",Tabla_Presupuesto[[#This Row],[ROL_JEFE_CONT_PRSU_HOSPI]]="*"),"*","")</f>
        <v>*</v>
      </c>
    </row>
    <row r="150" spans="1:33" x14ac:dyDescent="0.5">
      <c r="A150" s="5">
        <f>MAX(Tabla_Contabilidad[Id])</f>
        <v>210</v>
      </c>
      <c r="B150" s="2">
        <v>356</v>
      </c>
      <c r="C150" s="5">
        <f>IF(Tabla_Presupuesto[[#This Row],[id_padre]]="",0,_xlfn.XLOOKUP(Tabla_Presupuesto[[#This Row],[id_padre]],Tabla_Presupuesto[Id],Tabla_Presupuesto[Nivel],0,0,1)+1)</f>
        <v>3</v>
      </c>
      <c r="D150" s="2" t="s">
        <v>328</v>
      </c>
      <c r="E150" s="2">
        <f>IF(Tabla_Presupuesto[[#This Row],[Id_anterior]]=1,ROW()-1,SUM(ROW()-1,Tabla_Presupuesto[[#This Row],[Id_anterior]]))</f>
        <v>359</v>
      </c>
      <c r="F15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PRESUPUESTO_INFORMES_ANTEPROYECTO_PRESUPUESTARIO_LISTADO_DETALLADO_TAREAS_POR_MES</v>
      </c>
      <c r="G150" s="2" t="str">
        <f>CLEAN(PROPER(Tabla_Presupuesto[[#This Row],[Nombre Opción]]))</f>
        <v>Listado Detallado Tareas Por Mes</v>
      </c>
      <c r="H150" s="2" t="s">
        <v>1735</v>
      </c>
      <c r="I150" s="2" t="str">
        <f>_xlfn.XLOOKUP(Tabla_Presupuesto[[#This Row],[id_padre]],Tabla_Presupuesto[Id],Tabla_Presupuesto[Codigo_Tecnico],"",0,1)</f>
        <v>PRESUPUESTO_INFORMES_ANTEPROYECTO_PRESUPUESTARIO</v>
      </c>
      <c r="J15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/presupuesto/informes/anteproyecto-presupuestario/listado-detallado-tareas-por-mes</v>
      </c>
      <c r="K15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listado-detallado-tareas-por-mes</v>
      </c>
      <c r="L150" s="2" t="s">
        <v>1505</v>
      </c>
      <c r="M150" s="2" t="s">
        <v>1792</v>
      </c>
      <c r="N150" s="4"/>
      <c r="O150" s="4"/>
      <c r="P150" s="4" t="s">
        <v>360</v>
      </c>
      <c r="Q150" s="4" t="s">
        <v>360</v>
      </c>
      <c r="R150" s="4" t="s">
        <v>360</v>
      </c>
      <c r="S150" s="4" t="s">
        <v>360</v>
      </c>
      <c r="T150" s="4" t="s">
        <v>360</v>
      </c>
      <c r="U150" s="4" t="s">
        <v>360</v>
      </c>
      <c r="V150" s="4" t="s">
        <v>360</v>
      </c>
      <c r="W150" s="4" t="s">
        <v>360</v>
      </c>
      <c r="X150" s="4" t="s">
        <v>360</v>
      </c>
      <c r="Y150" s="4" t="s">
        <v>360</v>
      </c>
      <c r="Z150" s="4" t="s">
        <v>360</v>
      </c>
      <c r="AA150" s="4" t="s">
        <v>360</v>
      </c>
      <c r="AB150" s="4" t="s">
        <v>360</v>
      </c>
      <c r="AC150" s="5"/>
      <c r="AD150" s="5"/>
      <c r="AE150" s="5"/>
      <c r="AF150" s="5" t="s">
        <v>360</v>
      </c>
      <c r="AG150" s="2" t="str">
        <f>IF(OR(Tabla_Presupuesto[[#This Row],[ROL_JEFE_CONT_PRESU]]="*",Tabla_Presupuesto[[#This Row],[ROL_JEFE_CONT_PRSU_HOSPI]]="*"),"*","")</f>
        <v>*</v>
      </c>
    </row>
    <row r="151" spans="1:33" x14ac:dyDescent="0.5">
      <c r="A151" s="5">
        <f>MAX(Tabla_Contabilidad[Id])</f>
        <v>210</v>
      </c>
      <c r="B151" s="2">
        <v>356</v>
      </c>
      <c r="C151" s="5">
        <f>IF(Tabla_Presupuesto[[#This Row],[id_padre]]="",0,_xlfn.XLOOKUP(Tabla_Presupuesto[[#This Row],[id_padre]],Tabla_Presupuesto[Id],Tabla_Presupuesto[Nivel],0,0,1)+1)</f>
        <v>3</v>
      </c>
      <c r="D151" s="2" t="s">
        <v>329</v>
      </c>
      <c r="E151" s="2">
        <f>IF(Tabla_Presupuesto[[#This Row],[Id_anterior]]=1,ROW()-1,SUM(ROW()-1,Tabla_Presupuesto[[#This Row],[Id_anterior]]))</f>
        <v>360</v>
      </c>
      <c r="F15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PRESUPUESTO_INFORMES_ANTEPROYECTO_PRESUPUESTARIO_RESUMEN_TAREAS_POR_UNIDAD</v>
      </c>
      <c r="G151" s="2" t="str">
        <f>CLEAN(PROPER(Tabla_Presupuesto[[#This Row],[Nombre Opción]]))</f>
        <v>Resumen De Tareas Por Unidad</v>
      </c>
      <c r="H151" s="2" t="s">
        <v>1735</v>
      </c>
      <c r="I151" s="2" t="str">
        <f>_xlfn.XLOOKUP(Tabla_Presupuesto[[#This Row],[id_padre]],Tabla_Presupuesto[Id],Tabla_Presupuesto[Codigo_Tecnico],"",0,1)</f>
        <v>PRESUPUESTO_INFORMES_ANTEPROYECTO_PRESUPUESTARIO</v>
      </c>
      <c r="J15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/presupuesto/informes/anteproyecto-presupuestario/resumen-tareas-por-unidad</v>
      </c>
      <c r="K15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resumen-tareas-por-unidad</v>
      </c>
      <c r="L151" s="2" t="s">
        <v>1506</v>
      </c>
      <c r="M151" s="2" t="s">
        <v>1792</v>
      </c>
      <c r="N151" s="4"/>
      <c r="O151" s="4"/>
      <c r="P151" s="4" t="s">
        <v>360</v>
      </c>
      <c r="Q151" s="4" t="s">
        <v>360</v>
      </c>
      <c r="R151" s="4" t="s">
        <v>360</v>
      </c>
      <c r="S151" s="4" t="s">
        <v>360</v>
      </c>
      <c r="T151" s="4" t="s">
        <v>360</v>
      </c>
      <c r="U151" s="4" t="s">
        <v>360</v>
      </c>
      <c r="X151" s="4" t="s">
        <v>360</v>
      </c>
      <c r="Y151" s="4" t="s">
        <v>360</v>
      </c>
      <c r="Z151" s="4" t="s">
        <v>360</v>
      </c>
      <c r="AA151" s="4" t="s">
        <v>360</v>
      </c>
      <c r="AB151" s="4" t="s">
        <v>360</v>
      </c>
      <c r="AC151" s="5"/>
      <c r="AD151" s="5"/>
      <c r="AE151" s="5"/>
      <c r="AF151" s="5" t="s">
        <v>360</v>
      </c>
      <c r="AG151" s="2" t="str">
        <f>IF(OR(Tabla_Presupuesto[[#This Row],[ROL_JEFE_CONT_PRESU]]="*",Tabla_Presupuesto[[#This Row],[ROL_JEFE_CONT_PRSU_HOSPI]]="*"),"*","")</f>
        <v>*</v>
      </c>
    </row>
    <row r="152" spans="1:33" x14ac:dyDescent="0.5">
      <c r="A152" s="5">
        <f>MAX(Tabla_Contabilidad[Id])</f>
        <v>210</v>
      </c>
      <c r="B152" s="2">
        <v>356</v>
      </c>
      <c r="C152" s="5">
        <f>IF(Tabla_Presupuesto[[#This Row],[id_padre]]="",0,_xlfn.XLOOKUP(Tabla_Presupuesto[[#This Row],[id_padre]],Tabla_Presupuesto[Id],Tabla_Presupuesto[Nivel],0,0,1)+1)</f>
        <v>3</v>
      </c>
      <c r="D152" s="2" t="s">
        <v>330</v>
      </c>
      <c r="E152" s="2">
        <f>IF(Tabla_Presupuesto[[#This Row],[Id_anterior]]=1,ROW()-1,SUM(ROW()-1,Tabla_Presupuesto[[#This Row],[Id_anterior]]))</f>
        <v>361</v>
      </c>
      <c r="F15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PRESUPUESTO_INFORMES_ANTEPROYECTO_PRESUPUESTARIO_RESUMEN_TAREAS_POR_UNIDAD_INTERNA</v>
      </c>
      <c r="G152" s="2" t="str">
        <f>CLEAN(PROPER(Tabla_Presupuesto[[#This Row],[Nombre Opción]]))</f>
        <v>Resumen De Tareas Por Unidad Interna</v>
      </c>
      <c r="H152" s="2" t="s">
        <v>1735</v>
      </c>
      <c r="I152" s="2" t="str">
        <f>_xlfn.XLOOKUP(Tabla_Presupuesto[[#This Row],[id_padre]],Tabla_Presupuesto[Id],Tabla_Presupuesto[Codigo_Tecnico],"",0,1)</f>
        <v>PRESUPUESTO_INFORMES_ANTEPROYECTO_PRESUPUESTARIO</v>
      </c>
      <c r="J15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/presupuesto/informes/anteproyecto-presupuestario/resumen-tareas-por-unidad-interna</v>
      </c>
      <c r="K15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resumen-tareas-por-unidad-interna</v>
      </c>
      <c r="L152" s="2" t="s">
        <v>1372</v>
      </c>
      <c r="M152" s="2" t="s">
        <v>1792</v>
      </c>
      <c r="N152" s="4"/>
      <c r="O152" s="4"/>
      <c r="P152" s="4" t="s">
        <v>360</v>
      </c>
      <c r="Q152" s="4" t="s">
        <v>360</v>
      </c>
      <c r="R152" s="4" t="s">
        <v>360</v>
      </c>
      <c r="S152" s="4" t="s">
        <v>360</v>
      </c>
      <c r="T152" s="4" t="s">
        <v>360</v>
      </c>
      <c r="U152" s="4" t="s">
        <v>360</v>
      </c>
      <c r="X152" s="4" t="s">
        <v>360</v>
      </c>
      <c r="Y152" s="4" t="s">
        <v>360</v>
      </c>
      <c r="Z152" s="4" t="s">
        <v>360</v>
      </c>
      <c r="AA152" s="4" t="s">
        <v>360</v>
      </c>
      <c r="AB152" s="4" t="s">
        <v>360</v>
      </c>
      <c r="AC152" s="5"/>
      <c r="AD152" s="5"/>
      <c r="AE152" s="5"/>
      <c r="AF152" s="5" t="s">
        <v>360</v>
      </c>
      <c r="AG152" s="2" t="str">
        <f>IF(OR(Tabla_Presupuesto[[#This Row],[ROL_JEFE_CONT_PRESU]]="*",Tabla_Presupuesto[[#This Row],[ROL_JEFE_CONT_PRSU_HOSPI]]="*"),"*","")</f>
        <v>*</v>
      </c>
    </row>
    <row r="153" spans="1:33" x14ac:dyDescent="0.5">
      <c r="A153" s="5">
        <f>MAX(Tabla_Contabilidad[Id])</f>
        <v>210</v>
      </c>
      <c r="B153" s="2">
        <v>356</v>
      </c>
      <c r="C153" s="5">
        <f>IF(Tabla_Presupuesto[[#This Row],[id_padre]]="",0,_xlfn.XLOOKUP(Tabla_Presupuesto[[#This Row],[id_padre]],Tabla_Presupuesto[Id],Tabla_Presupuesto[Nivel],0,0,1)+1)</f>
        <v>3</v>
      </c>
      <c r="D153" s="2" t="s">
        <v>331</v>
      </c>
      <c r="E153" s="2">
        <f>IF(Tabla_Presupuesto[[#This Row],[Id_anterior]]=1,ROW()-1,SUM(ROW()-1,Tabla_Presupuesto[[#This Row],[Id_anterior]]))</f>
        <v>362</v>
      </c>
      <c r="F15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PRESUPUESTO_INFORMES_ANTEPROYECTO_PRESUPUESTARIO_RESUMEN_POR_PROGRAMA,_SUBPROGRAMA_Y_ACTIVIDAD_POR_UNIDAD_INTERNA</v>
      </c>
      <c r="G153" s="2" t="str">
        <f>CLEAN(PROPER(Tabla_Presupuesto[[#This Row],[Nombre Opción]]))</f>
        <v>Resumen Por Programa, Subprograma Y Actividad Por Unidad Interna</v>
      </c>
      <c r="H153" s="2" t="s">
        <v>1735</v>
      </c>
      <c r="I153" s="2" t="str">
        <f>_xlfn.XLOOKUP(Tabla_Presupuesto[[#This Row],[id_padre]],Tabla_Presupuesto[Id],Tabla_Presupuesto[Codigo_Tecnico],"",0,1)</f>
        <v>PRESUPUESTO_INFORMES_ANTEPROYECTO_PRESUPUESTARIO</v>
      </c>
      <c r="J15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/presupuesto/informes/anteproyecto-presupuestario/resumen-por-programa,-subprograma-y-actividad-por-unidad-interna</v>
      </c>
      <c r="K15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resumen-por-programa,-subprograma-y-actividad-por-unidad-interna</v>
      </c>
      <c r="L153" s="2" t="s">
        <v>1505</v>
      </c>
      <c r="M153" s="2" t="s">
        <v>1792</v>
      </c>
      <c r="N153" s="4"/>
      <c r="O153" s="4"/>
      <c r="P153" s="4" t="s">
        <v>360</v>
      </c>
      <c r="Q153" s="4" t="s">
        <v>360</v>
      </c>
      <c r="R153" s="4" t="s">
        <v>360</v>
      </c>
      <c r="S153" s="4" t="s">
        <v>360</v>
      </c>
      <c r="T153" s="4" t="s">
        <v>360</v>
      </c>
      <c r="U153" s="4" t="s">
        <v>360</v>
      </c>
      <c r="X153" s="4" t="s">
        <v>360</v>
      </c>
      <c r="Y153" s="4" t="s">
        <v>360</v>
      </c>
      <c r="Z153" s="4" t="s">
        <v>360</v>
      </c>
      <c r="AA153" s="4" t="s">
        <v>360</v>
      </c>
      <c r="AB153" s="4" t="s">
        <v>360</v>
      </c>
      <c r="AC153" s="5"/>
      <c r="AD153" s="5"/>
      <c r="AE153" s="5"/>
      <c r="AF153" s="5" t="s">
        <v>360</v>
      </c>
      <c r="AG153" s="2" t="str">
        <f>IF(OR(Tabla_Presupuesto[[#This Row],[ROL_JEFE_CONT_PRESU]]="*",Tabla_Presupuesto[[#This Row],[ROL_JEFE_CONT_PRSU_HOSPI]]="*"),"*","")</f>
        <v>*</v>
      </c>
    </row>
    <row r="154" spans="1:33" x14ac:dyDescent="0.5">
      <c r="A154" s="5">
        <f>MAX(Tabla_Contabilidad[Id])</f>
        <v>210</v>
      </c>
      <c r="B154" s="2">
        <v>356</v>
      </c>
      <c r="C154" s="5">
        <f>IF(Tabla_Presupuesto[[#This Row],[id_padre]]="",0,_xlfn.XLOOKUP(Tabla_Presupuesto[[#This Row],[id_padre]],Tabla_Presupuesto[Id],Tabla_Presupuesto[Nivel],0,0,1)+1)</f>
        <v>3</v>
      </c>
      <c r="D154" s="2" t="s">
        <v>332</v>
      </c>
      <c r="E154" s="2">
        <f>IF(Tabla_Presupuesto[[#This Row],[Id_anterior]]=1,ROW()-1,SUM(ROW()-1,Tabla_Presupuesto[[#This Row],[Id_anterior]]))</f>
        <v>363</v>
      </c>
      <c r="F15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PRESUPUESTO_INFORMES_ANTEPROYECTO_PRESUPUESTARIO_RESUMEN_SPAC_ITEM_POR_UNIDAD</v>
      </c>
      <c r="G154" s="2" t="str">
        <f>CLEAN(PROPER(Tabla_Presupuesto[[#This Row],[Nombre Opción]]))</f>
        <v>Resumen Spac / Item Por Unidad</v>
      </c>
      <c r="H154" s="2" t="s">
        <v>1735</v>
      </c>
      <c r="I154" s="2" t="str">
        <f>_xlfn.XLOOKUP(Tabla_Presupuesto[[#This Row],[id_padre]],Tabla_Presupuesto[Id],Tabla_Presupuesto[Codigo_Tecnico],"",0,1)</f>
        <v>PRESUPUESTO_INFORMES_ANTEPROYECTO_PRESUPUESTARIO</v>
      </c>
      <c r="J15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/presupuesto/informes/anteproyecto-presupuestario/resumen-spac-item-por-unidad</v>
      </c>
      <c r="K15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resumen-spac-item-por-unidad</v>
      </c>
      <c r="L154" s="2" t="s">
        <v>1506</v>
      </c>
      <c r="M154" s="2" t="s">
        <v>1792</v>
      </c>
      <c r="N154" s="4"/>
      <c r="O154" s="4"/>
      <c r="P154" s="4" t="s">
        <v>360</v>
      </c>
      <c r="Q154" s="4" t="s">
        <v>360</v>
      </c>
      <c r="R154" s="4" t="s">
        <v>360</v>
      </c>
      <c r="S154" s="4" t="s">
        <v>360</v>
      </c>
      <c r="T154" s="4" t="s">
        <v>360</v>
      </c>
      <c r="U154" s="4" t="s">
        <v>360</v>
      </c>
      <c r="X154" s="4" t="s">
        <v>360</v>
      </c>
      <c r="Y154" s="4" t="s">
        <v>360</v>
      </c>
      <c r="Z154" s="4" t="s">
        <v>360</v>
      </c>
      <c r="AA154" s="4" t="s">
        <v>360</v>
      </c>
      <c r="AB154" s="4" t="s">
        <v>360</v>
      </c>
      <c r="AC154" s="5"/>
      <c r="AD154" s="5"/>
      <c r="AE154" s="5"/>
      <c r="AF154" s="5" t="s">
        <v>360</v>
      </c>
      <c r="AG154" s="2" t="str">
        <f>IF(OR(Tabla_Presupuesto[[#This Row],[ROL_JEFE_CONT_PRESU]]="*",Tabla_Presupuesto[[#This Row],[ROL_JEFE_CONT_PRSU_HOSPI]]="*"),"*","")</f>
        <v>*</v>
      </c>
    </row>
    <row r="155" spans="1:33" x14ac:dyDescent="0.5">
      <c r="A155" s="5">
        <f>MAX(Tabla_Contabilidad[Id])</f>
        <v>210</v>
      </c>
      <c r="B155" s="2">
        <v>356</v>
      </c>
      <c r="C155" s="5">
        <f>IF(Tabla_Presupuesto[[#This Row],[id_padre]]="",0,_xlfn.XLOOKUP(Tabla_Presupuesto[[#This Row],[id_padre]],Tabla_Presupuesto[Id],Tabla_Presupuesto[Nivel],0,0,1)+1)</f>
        <v>3</v>
      </c>
      <c r="D155" s="2" t="s">
        <v>333</v>
      </c>
      <c r="E155" s="2">
        <f>IF(Tabla_Presupuesto[[#This Row],[Id_anterior]]=1,ROW()-1,SUM(ROW()-1,Tabla_Presupuesto[[#This Row],[Id_anterior]]))</f>
        <v>364</v>
      </c>
      <c r="F15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PRESUPUESTO_INFORMES_ANTEPROYECTO_PRESUPUESTARIO_RESUMEN_SPAC_ITEM_POR_UNIDAD_INTERNA</v>
      </c>
      <c r="G155" s="2" t="str">
        <f>CLEAN(PROPER(Tabla_Presupuesto[[#This Row],[Nombre Opción]]))</f>
        <v>Resumen Spac / Item Por Unidad Interna</v>
      </c>
      <c r="H155" s="2" t="s">
        <v>1735</v>
      </c>
      <c r="I155" s="2" t="str">
        <f>_xlfn.XLOOKUP(Tabla_Presupuesto[[#This Row],[id_padre]],Tabla_Presupuesto[Id],Tabla_Presupuesto[Codigo_Tecnico],"",0,1)</f>
        <v>PRESUPUESTO_INFORMES_ANTEPROYECTO_PRESUPUESTARIO</v>
      </c>
      <c r="J15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/presupuesto/informes/anteproyecto-presupuestario/resumen-spac-item-por-unidad-interna</v>
      </c>
      <c r="K15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resumen-spac-item-por-unidad-interna</v>
      </c>
      <c r="L155" s="2" t="s">
        <v>1367</v>
      </c>
      <c r="M155" s="2" t="s">
        <v>1792</v>
      </c>
      <c r="N155" s="4"/>
      <c r="O155" s="4"/>
      <c r="P155" s="4" t="s">
        <v>360</v>
      </c>
      <c r="Q155" s="4" t="s">
        <v>360</v>
      </c>
      <c r="R155" s="4" t="s">
        <v>360</v>
      </c>
      <c r="S155" s="4" t="s">
        <v>360</v>
      </c>
      <c r="T155" s="4" t="s">
        <v>360</v>
      </c>
      <c r="U155" s="4" t="s">
        <v>360</v>
      </c>
      <c r="X155" s="4" t="s">
        <v>360</v>
      </c>
      <c r="Y155" s="4" t="s">
        <v>360</v>
      </c>
      <c r="Z155" s="4" t="s">
        <v>360</v>
      </c>
      <c r="AA155" s="4" t="s">
        <v>360</v>
      </c>
      <c r="AB155" s="4" t="s">
        <v>360</v>
      </c>
      <c r="AC155" s="5"/>
      <c r="AD155" s="5"/>
      <c r="AE155" s="5"/>
      <c r="AF155" s="5" t="s">
        <v>360</v>
      </c>
      <c r="AG155" s="2" t="str">
        <f>IF(OR(Tabla_Presupuesto[[#This Row],[ROL_JEFE_CONT_PRESU]]="*",Tabla_Presupuesto[[#This Row],[ROL_JEFE_CONT_PRSU_HOSPI]]="*"),"*","")</f>
        <v>*</v>
      </c>
    </row>
    <row r="156" spans="1:33" x14ac:dyDescent="0.5">
      <c r="A156" s="5">
        <f>MAX(Tabla_Contabilidad[Id])</f>
        <v>210</v>
      </c>
      <c r="B156" s="2">
        <v>356</v>
      </c>
      <c r="C156" s="5">
        <f>IF(Tabla_Presupuesto[[#This Row],[id_padre]]="",0,_xlfn.XLOOKUP(Tabla_Presupuesto[[#This Row],[id_padre]],Tabla_Presupuesto[Id],Tabla_Presupuesto[Nivel],0,0,1)+1)</f>
        <v>3</v>
      </c>
      <c r="D156" s="2" t="s">
        <v>334</v>
      </c>
      <c r="E156" s="2">
        <f>IF(Tabla_Presupuesto[[#This Row],[Id_anterior]]=1,ROW()-1,SUM(ROW()-1,Tabla_Presupuesto[[#This Row],[Id_anterior]]))</f>
        <v>365</v>
      </c>
      <c r="F15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PRESUPUESTO_INFORMES_ANTEPROYECTO_PRESUPUESTARIO_RESUMEN_POR_SUBTITULO,_ITEM_Y_ASIGNACION_POR_UNIDAD_INTERNA</v>
      </c>
      <c r="G156" s="2" t="str">
        <f>CLEAN(PROPER(Tabla_Presupuesto[[#This Row],[Nombre Opción]]))</f>
        <v>Resumen Por Subtitulo, Item Y Asignacion Por Unidad Interna</v>
      </c>
      <c r="H156" s="2" t="s">
        <v>1735</v>
      </c>
      <c r="I156" s="2" t="str">
        <f>_xlfn.XLOOKUP(Tabla_Presupuesto[[#This Row],[id_padre]],Tabla_Presupuesto[Id],Tabla_Presupuesto[Codigo_Tecnico],"",0,1)</f>
        <v>PRESUPUESTO_INFORMES_ANTEPROYECTO_PRESUPUESTARIO</v>
      </c>
      <c r="J15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/presupuesto/informes/anteproyecto-presupuestario/resumen-por-subtitulo,-item-y-asignacion-por-unidad-interna</v>
      </c>
      <c r="K15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resumen-por-subtitulo,-item-y-asignacion-por-unidad-interna</v>
      </c>
      <c r="L156" s="2" t="s">
        <v>1463</v>
      </c>
      <c r="M156" s="2" t="s">
        <v>1792</v>
      </c>
      <c r="N156" s="4"/>
      <c r="O156" s="4"/>
      <c r="P156" s="4" t="s">
        <v>360</v>
      </c>
      <c r="Q156" s="4" t="s">
        <v>360</v>
      </c>
      <c r="R156" s="4" t="s">
        <v>360</v>
      </c>
      <c r="S156" s="4" t="s">
        <v>360</v>
      </c>
      <c r="U156" s="4" t="s">
        <v>360</v>
      </c>
      <c r="X156" s="4" t="s">
        <v>360</v>
      </c>
      <c r="Y156" s="4" t="s">
        <v>360</v>
      </c>
      <c r="Z156" s="4" t="s">
        <v>360</v>
      </c>
      <c r="AA156" s="4" t="s">
        <v>360</v>
      </c>
      <c r="AB156" s="4" t="s">
        <v>360</v>
      </c>
      <c r="AC156" s="5"/>
      <c r="AD156" s="5"/>
      <c r="AE156" s="5"/>
      <c r="AF156" s="5" t="s">
        <v>360</v>
      </c>
      <c r="AG156" s="2" t="str">
        <f>IF(OR(Tabla_Presupuesto[[#This Row],[ROL_JEFE_CONT_PRESU]]="*",Tabla_Presupuesto[[#This Row],[ROL_JEFE_CONT_PRSU_HOSPI]]="*"),"*","")</f>
        <v>*</v>
      </c>
    </row>
    <row r="157" spans="1:33" x14ac:dyDescent="0.5">
      <c r="A157" s="5">
        <f>MAX(Tabla_Contabilidad[Id])</f>
        <v>210</v>
      </c>
      <c r="B157" s="2">
        <v>215</v>
      </c>
      <c r="C157" s="5">
        <f>IF(Tabla_Presupuesto[[#This Row],[id_padre]]="",0,_xlfn.XLOOKUP(Tabla_Presupuesto[[#This Row],[id_padre]],Tabla_Presupuesto[Id],Tabla_Presupuesto[Nivel],0,0,1)+1)</f>
        <v>2</v>
      </c>
      <c r="D157" s="2" t="s">
        <v>335</v>
      </c>
      <c r="E157" s="2">
        <f>IF(Tabla_Presupuesto[[#This Row],[Id_anterior]]=1,ROW()-1,SUM(ROW()-1,Tabla_Presupuesto[[#This Row],[Id_anterior]]))</f>
        <v>366</v>
      </c>
      <c r="F15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PRESUPUESTO_INFORMES_RESUMEN_ANTEPROYECTO_PRESUPUESTARIO</v>
      </c>
      <c r="G157" s="2" t="str">
        <f>CLEAN(PROPER(Tabla_Presupuesto[[#This Row],[Nombre Opción]]))</f>
        <v>Resumen Anteproyecto Presupuestario</v>
      </c>
      <c r="H157" s="2" t="s">
        <v>1735</v>
      </c>
      <c r="I157" s="2" t="str">
        <f>_xlfn.XLOOKUP(Tabla_Presupuesto[[#This Row],[id_padre]],Tabla_Presupuesto[Id],Tabla_Presupuesto[Codigo_Tecnico],"",0,1)</f>
        <v>PRESUPUESTO_INFORMES</v>
      </c>
      <c r="J15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/presupuesto/informes/resumen-anteproyecto-presupuestario</v>
      </c>
      <c r="K15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resumen-anteproyecto-presupuestario</v>
      </c>
      <c r="L157" s="2" t="s">
        <v>1488</v>
      </c>
      <c r="M157" s="2" t="s">
        <v>1792</v>
      </c>
      <c r="N157" s="4"/>
      <c r="O157" s="4"/>
      <c r="P157" s="4" t="s">
        <v>360</v>
      </c>
      <c r="Q157" s="4"/>
      <c r="R157" s="4" t="s">
        <v>360</v>
      </c>
      <c r="U157" s="4" t="s">
        <v>360</v>
      </c>
      <c r="AA157" s="4" t="s">
        <v>360</v>
      </c>
      <c r="AB157" s="4" t="s">
        <v>360</v>
      </c>
      <c r="AC157" s="5"/>
      <c r="AD157" s="5"/>
      <c r="AE157" s="5"/>
      <c r="AF157" s="5" t="s">
        <v>360</v>
      </c>
      <c r="AG157" s="2" t="str">
        <f>IF(OR(Tabla_Presupuesto[[#This Row],[ROL_JEFE_CONT_PRESU]]="*",Tabla_Presupuesto[[#This Row],[ROL_JEFE_CONT_PRSU_HOSPI]]="*"),"*","")</f>
        <v>*</v>
      </c>
    </row>
    <row r="158" spans="1:33" x14ac:dyDescent="0.5">
      <c r="A158" s="5">
        <f>MAX(Tabla_Contabilidad[Id])</f>
        <v>210</v>
      </c>
      <c r="B158" s="2">
        <v>366</v>
      </c>
      <c r="C158" s="5">
        <f>IF(Tabla_Presupuesto[[#This Row],[id_padre]]="",0,_xlfn.XLOOKUP(Tabla_Presupuesto[[#This Row],[id_padre]],Tabla_Presupuesto[Id],Tabla_Presupuesto[Nivel],0,0,1)+1)</f>
        <v>3</v>
      </c>
      <c r="D158" s="2" t="s">
        <v>66</v>
      </c>
      <c r="E158" s="2">
        <f>IF(Tabla_Presupuesto[[#This Row],[Id_anterior]]=1,ROW()-1,SUM(ROW()-1,Tabla_Presupuesto[[#This Row],[Id_anterior]]))</f>
        <v>367</v>
      </c>
      <c r="F15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PRESUPUESTO_INFORMES_RESUMEN_ANTEPROYECTO_PRESUPUESTARIO_POR_UNIDAD</v>
      </c>
      <c r="G158" s="2" t="str">
        <f>CLEAN(PROPER(Tabla_Presupuesto[[#This Row],[Nombre Opción]]))</f>
        <v>Por Unidad</v>
      </c>
      <c r="H158" s="2" t="s">
        <v>1735</v>
      </c>
      <c r="I158" s="2" t="str">
        <f>_xlfn.XLOOKUP(Tabla_Presupuesto[[#This Row],[id_padre]],Tabla_Presupuesto[Id],Tabla_Presupuesto[Codigo_Tecnico],"",0,1)</f>
        <v>PRESUPUESTO_INFORMES_RESUMEN_ANTEPROYECTO_PRESUPUESTARIO</v>
      </c>
      <c r="J15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/presupuesto/informes/resumen-anteproyecto-presupuestario/por-unidad</v>
      </c>
      <c r="K15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</v>
      </c>
      <c r="L158" s="2" t="s">
        <v>1343</v>
      </c>
      <c r="M158" s="2" t="s">
        <v>1792</v>
      </c>
      <c r="N158" s="4"/>
      <c r="O158" s="4"/>
      <c r="P158" s="4" t="s">
        <v>360</v>
      </c>
      <c r="Q158" s="4"/>
      <c r="R158" s="4" t="s">
        <v>360</v>
      </c>
      <c r="U158" s="4" t="s">
        <v>360</v>
      </c>
      <c r="AA158" s="4" t="s">
        <v>360</v>
      </c>
      <c r="AB158" s="4" t="s">
        <v>360</v>
      </c>
      <c r="AC158" s="5"/>
      <c r="AD158" s="5"/>
      <c r="AE158" s="5"/>
      <c r="AF158" s="5" t="s">
        <v>360</v>
      </c>
      <c r="AG158" s="2" t="str">
        <f>IF(OR(Tabla_Presupuesto[[#This Row],[ROL_JEFE_CONT_PRESU]]="*",Tabla_Presupuesto[[#This Row],[ROL_JEFE_CONT_PRSU_HOSPI]]="*"),"*","")</f>
        <v>*</v>
      </c>
    </row>
    <row r="159" spans="1:33" x14ac:dyDescent="0.5">
      <c r="A159" s="5">
        <f>MAX(Tabla_Contabilidad[Id])</f>
        <v>210</v>
      </c>
      <c r="B159" s="2">
        <v>367</v>
      </c>
      <c r="C159" s="5">
        <f>IF(Tabla_Presupuesto[[#This Row],[id_padre]]="",0,_xlfn.XLOOKUP(Tabla_Presupuesto[[#This Row],[id_padre]],Tabla_Presupuesto[Id],Tabla_Presupuesto[Nivel],0,0,1)+1)</f>
        <v>4</v>
      </c>
      <c r="D159" s="2" t="s">
        <v>336</v>
      </c>
      <c r="E159" s="2">
        <f>IF(Tabla_Presupuesto[[#This Row],[Id_anterior]]=1,ROW()-1,SUM(ROW()-1,Tabla_Presupuesto[[#This Row],[Id_anterior]]))</f>
        <v>368</v>
      </c>
      <c r="F15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PRESUPUESTO_INFORMES_RESUMEN_ANTEPROYECTO_PRESUPUESTARIO_POR_UNIDAD_UNIDADES_INTERNAS_Y_FASES</v>
      </c>
      <c r="G159" s="2" t="str">
        <f>CLEAN(PROPER(Tabla_Presupuesto[[#This Row],[Nombre Opción]]))</f>
        <v>Unidades Internas Y Fases</v>
      </c>
      <c r="H159" s="2" t="s">
        <v>1735</v>
      </c>
      <c r="I159" s="2" t="str">
        <f>_xlfn.XLOOKUP(Tabla_Presupuesto[[#This Row],[id_padre]],Tabla_Presupuesto[Id],Tabla_Presupuesto[Codigo_Tecnico],"",0,1)</f>
        <v>PRESUPUESTO_INFORMES_RESUMEN_ANTEPROYECTO_PRESUPUESTARIO_POR_UNIDAD</v>
      </c>
      <c r="J15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/presupuesto/informes/resumen-anteproyecto-presupuestario/por-unidad/unidades-internas-y-fases</v>
      </c>
      <c r="K15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unidades-internas-y-fases</v>
      </c>
      <c r="L159" s="2" t="s">
        <v>1487</v>
      </c>
      <c r="M159" s="2" t="s">
        <v>1792</v>
      </c>
      <c r="N159" s="4"/>
      <c r="O159" s="4"/>
      <c r="P159" s="4" t="s">
        <v>360</v>
      </c>
      <c r="Q159" s="4"/>
      <c r="R159" s="4" t="s">
        <v>360</v>
      </c>
      <c r="U159" s="4" t="s">
        <v>360</v>
      </c>
      <c r="AA159" s="4" t="s">
        <v>360</v>
      </c>
      <c r="AB159" s="4" t="s">
        <v>360</v>
      </c>
      <c r="AC159" s="5"/>
      <c r="AD159" s="5"/>
      <c r="AE159" s="5"/>
      <c r="AF159" s="5" t="s">
        <v>360</v>
      </c>
      <c r="AG159" s="2" t="str">
        <f>IF(OR(Tabla_Presupuesto[[#This Row],[ROL_JEFE_CONT_PRESU]]="*",Tabla_Presupuesto[[#This Row],[ROL_JEFE_CONT_PRSU_HOSPI]]="*"),"*","")</f>
        <v>*</v>
      </c>
    </row>
    <row r="160" spans="1:33" x14ac:dyDescent="0.5">
      <c r="A160" s="5">
        <f>MAX(Tabla_Contabilidad[Id])</f>
        <v>210</v>
      </c>
      <c r="B160" s="2">
        <v>366</v>
      </c>
      <c r="C160" s="5">
        <f>IF(Tabla_Presupuesto[[#This Row],[id_padre]]="",0,_xlfn.XLOOKUP(Tabla_Presupuesto[[#This Row],[id_padre]],Tabla_Presupuesto[Id],Tabla_Presupuesto[Nivel],0,0,1)+1)</f>
        <v>3</v>
      </c>
      <c r="D160" s="2" t="s">
        <v>337</v>
      </c>
      <c r="E160" s="2">
        <f>IF(Tabla_Presupuesto[[#This Row],[Id_anterior]]=1,ROW()-1,SUM(ROW()-1,Tabla_Presupuesto[[#This Row],[Id_anterior]]))</f>
        <v>369</v>
      </c>
      <c r="F16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PRESUPUESTO_INFORMES_RESUMEN_ANTEPROYECTO_PRESUPUESTARIO_POR_ENTIDAD</v>
      </c>
      <c r="G160" s="2" t="str">
        <f>CLEAN(PROPER(Tabla_Presupuesto[[#This Row],[Nombre Opción]]))</f>
        <v>Por Entidad</v>
      </c>
      <c r="H160" s="2" t="s">
        <v>1735</v>
      </c>
      <c r="I160" s="2" t="str">
        <f>_xlfn.XLOOKUP(Tabla_Presupuesto[[#This Row],[id_padre]],Tabla_Presupuesto[Id],Tabla_Presupuesto[Codigo_Tecnico],"",0,1)</f>
        <v>PRESUPUESTO_INFORMES_RESUMEN_ANTEPROYECTO_PRESUPUESTARIO</v>
      </c>
      <c r="J16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/presupuesto/informes/resumen-anteproyecto-presupuestario/por-entidad</v>
      </c>
      <c r="K16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por-entidad</v>
      </c>
      <c r="L160" s="2" t="s">
        <v>1507</v>
      </c>
      <c r="M160" s="2" t="s">
        <v>1792</v>
      </c>
      <c r="N160" s="4"/>
      <c r="O160" s="4"/>
      <c r="P160" s="4" t="s">
        <v>360</v>
      </c>
      <c r="Q160" s="4"/>
      <c r="R160" s="4" t="s">
        <v>360</v>
      </c>
      <c r="U160" s="4" t="s">
        <v>360</v>
      </c>
      <c r="AA160" s="4" t="s">
        <v>360</v>
      </c>
      <c r="AB160" s="4" t="s">
        <v>360</v>
      </c>
      <c r="AC160" s="5"/>
      <c r="AD160" s="5"/>
      <c r="AE160" s="5"/>
      <c r="AF160" s="5" t="s">
        <v>360</v>
      </c>
      <c r="AG160" s="2" t="str">
        <f>IF(OR(Tabla_Presupuesto[[#This Row],[ROL_JEFE_CONT_PRESU]]="*",Tabla_Presupuesto[[#This Row],[ROL_JEFE_CONT_PRSU_HOSPI]]="*"),"*","")</f>
        <v>*</v>
      </c>
    </row>
    <row r="161" spans="1:33" x14ac:dyDescent="0.5">
      <c r="A161" s="5">
        <f>MAX(Tabla_Contabilidad[Id])</f>
        <v>210</v>
      </c>
      <c r="B161" s="2">
        <v>369</v>
      </c>
      <c r="C161" s="5">
        <f>IF(Tabla_Presupuesto[[#This Row],[id_padre]]="",0,_xlfn.XLOOKUP(Tabla_Presupuesto[[#This Row],[id_padre]],Tabla_Presupuesto[Id],Tabla_Presupuesto[Nivel],0,0,1)+1)</f>
        <v>4</v>
      </c>
      <c r="D161" s="2" t="s">
        <v>338</v>
      </c>
      <c r="E161" s="2">
        <f>IF(Tabla_Presupuesto[[#This Row],[Id_anterior]]=1,ROW()-1,SUM(ROW()-1,Tabla_Presupuesto[[#This Row],[Id_anterior]]))</f>
        <v>370</v>
      </c>
      <c r="F16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PRESUPUESTO_INFORMES_RESUMEN_ANTEPROYECTO_PRESUPUESTARIO_POR_ENTIDAD_ACTIVIDAD</v>
      </c>
      <c r="G161" s="2" t="str">
        <f>CLEAN(PROPER(Tabla_Presupuesto[[#This Row],[Nombre Opción]]))</f>
        <v>Actividad</v>
      </c>
      <c r="H161" s="2" t="s">
        <v>1735</v>
      </c>
      <c r="I161" s="2" t="str">
        <f>_xlfn.XLOOKUP(Tabla_Presupuesto[[#This Row],[id_padre]],Tabla_Presupuesto[Id],Tabla_Presupuesto[Codigo_Tecnico],"",0,1)</f>
        <v>PRESUPUESTO_INFORMES_RESUMEN_ANTEPROYECTO_PRESUPUESTARIO_POR_ENTIDAD</v>
      </c>
      <c r="J16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/presupuesto/informes/resumen-anteproyecto-presupuestario/por-entidad/actividad</v>
      </c>
      <c r="K16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actividad</v>
      </c>
      <c r="L161" s="2" t="s">
        <v>1508</v>
      </c>
      <c r="M161" s="2" t="s">
        <v>1792</v>
      </c>
      <c r="N161" s="4"/>
      <c r="O161" s="4"/>
      <c r="P161" s="4" t="s">
        <v>360</v>
      </c>
      <c r="Q161" s="4"/>
      <c r="R161" s="4" t="s">
        <v>360</v>
      </c>
      <c r="U161" s="4" t="s">
        <v>360</v>
      </c>
      <c r="AA161" s="4" t="s">
        <v>360</v>
      </c>
      <c r="AB161" s="4" t="s">
        <v>360</v>
      </c>
      <c r="AC161" s="5"/>
      <c r="AD161" s="5"/>
      <c r="AE161" s="5"/>
      <c r="AF161" s="5" t="s">
        <v>360</v>
      </c>
      <c r="AG161" s="2" t="str">
        <f>IF(OR(Tabla_Presupuesto[[#This Row],[ROL_JEFE_CONT_PRESU]]="*",Tabla_Presupuesto[[#This Row],[ROL_JEFE_CONT_PRSU_HOSPI]]="*"),"*","")</f>
        <v>*</v>
      </c>
    </row>
    <row r="162" spans="1:33" x14ac:dyDescent="0.5">
      <c r="A162" s="5">
        <f>MAX(Tabla_Contabilidad[Id])</f>
        <v>210</v>
      </c>
      <c r="B162" s="2">
        <v>369</v>
      </c>
      <c r="C162" s="5">
        <f>IF(Tabla_Presupuesto[[#This Row],[id_padre]]="",0,_xlfn.XLOOKUP(Tabla_Presupuesto[[#This Row],[id_padre]],Tabla_Presupuesto[Id],Tabla_Presupuesto[Nivel],0,0,1)+1)</f>
        <v>4</v>
      </c>
      <c r="D162" s="2" t="s">
        <v>339</v>
      </c>
      <c r="E162" s="2">
        <f>IF(Tabla_Presupuesto[[#This Row],[Id_anterior]]=1,ROW()-1,SUM(ROW()-1,Tabla_Presupuesto[[#This Row],[Id_anterior]]))</f>
        <v>371</v>
      </c>
      <c r="F16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PRESUPUESTO_INFORMES_RESUMEN_ANTEPROYECTO_PRESUPUESTARIO_POR_ENTIDAD_PROGRAMA,_SUBPROGRAMA_Y_ACTIVIDAD</v>
      </c>
      <c r="G162" s="2" t="str">
        <f>CLEAN(PROPER(Tabla_Presupuesto[[#This Row],[Nombre Opción]]))</f>
        <v>Programa, Subprograma Y Actividad</v>
      </c>
      <c r="H162" s="2" t="s">
        <v>1735</v>
      </c>
      <c r="I162" s="2" t="str">
        <f>_xlfn.XLOOKUP(Tabla_Presupuesto[[#This Row],[id_padre]],Tabla_Presupuesto[Id],Tabla_Presupuesto[Codigo_Tecnico],"",0,1)</f>
        <v>PRESUPUESTO_INFORMES_RESUMEN_ANTEPROYECTO_PRESUPUESTARIO_POR_ENTIDAD</v>
      </c>
      <c r="J16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/presupuesto/informes/resumen-anteproyecto-presupuestario/por-entidad/programa,-subprograma-y-actividad</v>
      </c>
      <c r="K16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programa,-subprograma-y-actividad</v>
      </c>
      <c r="L162" s="2" t="s">
        <v>1341</v>
      </c>
      <c r="M162" s="2" t="s">
        <v>1792</v>
      </c>
      <c r="N162" s="4"/>
      <c r="O162" s="4"/>
      <c r="P162" s="4" t="s">
        <v>360</v>
      </c>
      <c r="Q162" s="4"/>
      <c r="R162" s="4" t="s">
        <v>360</v>
      </c>
      <c r="U162" s="4" t="s">
        <v>360</v>
      </c>
      <c r="AA162" s="4" t="s">
        <v>360</v>
      </c>
      <c r="AB162" s="4" t="s">
        <v>360</v>
      </c>
      <c r="AC162" s="5"/>
      <c r="AD162" s="5"/>
      <c r="AE162" s="5"/>
      <c r="AF162" s="5" t="s">
        <v>360</v>
      </c>
      <c r="AG162" s="2" t="str">
        <f>IF(OR(Tabla_Presupuesto[[#This Row],[ROL_JEFE_CONT_PRESU]]="*",Tabla_Presupuesto[[#This Row],[ROL_JEFE_CONT_PRSU_HOSPI]]="*"),"*","")</f>
        <v>*</v>
      </c>
    </row>
    <row r="163" spans="1:33" x14ac:dyDescent="0.5">
      <c r="A163" s="5">
        <f>MAX(Tabla_Contabilidad[Id])</f>
        <v>210</v>
      </c>
      <c r="B163" s="2">
        <v>369</v>
      </c>
      <c r="C163" s="5">
        <f>IF(Tabla_Presupuesto[[#This Row],[id_padre]]="",0,_xlfn.XLOOKUP(Tabla_Presupuesto[[#This Row],[id_padre]],Tabla_Presupuesto[Id],Tabla_Presupuesto[Nivel],0,0,1)+1)</f>
        <v>4</v>
      </c>
      <c r="D163" s="2" t="s">
        <v>340</v>
      </c>
      <c r="E163" s="2">
        <f>IF(Tabla_Presupuesto[[#This Row],[Id_anterior]]=1,ROW()-1,SUM(ROW()-1,Tabla_Presupuesto[[#This Row],[Id_anterior]]))</f>
        <v>372</v>
      </c>
      <c r="F16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PRESUPUESTO_INFORMES_RESUMEN_ANTEPROYECTO_PRESUPUESTARIO_POR_ENTIDAD_SUBTITULO,_ITEM,_ASIGNACION_Y_FASES</v>
      </c>
      <c r="G163" s="2" t="str">
        <f>CLEAN(PROPER(Tabla_Presupuesto[[#This Row],[Nombre Opción]]))</f>
        <v>Subtitulo, Item, Asignacion Y Fases</v>
      </c>
      <c r="H163" s="2" t="s">
        <v>1735</v>
      </c>
      <c r="I163" s="2" t="str">
        <f>_xlfn.XLOOKUP(Tabla_Presupuesto[[#This Row],[id_padre]],Tabla_Presupuesto[Id],Tabla_Presupuesto[Codigo_Tecnico],"",0,1)</f>
        <v>PRESUPUESTO_INFORMES_RESUMEN_ANTEPROYECTO_PRESUPUESTARIO_POR_ENTIDAD</v>
      </c>
      <c r="J16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/presupuesto/informes/resumen-anteproyecto-presupuestario/por-entidad/subtitulo,-item,-asignacion-y-fases</v>
      </c>
      <c r="K16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subtitulo,-item,-asignacion-y-fases</v>
      </c>
      <c r="L163" s="2" t="s">
        <v>1389</v>
      </c>
      <c r="M163" s="2" t="s">
        <v>1792</v>
      </c>
      <c r="N163" s="4"/>
      <c r="O163" s="4"/>
      <c r="P163" s="4" t="s">
        <v>360</v>
      </c>
      <c r="Q163" s="4"/>
      <c r="R163" s="4" t="s">
        <v>360</v>
      </c>
      <c r="U163" s="4" t="s">
        <v>360</v>
      </c>
      <c r="AA163" s="4" t="s">
        <v>360</v>
      </c>
      <c r="AB163" s="4" t="s">
        <v>360</v>
      </c>
      <c r="AC163" s="5"/>
      <c r="AD163" s="5"/>
      <c r="AE163" s="5"/>
      <c r="AF163" s="5" t="s">
        <v>360</v>
      </c>
      <c r="AG163" s="2" t="str">
        <f>IF(OR(Tabla_Presupuesto[[#This Row],[ROL_JEFE_CONT_PRESU]]="*",Tabla_Presupuesto[[#This Row],[ROL_JEFE_CONT_PRSU_HOSPI]]="*"),"*","")</f>
        <v>*</v>
      </c>
    </row>
    <row r="164" spans="1:33" x14ac:dyDescent="0.5">
      <c r="A164" s="5">
        <f>MAX(Tabla_Contabilidad[Id])</f>
        <v>210</v>
      </c>
      <c r="B164" s="2">
        <v>215</v>
      </c>
      <c r="C164" s="5">
        <f>IF(Tabla_Presupuesto[[#This Row],[id_padre]]="",0,_xlfn.XLOOKUP(Tabla_Presupuesto[[#This Row],[id_padre]],Tabla_Presupuesto[Id],Tabla_Presupuesto[Nivel],0,0,1)+1)</f>
        <v>2</v>
      </c>
      <c r="D164" s="2" t="s">
        <v>2004</v>
      </c>
      <c r="E164" s="2">
        <f>IF(Tabla_Presupuesto[[#This Row],[Id_anterior]]=1,ROW()-1,SUM(ROW()-1,Tabla_Presupuesto[[#This Row],[Id_anterior]]))</f>
        <v>373</v>
      </c>
      <c r="F16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</v>
      </c>
      <c r="G164" s="2" t="str">
        <f>CLEAN(PROPER(Tabla_Presupuesto[[#This Row],[Nombre Opción]]))</f>
        <v>Flujo Caja</v>
      </c>
      <c r="H164" s="2" t="s">
        <v>1735</v>
      </c>
      <c r="I164" s="2" t="str">
        <f>_xlfn.XLOOKUP(Tabla_Presupuesto[[#This Row],[id_padre]],Tabla_Presupuesto[Id],Tabla_Presupuesto[Codigo_Tecnico],"",0,1)</f>
        <v>PRESUPUESTO_INFORMES</v>
      </c>
      <c r="J16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</v>
      </c>
      <c r="K16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flujo-caja</v>
      </c>
      <c r="L164" s="2" t="s">
        <v>1338</v>
      </c>
      <c r="M164" s="2" t="s">
        <v>1792</v>
      </c>
      <c r="N164" s="4"/>
      <c r="O164" s="4"/>
      <c r="P164" s="4" t="s">
        <v>360</v>
      </c>
      <c r="Q164" s="4"/>
      <c r="R164" s="4" t="s">
        <v>360</v>
      </c>
      <c r="U164" s="4" t="s">
        <v>360</v>
      </c>
      <c r="AB164" s="4" t="s">
        <v>360</v>
      </c>
      <c r="AC164" s="5"/>
      <c r="AD164" s="5"/>
      <c r="AE164" s="5" t="s">
        <v>360</v>
      </c>
      <c r="AF164" s="5" t="s">
        <v>360</v>
      </c>
      <c r="AG164" s="2" t="str">
        <f>IF(OR(Tabla_Presupuesto[[#This Row],[ROL_JEFE_CONT_PRESU]]="*",Tabla_Presupuesto[[#This Row],[ROL_JEFE_CONT_PRSU_HOSPI]]="*"),"*","")</f>
        <v>*</v>
      </c>
    </row>
    <row r="165" spans="1:33" x14ac:dyDescent="0.5">
      <c r="A165" s="5">
        <f>MAX(Tabla_Contabilidad[Id])</f>
        <v>210</v>
      </c>
      <c r="B165" s="2">
        <v>373</v>
      </c>
      <c r="C165" s="5">
        <f>IF(Tabla_Presupuesto[[#This Row],[id_padre]]="",0,_xlfn.XLOOKUP(Tabla_Presupuesto[[#This Row],[id_padre]],Tabla_Presupuesto[Id],Tabla_Presupuesto[Nivel],0,0,1)+1)</f>
        <v>3</v>
      </c>
      <c r="D165" s="2" t="s">
        <v>271</v>
      </c>
      <c r="E165" s="2">
        <f>IF(Tabla_Presupuesto[[#This Row],[Id_anterior]]=1,ROW()-1,SUM(ROW()-1,Tabla_Presupuesto[[#This Row],[Id_anterior]]))</f>
        <v>374</v>
      </c>
      <c r="F16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PRESUPUESTO_INFORMES_FLUJO_CAJA_CALENDARIZACION_FLUJO_CAJA_ENTIDAD</v>
      </c>
      <c r="G165" s="2" t="str">
        <f>CLEAN(PROPER(Tabla_Presupuesto[[#This Row],[Nombre Opción]]))</f>
        <v>Calendarizacion Flujo De Caja Entidad</v>
      </c>
      <c r="H165" s="2" t="s">
        <v>1735</v>
      </c>
      <c r="I165" s="2" t="str">
        <f>_xlfn.XLOOKUP(Tabla_Presupuesto[[#This Row],[id_padre]],Tabla_Presupuesto[Id],Tabla_Presupuesto[Codigo_Tecnico],"",0,1)</f>
        <v>PRESUPUESTO_INFORMES_FLUJO_CAJA</v>
      </c>
      <c r="J16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/presupuesto/informes/flujo-caja/calendarizacion-flujo-caja-entidad</v>
      </c>
      <c r="K16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calendarizacion-flujo-caja-entidad</v>
      </c>
      <c r="L165" s="2" t="s">
        <v>1462</v>
      </c>
      <c r="M165" s="2" t="s">
        <v>1792</v>
      </c>
      <c r="N165" s="4"/>
      <c r="O165" s="4"/>
      <c r="P165" s="4" t="s">
        <v>360</v>
      </c>
      <c r="Q165" s="4"/>
      <c r="R165" s="4" t="s">
        <v>360</v>
      </c>
      <c r="U165" s="4" t="s">
        <v>360</v>
      </c>
      <c r="AB165" s="4" t="s">
        <v>360</v>
      </c>
      <c r="AC165" s="5"/>
      <c r="AD165" s="5"/>
      <c r="AE165" s="5" t="s">
        <v>360</v>
      </c>
      <c r="AF165" s="5" t="s">
        <v>360</v>
      </c>
      <c r="AG165" s="2" t="str">
        <f>IF(OR(Tabla_Presupuesto[[#This Row],[ROL_JEFE_CONT_PRESU]]="*",Tabla_Presupuesto[[#This Row],[ROL_JEFE_CONT_PRSU_HOSPI]]="*"),"*","")</f>
        <v>*</v>
      </c>
    </row>
    <row r="166" spans="1:33" x14ac:dyDescent="0.5">
      <c r="A166" s="5">
        <f>MAX(Tabla_Contabilidad[Id])</f>
        <v>210</v>
      </c>
      <c r="B166" s="2">
        <v>373</v>
      </c>
      <c r="C166" s="5">
        <f>IF(Tabla_Presupuesto[[#This Row],[id_padre]]="",0,_xlfn.XLOOKUP(Tabla_Presupuesto[[#This Row],[id_padre]],Tabla_Presupuesto[Id],Tabla_Presupuesto[Nivel],0,0,1)+1)</f>
        <v>3</v>
      </c>
      <c r="D166" s="2" t="s">
        <v>341</v>
      </c>
      <c r="E166" s="2">
        <f>IF(Tabla_Presupuesto[[#This Row],[Id_anterior]]=1,ROW()-1,SUM(ROW()-1,Tabla_Presupuesto[[#This Row],[Id_anterior]]))</f>
        <v>375</v>
      </c>
      <c r="F16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PRESUPUESTO_INFORMES_FLUJO_CAJA_CALENDARIZACION_FLUJO_CAJA_ENTIDAD_DS_ESPECIFICO</v>
      </c>
      <c r="G166" s="2" t="str">
        <f>CLEAN(PROPER(Tabla_Presupuesto[[#This Row],[Nombre Opción]]))</f>
        <v>Calendarizacion Flujo De Caja Entidad D.S. Especifico</v>
      </c>
      <c r="H166" s="2" t="s">
        <v>1735</v>
      </c>
      <c r="I166" s="2" t="str">
        <f>_xlfn.XLOOKUP(Tabla_Presupuesto[[#This Row],[id_padre]],Tabla_Presupuesto[Id],Tabla_Presupuesto[Codigo_Tecnico],"",0,1)</f>
        <v>PRESUPUESTO_INFORMES_FLUJO_CAJA</v>
      </c>
      <c r="J16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/presupuesto/informes/flujo-caja/calendarizacion-flujo-caja-entidad-ds-especifico</v>
      </c>
      <c r="K16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calendarizacion-flujo-caja-entidad-ds-especifico</v>
      </c>
      <c r="L166" s="2" t="s">
        <v>1509</v>
      </c>
      <c r="M166" s="2" t="s">
        <v>1792</v>
      </c>
      <c r="N166" s="4"/>
      <c r="O166" s="4"/>
      <c r="P166" s="4" t="s">
        <v>360</v>
      </c>
      <c r="Q166" s="4"/>
      <c r="R166" s="4" t="s">
        <v>360</v>
      </c>
      <c r="U166" s="4" t="s">
        <v>360</v>
      </c>
      <c r="AB166" s="4" t="s">
        <v>360</v>
      </c>
      <c r="AC166" s="5"/>
      <c r="AD166" s="5"/>
      <c r="AE166" s="5" t="s">
        <v>360</v>
      </c>
      <c r="AF166" s="5" t="s">
        <v>360</v>
      </c>
      <c r="AG166" s="2" t="str">
        <f>IF(OR(Tabla_Presupuesto[[#This Row],[ROL_JEFE_CONT_PRESU]]="*",Tabla_Presupuesto[[#This Row],[ROL_JEFE_CONT_PRSU_HOSPI]]="*"),"*","")</f>
        <v>*</v>
      </c>
    </row>
    <row r="167" spans="1:33" x14ac:dyDescent="0.5">
      <c r="A167" s="5">
        <f>MAX(Tabla_Contabilidad[Id])</f>
        <v>210</v>
      </c>
      <c r="B167" s="2">
        <v>373</v>
      </c>
      <c r="C167" s="5">
        <f>IF(Tabla_Presupuesto[[#This Row],[id_padre]]="",0,_xlfn.XLOOKUP(Tabla_Presupuesto[[#This Row],[id_padre]],Tabla_Presupuesto[Id],Tabla_Presupuesto[Nivel],0,0,1)+1)</f>
        <v>3</v>
      </c>
      <c r="D167" s="2" t="s">
        <v>272</v>
      </c>
      <c r="E167" s="2">
        <f>IF(Tabla_Presupuesto[[#This Row],[Id_anterior]]=1,ROW()-1,SUM(ROW()-1,Tabla_Presupuesto[[#This Row],[Id_anterior]]))</f>
        <v>376</v>
      </c>
      <c r="F16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PRESUPUESTO_INFORMES_FLUJO_CAJA_CALENDARIZACION_FLUJO_CAJA_UNIDAD</v>
      </c>
      <c r="G167" s="2" t="str">
        <f>CLEAN(PROPER(Tabla_Presupuesto[[#This Row],[Nombre Opción]]))</f>
        <v>Calendarizacion Flujo De Caja Unidad</v>
      </c>
      <c r="H167" s="2" t="s">
        <v>1735</v>
      </c>
      <c r="I167" s="2" t="str">
        <f>_xlfn.XLOOKUP(Tabla_Presupuesto[[#This Row],[id_padre]],Tabla_Presupuesto[Id],Tabla_Presupuesto[Codigo_Tecnico],"",0,1)</f>
        <v>PRESUPUESTO_INFORMES_FLUJO_CAJA</v>
      </c>
      <c r="J16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/presupuesto/informes/flujo-caja/calendarizacion-flujo-caja-unidad</v>
      </c>
      <c r="K16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calendarizacion-flujo-caja-unidad</v>
      </c>
      <c r="L167" s="2" t="s">
        <v>1456</v>
      </c>
      <c r="M167" s="2" t="s">
        <v>1792</v>
      </c>
      <c r="N167" s="4"/>
      <c r="O167" s="4"/>
      <c r="P167" s="4" t="s">
        <v>360</v>
      </c>
      <c r="Q167" s="4" t="s">
        <v>360</v>
      </c>
      <c r="R167" s="4" t="s">
        <v>360</v>
      </c>
      <c r="S167" s="4" t="s">
        <v>360</v>
      </c>
      <c r="U167" s="4" t="s">
        <v>360</v>
      </c>
      <c r="X167" s="4" t="s">
        <v>360</v>
      </c>
      <c r="Y167" s="4" t="s">
        <v>360</v>
      </c>
      <c r="AA167" s="4" t="s">
        <v>360</v>
      </c>
      <c r="AB167" s="4" t="s">
        <v>360</v>
      </c>
      <c r="AE167" s="4" t="s">
        <v>360</v>
      </c>
      <c r="AF167" s="5" t="s">
        <v>360</v>
      </c>
      <c r="AG167" s="2" t="str">
        <f>IF(OR(Tabla_Presupuesto[[#This Row],[ROL_JEFE_CONT_PRESU]]="*",Tabla_Presupuesto[[#This Row],[ROL_JEFE_CONT_PRSU_HOSPI]]="*"),"*","")</f>
        <v>*</v>
      </c>
    </row>
    <row r="168" spans="1:33" x14ac:dyDescent="0.5">
      <c r="A168" s="5">
        <f>MAX(Tabla_Contabilidad[Id])</f>
        <v>210</v>
      </c>
      <c r="B168" s="2">
        <v>373</v>
      </c>
      <c r="C168" s="5">
        <f>IF(Tabla_Presupuesto[[#This Row],[id_padre]]="",0,_xlfn.XLOOKUP(Tabla_Presupuesto[[#This Row],[id_padre]],Tabla_Presupuesto[Id],Tabla_Presupuesto[Nivel],0,0,1)+1)</f>
        <v>3</v>
      </c>
      <c r="D168" s="2" t="s">
        <v>342</v>
      </c>
      <c r="E168" s="2">
        <f>IF(Tabla_Presupuesto[[#This Row],[Id_anterior]]=1,ROW()-1,SUM(ROW()-1,Tabla_Presupuesto[[#This Row],[Id_anterior]]))</f>
        <v>377</v>
      </c>
      <c r="F16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PRESUPUESTO_INFORMES_FLUJO_CAJA_CALENDARIZACION_FLUJO_CAJA_UNIDAD_DS_ESPECIFICO</v>
      </c>
      <c r="G168" s="2" t="str">
        <f>CLEAN(PROPER(Tabla_Presupuesto[[#This Row],[Nombre Opción]]))</f>
        <v>Calendarizacion Flujo De Caja Unidad D.S. Especifico</v>
      </c>
      <c r="H168" s="2" t="s">
        <v>1735</v>
      </c>
      <c r="I168" s="2" t="str">
        <f>_xlfn.XLOOKUP(Tabla_Presupuesto[[#This Row],[id_padre]],Tabla_Presupuesto[Id],Tabla_Presupuesto[Codigo_Tecnico],"",0,1)</f>
        <v>PRESUPUESTO_INFORMES_FLUJO_CAJA</v>
      </c>
      <c r="J16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/presupuesto/informes/flujo-caja/calendarizacion-flujo-caja-unidad-ds-especifico</v>
      </c>
      <c r="K16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calendarizacion-flujo-caja-unidad-ds-especifico</v>
      </c>
      <c r="L168" s="2" t="s">
        <v>1387</v>
      </c>
      <c r="M168" s="2" t="s">
        <v>1792</v>
      </c>
      <c r="N168" s="4"/>
      <c r="O168" s="4"/>
      <c r="P168" s="4" t="s">
        <v>360</v>
      </c>
      <c r="Q168" s="4" t="s">
        <v>360</v>
      </c>
      <c r="R168" s="4" t="s">
        <v>360</v>
      </c>
      <c r="S168" s="4" t="s">
        <v>360</v>
      </c>
      <c r="U168" s="4" t="s">
        <v>360</v>
      </c>
      <c r="X168" s="4" t="s">
        <v>360</v>
      </c>
      <c r="Y168" s="4" t="s">
        <v>360</v>
      </c>
      <c r="AA168" s="4" t="s">
        <v>360</v>
      </c>
      <c r="AB168" s="4" t="s">
        <v>360</v>
      </c>
      <c r="AE168" s="4" t="s">
        <v>360</v>
      </c>
      <c r="AF168" s="5" t="s">
        <v>360</v>
      </c>
      <c r="AG168" s="2" t="str">
        <f>IF(OR(Tabla_Presupuesto[[#This Row],[ROL_JEFE_CONT_PRESU]]="*",Tabla_Presupuesto[[#This Row],[ROL_JEFE_CONT_PRSU_HOSPI]]="*"),"*","")</f>
        <v>*</v>
      </c>
    </row>
    <row r="169" spans="1:33" x14ac:dyDescent="0.5">
      <c r="A169" s="5">
        <f>MAX(Tabla_Contabilidad[Id])</f>
        <v>210</v>
      </c>
      <c r="B169" s="2">
        <v>373</v>
      </c>
      <c r="C169" s="5">
        <f>IF(Tabla_Presupuesto[[#This Row],[id_padre]]="",0,_xlfn.XLOOKUP(Tabla_Presupuesto[[#This Row],[id_padre]],Tabla_Presupuesto[Id],Tabla_Presupuesto[Nivel],0,0,1)+1)</f>
        <v>3</v>
      </c>
      <c r="D169" s="2" t="s">
        <v>343</v>
      </c>
      <c r="E169" s="2">
        <f>IF(Tabla_Presupuesto[[#This Row],[Id_anterior]]=1,ROW()-1,SUM(ROW()-1,Tabla_Presupuesto[[#This Row],[Id_anterior]]))</f>
        <v>378</v>
      </c>
      <c r="F16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PRESUPUESTO_INFORMES_FLUJO_CAJA_CALENDARIZACION_FLUJO_CAJA_UNIDAD_INTERNA_DS_ESPECIFICO</v>
      </c>
      <c r="G169" s="2" t="str">
        <f>CLEAN(PROPER(Tabla_Presupuesto[[#This Row],[Nombre Opción]]))</f>
        <v>Calendarizacion Flujo De Caja Unidad Interna D.S. Especifico</v>
      </c>
      <c r="H169" s="2" t="s">
        <v>1735</v>
      </c>
      <c r="I169" s="2" t="str">
        <f>_xlfn.XLOOKUP(Tabla_Presupuesto[[#This Row],[id_padre]],Tabla_Presupuesto[Id],Tabla_Presupuesto[Codigo_Tecnico],"",0,1)</f>
        <v>PRESUPUESTO_INFORMES_FLUJO_CAJA</v>
      </c>
      <c r="J16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/presupuesto/informes/flujo-caja/calendarizacion-flujo-caja-unidad-interna-ds-especifico</v>
      </c>
      <c r="K16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calendarizacion-flujo-caja-unidad-interna-ds-especifico</v>
      </c>
      <c r="L169" s="2" t="s">
        <v>1341</v>
      </c>
      <c r="M169" s="2" t="s">
        <v>1792</v>
      </c>
      <c r="N169" s="4"/>
      <c r="O169" s="4"/>
      <c r="P169" s="4" t="s">
        <v>360</v>
      </c>
      <c r="Q169" s="4" t="s">
        <v>360</v>
      </c>
      <c r="R169" s="4" t="s">
        <v>360</v>
      </c>
      <c r="S169" s="4" t="s">
        <v>360</v>
      </c>
      <c r="U169" s="4" t="s">
        <v>360</v>
      </c>
      <c r="X169" s="4" t="s">
        <v>360</v>
      </c>
      <c r="Y169" s="4" t="s">
        <v>360</v>
      </c>
      <c r="AA169" s="4" t="s">
        <v>360</v>
      </c>
      <c r="AB169" s="4" t="s">
        <v>360</v>
      </c>
      <c r="AE169" s="4" t="s">
        <v>360</v>
      </c>
      <c r="AF169" s="5" t="s">
        <v>360</v>
      </c>
      <c r="AG169" s="2" t="str">
        <f>IF(OR(Tabla_Presupuesto[[#This Row],[ROL_JEFE_CONT_PRESU]]="*",Tabla_Presupuesto[[#This Row],[ROL_JEFE_CONT_PRSU_HOSPI]]="*"),"*","")</f>
        <v>*</v>
      </c>
    </row>
    <row r="170" spans="1:33" x14ac:dyDescent="0.5">
      <c r="A170" s="5">
        <f>MAX(Tabla_Contabilidad[Id])</f>
        <v>210</v>
      </c>
      <c r="B170" s="2">
        <v>373</v>
      </c>
      <c r="C170" s="5">
        <f>IF(Tabla_Presupuesto[[#This Row],[id_padre]]="",0,_xlfn.XLOOKUP(Tabla_Presupuesto[[#This Row],[id_padre]],Tabla_Presupuesto[Id],Tabla_Presupuesto[Nivel],0,0,1)+1)</f>
        <v>3</v>
      </c>
      <c r="D170" s="2" t="s">
        <v>345</v>
      </c>
      <c r="E170" s="2">
        <f>IF(Tabla_Presupuesto[[#This Row],[Id_anterior]]=1,ROW()-1,SUM(ROW()-1,Tabla_Presupuesto[[#This Row],[Id_anterior]]))</f>
        <v>379</v>
      </c>
      <c r="F17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PRESUPUESTO_INFORMES_FLUJO_CAJA_CAJA_SOLICITADA_POR_UNIDAD</v>
      </c>
      <c r="G170" s="2" t="str">
        <f>CLEAN(PROPER(Tabla_Presupuesto[[#This Row],[Nombre Opción]]))</f>
        <v>Caja Solicitada Por Unidad</v>
      </c>
      <c r="H170" s="2" t="s">
        <v>1735</v>
      </c>
      <c r="I170" s="2" t="str">
        <f>_xlfn.XLOOKUP(Tabla_Presupuesto[[#This Row],[id_padre]],Tabla_Presupuesto[Id],Tabla_Presupuesto[Codigo_Tecnico],"",0,1)</f>
        <v>PRESUPUESTO_INFORMES_FLUJO_CAJA</v>
      </c>
      <c r="J17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/presupuesto/informes/flujo-caja/caja-solicitada-por-unidad</v>
      </c>
      <c r="K17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caja-solicitada-por-unidad</v>
      </c>
      <c r="L170" s="2" t="s">
        <v>1507</v>
      </c>
      <c r="M170" s="2" t="s">
        <v>1792</v>
      </c>
      <c r="N170" s="4"/>
      <c r="O170" s="4"/>
      <c r="P170" s="4" t="s">
        <v>360</v>
      </c>
      <c r="Q170" s="4" t="s">
        <v>360</v>
      </c>
      <c r="R170" s="4" t="s">
        <v>360</v>
      </c>
      <c r="S170" s="4" t="s">
        <v>360</v>
      </c>
      <c r="T170" s="4" t="s">
        <v>360</v>
      </c>
      <c r="U170" s="4" t="s">
        <v>360</v>
      </c>
      <c r="V170" s="4" t="s">
        <v>360</v>
      </c>
      <c r="W170" s="4" t="s">
        <v>360</v>
      </c>
      <c r="X170" s="4" t="s">
        <v>360</v>
      </c>
      <c r="Y170" s="4" t="s">
        <v>360</v>
      </c>
      <c r="Z170" s="4" t="s">
        <v>360</v>
      </c>
      <c r="AA170" s="4" t="s">
        <v>360</v>
      </c>
      <c r="AB170" s="4" t="s">
        <v>360</v>
      </c>
      <c r="AC170" s="4" t="s">
        <v>360</v>
      </c>
      <c r="AF170" s="5" t="s">
        <v>360</v>
      </c>
      <c r="AG170" s="2" t="str">
        <f>IF(OR(Tabla_Presupuesto[[#This Row],[ROL_JEFE_CONT_PRESU]]="*",Tabla_Presupuesto[[#This Row],[ROL_JEFE_CONT_PRSU_HOSPI]]="*"),"*","")</f>
        <v>*</v>
      </c>
    </row>
    <row r="171" spans="1:33" x14ac:dyDescent="0.5">
      <c r="A171" s="5">
        <f>MAX(Tabla_Contabilidad[Id])</f>
        <v>210</v>
      </c>
      <c r="B171" s="2">
        <v>373</v>
      </c>
      <c r="C171" s="5">
        <f>IF(Tabla_Presupuesto[[#This Row],[id_padre]]="",0,_xlfn.XLOOKUP(Tabla_Presupuesto[[#This Row],[id_padre]],Tabla_Presupuesto[Id],Tabla_Presupuesto[Nivel],0,0,1)+1)</f>
        <v>3</v>
      </c>
      <c r="D171" s="2" t="s">
        <v>346</v>
      </c>
      <c r="E171" s="2">
        <f>IF(Tabla_Presupuesto[[#This Row],[Id_anterior]]=1,ROW()-1,SUM(ROW()-1,Tabla_Presupuesto[[#This Row],[Id_anterior]]))</f>
        <v>380</v>
      </c>
      <c r="F17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PRESUPUESTO_INFORMES_FLUJO_CAJA_CAJA_SOLICITADA_POR_UNIDAD_INTERNA</v>
      </c>
      <c r="G171" s="2" t="str">
        <f>CLEAN(PROPER(Tabla_Presupuesto[[#This Row],[Nombre Opción]]))</f>
        <v>Caja Solicitada Por Unidad Interna</v>
      </c>
      <c r="H171" s="2" t="s">
        <v>1735</v>
      </c>
      <c r="I171" s="2" t="str">
        <f>_xlfn.XLOOKUP(Tabla_Presupuesto[[#This Row],[id_padre]],Tabla_Presupuesto[Id],Tabla_Presupuesto[Codigo_Tecnico],"",0,1)</f>
        <v>PRESUPUESTO_INFORMES_FLUJO_CAJA</v>
      </c>
      <c r="J17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/presupuesto/informes/flujo-caja/caja-solicitada-por-unidad-interna</v>
      </c>
      <c r="K17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caja-solicitada-por-unidad-interna</v>
      </c>
      <c r="L171" s="2" t="s">
        <v>1367</v>
      </c>
      <c r="M171" s="2" t="s">
        <v>1792</v>
      </c>
      <c r="N171" s="4"/>
      <c r="O171" s="4"/>
      <c r="P171" s="4" t="s">
        <v>360</v>
      </c>
      <c r="Q171" s="4" t="s">
        <v>360</v>
      </c>
      <c r="R171" s="4" t="s">
        <v>360</v>
      </c>
      <c r="S171" s="4" t="s">
        <v>360</v>
      </c>
      <c r="T171" s="4" t="s">
        <v>360</v>
      </c>
      <c r="U171" s="4" t="s">
        <v>360</v>
      </c>
      <c r="V171" s="4" t="s">
        <v>360</v>
      </c>
      <c r="W171" s="4" t="s">
        <v>360</v>
      </c>
      <c r="X171" s="4" t="s">
        <v>360</v>
      </c>
      <c r="Y171" s="4" t="s">
        <v>360</v>
      </c>
      <c r="Z171" s="4" t="s">
        <v>360</v>
      </c>
      <c r="AA171" s="4" t="s">
        <v>360</v>
      </c>
      <c r="AB171" s="4" t="s">
        <v>360</v>
      </c>
      <c r="AC171" s="4" t="s">
        <v>360</v>
      </c>
      <c r="AD171" s="5"/>
      <c r="AE171" s="5"/>
      <c r="AF171" s="5" t="s">
        <v>360</v>
      </c>
      <c r="AG171" s="2" t="str">
        <f>IF(OR(Tabla_Presupuesto[[#This Row],[ROL_JEFE_CONT_PRESU]]="*",Tabla_Presupuesto[[#This Row],[ROL_JEFE_CONT_PRSU_HOSPI]]="*"),"*","")</f>
        <v>*</v>
      </c>
    </row>
    <row r="172" spans="1:33" x14ac:dyDescent="0.5">
      <c r="A172" s="5">
        <f>MAX(Tabla_Contabilidad[Id])</f>
        <v>210</v>
      </c>
      <c r="B172" s="2">
        <v>373</v>
      </c>
      <c r="C172" s="5">
        <f>IF(Tabla_Presupuesto[[#This Row],[id_padre]]="",0,_xlfn.XLOOKUP(Tabla_Presupuesto[[#This Row],[id_padre]],Tabla_Presupuesto[Id],Tabla_Presupuesto[Nivel],0,0,1)+1)</f>
        <v>3</v>
      </c>
      <c r="D172" s="2" t="s">
        <v>344</v>
      </c>
      <c r="E172" s="2">
        <f>IF(Tabla_Presupuesto[[#This Row],[Id_anterior]]=1,ROW()-1,SUM(ROW()-1,Tabla_Presupuesto[[#This Row],[Id_anterior]]))</f>
        <v>381</v>
      </c>
      <c r="F17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PRESUPUESTO_INFORMES_FLUJO_CAJA_RESUMEN_SOLICITUD_CAJA_AFL</v>
      </c>
      <c r="G172" s="2" t="str">
        <f>CLEAN(PROPER(Tabla_Presupuesto[[#This Row],[Nombre Opción]]))</f>
        <v>Resumen Solicitud De Caja Afl</v>
      </c>
      <c r="H172" s="2" t="s">
        <v>1735</v>
      </c>
      <c r="I172" s="2" t="str">
        <f>_xlfn.XLOOKUP(Tabla_Presupuesto[[#This Row],[id_padre]],Tabla_Presupuesto[Id],Tabla_Presupuesto[Codigo_Tecnico],"",0,1)</f>
        <v>PRESUPUESTO_INFORMES_FLUJO_CAJA</v>
      </c>
      <c r="J17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/presupuesto/informes/flujo-caja/resumen-solicitud-caja-afl</v>
      </c>
      <c r="K17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resumen-solicitud-caja-afl</v>
      </c>
      <c r="L172" s="2" t="s">
        <v>1466</v>
      </c>
      <c r="M172" s="2" t="s">
        <v>1792</v>
      </c>
      <c r="N172" s="4"/>
      <c r="O172" s="4"/>
      <c r="P172" s="4" t="s">
        <v>360</v>
      </c>
      <c r="Q172" s="4" t="s">
        <v>360</v>
      </c>
      <c r="R172" s="4" t="s">
        <v>360</v>
      </c>
      <c r="S172" s="4" t="s">
        <v>360</v>
      </c>
      <c r="T172" s="4" t="s">
        <v>360</v>
      </c>
      <c r="U172" s="4" t="s">
        <v>360</v>
      </c>
      <c r="V172" s="4" t="s">
        <v>360</v>
      </c>
      <c r="W172" s="4" t="s">
        <v>360</v>
      </c>
      <c r="X172" s="4" t="s">
        <v>360</v>
      </c>
      <c r="Y172" s="4" t="s">
        <v>360</v>
      </c>
      <c r="Z172" s="4" t="s">
        <v>360</v>
      </c>
      <c r="AA172" s="4" t="s">
        <v>360</v>
      </c>
      <c r="AB172" s="4" t="s">
        <v>360</v>
      </c>
      <c r="AC172" s="4" t="s">
        <v>360</v>
      </c>
      <c r="AD172" s="5"/>
      <c r="AE172" s="5"/>
      <c r="AF172" s="5" t="s">
        <v>360</v>
      </c>
      <c r="AG172" s="2" t="str">
        <f>IF(OR(Tabla_Presupuesto[[#This Row],[ROL_JEFE_CONT_PRESU]]="*",Tabla_Presupuesto[[#This Row],[ROL_JEFE_CONT_PRSU_HOSPI]]="*"),"*","")</f>
        <v>*</v>
      </c>
    </row>
    <row r="173" spans="1:33" x14ac:dyDescent="0.5">
      <c r="A173" s="5">
        <f>MAX(Tabla_Contabilidad[Id])</f>
        <v>210</v>
      </c>
      <c r="B173" s="2">
        <v>381</v>
      </c>
      <c r="C173" s="5">
        <f>IF(Tabla_Presupuesto[[#This Row],[id_padre]]="",0,_xlfn.XLOOKUP(Tabla_Presupuesto[[#This Row],[id_padre]],Tabla_Presupuesto[Id],Tabla_Presupuesto[Nivel],0,0,1)+1)</f>
        <v>4</v>
      </c>
      <c r="D173" s="2" t="s">
        <v>348</v>
      </c>
      <c r="E173" s="2">
        <f>IF(Tabla_Presupuesto[[#This Row],[Id_anterior]]=1,ROW()-1,SUM(ROW()-1,Tabla_Presupuesto[[#This Row],[Id_anterior]]))</f>
        <v>382</v>
      </c>
      <c r="F17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PRESUPUESTO_INFORMES_FLUJO_CAJA_RESUMEN_SOLICITUD_CAJA_AFL_RESUMEN_SOLICITUD_CAJA_AFL_POR_ENTIDAD</v>
      </c>
      <c r="G173" s="2" t="str">
        <f>CLEAN(PROPER(Tabla_Presupuesto[[#This Row],[Nombre Opción]]))</f>
        <v>Resumen Solicitud De Caja Afl Por Entidad</v>
      </c>
      <c r="H173" s="2" t="s">
        <v>1735</v>
      </c>
      <c r="I173" s="2" t="str">
        <f>_xlfn.XLOOKUP(Tabla_Presupuesto[[#This Row],[id_padre]],Tabla_Presupuesto[Id],Tabla_Presupuesto[Codigo_Tecnico],"",0,1)</f>
        <v>PRESUPUESTO_INFORMES_FLUJO_CAJA_RESUMEN_SOLICITUD_CAJA_AFL</v>
      </c>
      <c r="J17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/presupuesto/informes/flujo-caja/resumen-solicitud-caja-afl/resumen-solicitud-caja-afl-por-entidad</v>
      </c>
      <c r="K17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resumen-solicitud-caja-afl-por-entidad</v>
      </c>
      <c r="L173" s="2" t="s">
        <v>1338</v>
      </c>
      <c r="M173" s="2" t="s">
        <v>1792</v>
      </c>
      <c r="N173" s="4"/>
      <c r="O173" s="4"/>
      <c r="P173" s="4" t="s">
        <v>360</v>
      </c>
      <c r="Q173" s="4" t="s">
        <v>360</v>
      </c>
      <c r="R173" s="4" t="s">
        <v>360</v>
      </c>
      <c r="S173" s="4" t="s">
        <v>360</v>
      </c>
      <c r="T173" s="4" t="s">
        <v>360</v>
      </c>
      <c r="U173" s="4" t="s">
        <v>360</v>
      </c>
      <c r="V173" s="4" t="s">
        <v>360</v>
      </c>
      <c r="W173" s="4" t="s">
        <v>360</v>
      </c>
      <c r="X173" s="4" t="s">
        <v>360</v>
      </c>
      <c r="Y173" s="4" t="s">
        <v>360</v>
      </c>
      <c r="Z173" s="4" t="s">
        <v>360</v>
      </c>
      <c r="AA173" s="4" t="s">
        <v>360</v>
      </c>
      <c r="AB173" s="4" t="s">
        <v>360</v>
      </c>
      <c r="AC173" s="4" t="s">
        <v>360</v>
      </c>
      <c r="AD173" s="5"/>
      <c r="AE173" s="5"/>
      <c r="AF173" s="5" t="s">
        <v>360</v>
      </c>
      <c r="AG173" s="2" t="str">
        <f>IF(OR(Tabla_Presupuesto[[#This Row],[ROL_JEFE_CONT_PRESU]]="*",Tabla_Presupuesto[[#This Row],[ROL_JEFE_CONT_PRSU_HOSPI]]="*"),"*","")</f>
        <v>*</v>
      </c>
    </row>
    <row r="174" spans="1:33" x14ac:dyDescent="0.5">
      <c r="A174" s="5">
        <f>MAX(Tabla_Contabilidad[Id])</f>
        <v>210</v>
      </c>
      <c r="B174" s="2">
        <v>381</v>
      </c>
      <c r="C174" s="5">
        <f>IF(Tabla_Presupuesto[[#This Row],[id_padre]]="",0,_xlfn.XLOOKUP(Tabla_Presupuesto[[#This Row],[id_padre]],Tabla_Presupuesto[Id],Tabla_Presupuesto[Nivel],0,0,1)+1)</f>
        <v>4</v>
      </c>
      <c r="D174" s="2" t="s">
        <v>349</v>
      </c>
      <c r="E174" s="2">
        <f>IF(Tabla_Presupuesto[[#This Row],[Id_anterior]]=1,ROW()-1,SUM(ROW()-1,Tabla_Presupuesto[[#This Row],[Id_anterior]]))</f>
        <v>383</v>
      </c>
      <c r="F17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PRESUPUESTO_INFORMES_FLUJO_CAJA_RESUMEN_SOLICITUD_CAJA_AFL_RESUMEN_SOLICITUD_CAJA_AFL_POR_UNIDAD</v>
      </c>
      <c r="G174" s="2" t="str">
        <f>CLEAN(PROPER(Tabla_Presupuesto[[#This Row],[Nombre Opción]]))</f>
        <v>Resumen Solicitud De Caja Afl Por Unidad</v>
      </c>
      <c r="H174" s="2" t="s">
        <v>1735</v>
      </c>
      <c r="I174" s="2" t="str">
        <f>_xlfn.XLOOKUP(Tabla_Presupuesto[[#This Row],[id_padre]],Tabla_Presupuesto[Id],Tabla_Presupuesto[Codigo_Tecnico],"",0,1)</f>
        <v>PRESUPUESTO_INFORMES_FLUJO_CAJA_RESUMEN_SOLICITUD_CAJA_AFL</v>
      </c>
      <c r="J17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/presupuesto/informes/flujo-caja/resumen-solicitud-caja-afl/resumen-solicitud-caja-afl-por-unidad</v>
      </c>
      <c r="K17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resumen-solicitud-caja-afl-por-unidad</v>
      </c>
      <c r="L174" s="2" t="s">
        <v>1460</v>
      </c>
      <c r="M174" s="2" t="s">
        <v>1792</v>
      </c>
      <c r="N174" s="4"/>
      <c r="O174" s="4"/>
      <c r="P174" s="4" t="s">
        <v>360</v>
      </c>
      <c r="Q174" s="4" t="s">
        <v>360</v>
      </c>
      <c r="R174" s="4" t="s">
        <v>360</v>
      </c>
      <c r="S174" s="4" t="s">
        <v>360</v>
      </c>
      <c r="T174" s="4" t="s">
        <v>360</v>
      </c>
      <c r="U174" s="4" t="s">
        <v>360</v>
      </c>
      <c r="V174" s="4" t="s">
        <v>360</v>
      </c>
      <c r="W174" s="4" t="s">
        <v>360</v>
      </c>
      <c r="X174" s="4" t="s">
        <v>360</v>
      </c>
      <c r="Y174" s="4" t="s">
        <v>360</v>
      </c>
      <c r="Z174" s="4" t="s">
        <v>360</v>
      </c>
      <c r="AA174" s="4" t="s">
        <v>360</v>
      </c>
      <c r="AB174" s="4" t="s">
        <v>360</v>
      </c>
      <c r="AC174" s="4" t="s">
        <v>360</v>
      </c>
      <c r="AD174" s="5"/>
      <c r="AE174" s="5"/>
      <c r="AF174" s="5" t="s">
        <v>360</v>
      </c>
      <c r="AG174" s="2" t="str">
        <f>IF(OR(Tabla_Presupuesto[[#This Row],[ROL_JEFE_CONT_PRESU]]="*",Tabla_Presupuesto[[#This Row],[ROL_JEFE_CONT_PRSU_HOSPI]]="*"),"*","")</f>
        <v>*</v>
      </c>
    </row>
    <row r="175" spans="1:33" x14ac:dyDescent="0.5">
      <c r="A175" s="5">
        <f>MAX(Tabla_Contabilidad[Id])</f>
        <v>210</v>
      </c>
      <c r="B175" s="2">
        <v>381</v>
      </c>
      <c r="C175" s="5">
        <f>IF(Tabla_Presupuesto[[#This Row],[id_padre]]="",0,_xlfn.XLOOKUP(Tabla_Presupuesto[[#This Row],[id_padre]],Tabla_Presupuesto[Id],Tabla_Presupuesto[Nivel],0,0,1)+1)</f>
        <v>4</v>
      </c>
      <c r="D175" s="2" t="s">
        <v>350</v>
      </c>
      <c r="E175" s="2">
        <f>IF(Tabla_Presupuesto[[#This Row],[Id_anterior]]=1,ROW()-1,SUM(ROW()-1,Tabla_Presupuesto[[#This Row],[Id_anterior]]))</f>
        <v>384</v>
      </c>
      <c r="F17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PRESUPUESTO_INFORMES_FLUJO_CAJA_RESUMEN_SOLICITUD_CAJA_AFL_DEMOSTRACION_SOLICITUD_CAJA_AFL_POR_ENTIDAD</v>
      </c>
      <c r="G175" s="2" t="str">
        <f>CLEAN(PROPER(Tabla_Presupuesto[[#This Row],[Nombre Opción]]))</f>
        <v>Demostracion Solicitud De Caja Afl Por Entidad</v>
      </c>
      <c r="H175" s="2" t="s">
        <v>1735</v>
      </c>
      <c r="I175" s="2" t="str">
        <f>_xlfn.XLOOKUP(Tabla_Presupuesto[[#This Row],[id_padre]],Tabla_Presupuesto[Id],Tabla_Presupuesto[Codigo_Tecnico],"",0,1)</f>
        <v>PRESUPUESTO_INFORMES_FLUJO_CAJA_RESUMEN_SOLICITUD_CAJA_AFL</v>
      </c>
      <c r="J17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/presupuesto/informes/flujo-caja/resumen-solicitud-caja-afl/demostracion-solicitud-caja-afl-por-entidad</v>
      </c>
      <c r="K17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demostracion-solicitud-caja-afl-por-entidad</v>
      </c>
      <c r="L175" s="2" t="s">
        <v>1379</v>
      </c>
      <c r="M175" s="2" t="s">
        <v>1792</v>
      </c>
      <c r="N175" s="4"/>
      <c r="O175" s="4"/>
      <c r="P175" s="4" t="s">
        <v>360</v>
      </c>
      <c r="Q175" s="4" t="s">
        <v>360</v>
      </c>
      <c r="R175" s="4" t="s">
        <v>360</v>
      </c>
      <c r="S175" s="4" t="s">
        <v>360</v>
      </c>
      <c r="T175" s="4" t="s">
        <v>360</v>
      </c>
      <c r="U175" s="4" t="s">
        <v>360</v>
      </c>
      <c r="V175" s="4" t="s">
        <v>360</v>
      </c>
      <c r="W175" s="4" t="s">
        <v>360</v>
      </c>
      <c r="X175" s="4" t="s">
        <v>360</v>
      </c>
      <c r="Y175" s="4" t="s">
        <v>360</v>
      </c>
      <c r="Z175" s="4" t="s">
        <v>360</v>
      </c>
      <c r="AA175" s="4" t="s">
        <v>360</v>
      </c>
      <c r="AB175" s="4" t="s">
        <v>360</v>
      </c>
      <c r="AC175" s="4" t="s">
        <v>360</v>
      </c>
      <c r="AD175" s="5"/>
      <c r="AE175" s="5"/>
      <c r="AF175" s="5" t="s">
        <v>360</v>
      </c>
      <c r="AG175" s="2" t="str">
        <f>IF(OR(Tabla_Presupuesto[[#This Row],[ROL_JEFE_CONT_PRESU]]="*",Tabla_Presupuesto[[#This Row],[ROL_JEFE_CONT_PRSU_HOSPI]]="*"),"*","")</f>
        <v>*</v>
      </c>
    </row>
    <row r="176" spans="1:33" x14ac:dyDescent="0.5">
      <c r="A176" s="5">
        <f>MAX(Tabla_Contabilidad[Id])</f>
        <v>210</v>
      </c>
      <c r="B176" s="2">
        <v>381</v>
      </c>
      <c r="C176" s="5">
        <f>IF(Tabla_Presupuesto[[#This Row],[id_padre]]="",0,_xlfn.XLOOKUP(Tabla_Presupuesto[[#This Row],[id_padre]],Tabla_Presupuesto[Id],Tabla_Presupuesto[Nivel],0,0,1)+1)</f>
        <v>4</v>
      </c>
      <c r="D176" s="2" t="s">
        <v>351</v>
      </c>
      <c r="E176" s="2">
        <f>IF(Tabla_Presupuesto[[#This Row],[Id_anterior]]=1,ROW()-1,SUM(ROW()-1,Tabla_Presupuesto[[#This Row],[Id_anterior]]))</f>
        <v>385</v>
      </c>
      <c r="F17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PRESUPUESTO_INFORMES_FLUJO_CAJA_RESUMEN_SOLICITUD_CAJA_AFL_DEMOSTRACION_SOLICITUD_CAJA_AFL_POR_UNIDAD</v>
      </c>
      <c r="G176" s="2" t="str">
        <f>CLEAN(PROPER(Tabla_Presupuesto[[#This Row],[Nombre Opción]]))</f>
        <v>Demostracion Solicitud De Caja Afl Por Unidad</v>
      </c>
      <c r="H176" s="2" t="s">
        <v>1735</v>
      </c>
      <c r="I176" s="2" t="str">
        <f>_xlfn.XLOOKUP(Tabla_Presupuesto[[#This Row],[id_padre]],Tabla_Presupuesto[Id],Tabla_Presupuesto[Codigo_Tecnico],"",0,1)</f>
        <v>PRESUPUESTO_INFORMES_FLUJO_CAJA_RESUMEN_SOLICITUD_CAJA_AFL</v>
      </c>
      <c r="J17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/presupuesto/informes/flujo-caja/resumen-solicitud-caja-afl/demostracion-solicitud-caja-afl-por-unidad</v>
      </c>
      <c r="K17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demostracion-solicitud-caja-afl-por-unidad</v>
      </c>
      <c r="L176" s="2" t="s">
        <v>1372</v>
      </c>
      <c r="M176" s="2" t="s">
        <v>1792</v>
      </c>
      <c r="N176" s="4"/>
      <c r="O176" s="4"/>
      <c r="P176" s="4" t="s">
        <v>360</v>
      </c>
      <c r="Q176" s="4" t="s">
        <v>360</v>
      </c>
      <c r="R176" s="4" t="s">
        <v>360</v>
      </c>
      <c r="S176" s="4" t="s">
        <v>360</v>
      </c>
      <c r="T176" s="4" t="s">
        <v>360</v>
      </c>
      <c r="U176" s="4" t="s">
        <v>360</v>
      </c>
      <c r="V176" s="4" t="s">
        <v>360</v>
      </c>
      <c r="W176" s="4" t="s">
        <v>360</v>
      </c>
      <c r="X176" s="4" t="s">
        <v>360</v>
      </c>
      <c r="Y176" s="4" t="s">
        <v>360</v>
      </c>
      <c r="Z176" s="4" t="s">
        <v>360</v>
      </c>
      <c r="AA176" s="4" t="s">
        <v>360</v>
      </c>
      <c r="AB176" s="4" t="s">
        <v>360</v>
      </c>
      <c r="AC176" s="4" t="s">
        <v>360</v>
      </c>
      <c r="AD176" s="5"/>
      <c r="AE176" s="5"/>
      <c r="AF176" s="5" t="s">
        <v>360</v>
      </c>
      <c r="AG176" s="2" t="str">
        <f>IF(OR(Tabla_Presupuesto[[#This Row],[ROL_JEFE_CONT_PRESU]]="*",Tabla_Presupuesto[[#This Row],[ROL_JEFE_CONT_PRSU_HOSPI]]="*"),"*","")</f>
        <v>*</v>
      </c>
    </row>
    <row r="177" spans="1:33" x14ac:dyDescent="0.5">
      <c r="A177" s="5">
        <f>MAX(Tabla_Contabilidad[Id])</f>
        <v>210</v>
      </c>
      <c r="B177" s="2">
        <v>373</v>
      </c>
      <c r="C177" s="5">
        <f>IF(Tabla_Presupuesto[[#This Row],[id_padre]]="",0,_xlfn.XLOOKUP(Tabla_Presupuesto[[#This Row],[id_padre]],Tabla_Presupuesto[Id],Tabla_Presupuesto[Nivel],0,0,1)+1)</f>
        <v>3</v>
      </c>
      <c r="D177" s="2" t="s">
        <v>347</v>
      </c>
      <c r="E177" s="2">
        <f>IF(Tabla_Presupuesto[[#This Row],[Id_anterior]]=1,ROW()-1,SUM(ROW()-1,Tabla_Presupuesto[[#This Row],[Id_anterior]]))</f>
        <v>386</v>
      </c>
      <c r="F17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PRESUPUESTO_INFORMES_FLUJO_CAJA_RESUMEN_SOLICITUD_CAJA_DECRETOS</v>
      </c>
      <c r="G177" s="2" t="str">
        <f>CLEAN(PROPER(Tabla_Presupuesto[[#This Row],[Nombre Opción]]))</f>
        <v>Resumen Solicitud De Caja Decretos</v>
      </c>
      <c r="H177" s="2" t="s">
        <v>1735</v>
      </c>
      <c r="I177" s="2" t="str">
        <f>_xlfn.XLOOKUP(Tabla_Presupuesto[[#This Row],[id_padre]],Tabla_Presupuesto[Id],Tabla_Presupuesto[Codigo_Tecnico],"",0,1)</f>
        <v>PRESUPUESTO_INFORMES_FLUJO_CAJA</v>
      </c>
      <c r="J17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/presupuesto/informes/flujo-caja/resumen-solicitud-caja-decretos</v>
      </c>
      <c r="K17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resumen-solicitud-caja-decretos</v>
      </c>
      <c r="L177" s="2" t="s">
        <v>1357</v>
      </c>
      <c r="M177" s="2" t="s">
        <v>1792</v>
      </c>
      <c r="N177" s="4"/>
      <c r="O177" s="4"/>
      <c r="P177" s="4" t="s">
        <v>360</v>
      </c>
      <c r="Q177" s="4" t="s">
        <v>360</v>
      </c>
      <c r="R177" s="4" t="s">
        <v>360</v>
      </c>
      <c r="S177" s="4" t="s">
        <v>360</v>
      </c>
      <c r="T177" s="4" t="s">
        <v>360</v>
      </c>
      <c r="U177" s="4" t="s">
        <v>360</v>
      </c>
      <c r="V177" s="4" t="s">
        <v>360</v>
      </c>
      <c r="W177" s="4" t="s">
        <v>360</v>
      </c>
      <c r="X177" s="4" t="s">
        <v>360</v>
      </c>
      <c r="Y177" s="4" t="s">
        <v>360</v>
      </c>
      <c r="Z177" s="4" t="s">
        <v>360</v>
      </c>
      <c r="AA177" s="4" t="s">
        <v>360</v>
      </c>
      <c r="AB177" s="4" t="s">
        <v>360</v>
      </c>
      <c r="AC177" s="4" t="s">
        <v>360</v>
      </c>
      <c r="AD177" s="5"/>
      <c r="AE177" s="5"/>
      <c r="AF177" s="5" t="s">
        <v>360</v>
      </c>
      <c r="AG177" s="2" t="str">
        <f>IF(OR(Tabla_Presupuesto[[#This Row],[ROL_JEFE_CONT_PRESU]]="*",Tabla_Presupuesto[[#This Row],[ROL_JEFE_CONT_PRSU_HOSPI]]="*"),"*","")</f>
        <v>*</v>
      </c>
    </row>
    <row r="178" spans="1:33" x14ac:dyDescent="0.5">
      <c r="A178" s="5">
        <f>MAX(Tabla_Contabilidad[Id])</f>
        <v>210</v>
      </c>
      <c r="B178" s="2">
        <v>386</v>
      </c>
      <c r="C178" s="5">
        <f>IF(Tabla_Presupuesto[[#This Row],[id_padre]]="",0,_xlfn.XLOOKUP(Tabla_Presupuesto[[#This Row],[id_padre]],Tabla_Presupuesto[Id],Tabla_Presupuesto[Nivel],0,0,1)+1)</f>
        <v>4</v>
      </c>
      <c r="D178" s="2" t="s">
        <v>352</v>
      </c>
      <c r="E178" s="2">
        <f>IF(Tabla_Presupuesto[[#This Row],[Id_anterior]]=1,ROW()-1,SUM(ROW()-1,Tabla_Presupuesto[[#This Row],[Id_anterior]]))</f>
        <v>387</v>
      </c>
      <c r="F17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PRESUPUESTO_INFORMES_FLUJO_CAJA_RESUMEN_SOLICITUD_CAJA_DECRETOS_REQUERIMIENTO_CAJA_DECRETOS_POR_ENTIDAD</v>
      </c>
      <c r="G178" s="2" t="str">
        <f>CLEAN(PROPER(Tabla_Presupuesto[[#This Row],[Nombre Opción]]))</f>
        <v>Requerimiento De Caja Decretos Por Entidad</v>
      </c>
      <c r="H178" s="2" t="s">
        <v>1735</v>
      </c>
      <c r="I178" s="2" t="str">
        <f>_xlfn.XLOOKUP(Tabla_Presupuesto[[#This Row],[id_padre]],Tabla_Presupuesto[Id],Tabla_Presupuesto[Codigo_Tecnico],"",0,1)</f>
        <v>PRESUPUESTO_INFORMES_FLUJO_CAJA_RESUMEN_SOLICITUD_CAJA_DECRETOS</v>
      </c>
      <c r="J17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/presupuesto/informes/flujo-caja/resumen-solicitud-caja-decretos/requerimiento-caja-decretos-por-entidad</v>
      </c>
      <c r="K17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requerimiento-caja-decretos-por-entidad</v>
      </c>
      <c r="L178" s="2" t="s">
        <v>1416</v>
      </c>
      <c r="M178" s="2" t="s">
        <v>1792</v>
      </c>
      <c r="N178" s="4"/>
      <c r="O178" s="4"/>
      <c r="P178" s="4" t="s">
        <v>360</v>
      </c>
      <c r="Q178" s="4" t="s">
        <v>360</v>
      </c>
      <c r="R178" s="4" t="s">
        <v>360</v>
      </c>
      <c r="S178" s="4" t="s">
        <v>360</v>
      </c>
      <c r="T178" s="4" t="s">
        <v>360</v>
      </c>
      <c r="U178" s="4" t="s">
        <v>360</v>
      </c>
      <c r="V178" s="4" t="s">
        <v>360</v>
      </c>
      <c r="W178" s="4" t="s">
        <v>360</v>
      </c>
      <c r="X178" s="4" t="s">
        <v>360</v>
      </c>
      <c r="Y178" s="4" t="s">
        <v>360</v>
      </c>
      <c r="Z178" s="4" t="s">
        <v>360</v>
      </c>
      <c r="AA178" s="4" t="s">
        <v>360</v>
      </c>
      <c r="AB178" s="4" t="s">
        <v>360</v>
      </c>
      <c r="AC178" s="4" t="s">
        <v>360</v>
      </c>
      <c r="AD178" s="5"/>
      <c r="AE178" s="5"/>
      <c r="AF178" s="5" t="s">
        <v>360</v>
      </c>
      <c r="AG178" s="2" t="str">
        <f>IF(OR(Tabla_Presupuesto[[#This Row],[ROL_JEFE_CONT_PRESU]]="*",Tabla_Presupuesto[[#This Row],[ROL_JEFE_CONT_PRSU_HOSPI]]="*"),"*","")</f>
        <v>*</v>
      </c>
    </row>
    <row r="179" spans="1:33" x14ac:dyDescent="0.5">
      <c r="A179" s="5">
        <f>MAX(Tabla_Contabilidad[Id])</f>
        <v>210</v>
      </c>
      <c r="B179" s="2">
        <v>386</v>
      </c>
      <c r="C179" s="5">
        <f>IF(Tabla_Presupuesto[[#This Row],[id_padre]]="",0,_xlfn.XLOOKUP(Tabla_Presupuesto[[#This Row],[id_padre]],Tabla_Presupuesto[Id],Tabla_Presupuesto[Nivel],0,0,1)+1)</f>
        <v>4</v>
      </c>
      <c r="D179" s="2" t="s">
        <v>353</v>
      </c>
      <c r="E179" s="2">
        <f>IF(Tabla_Presupuesto[[#This Row],[Id_anterior]]=1,ROW()-1,SUM(ROW()-1,Tabla_Presupuesto[[#This Row],[Id_anterior]]))</f>
        <v>388</v>
      </c>
      <c r="F17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PRESUPUESTO_INFORMES_FLUJO_CAJA_RESUMEN_SOLICITUD_CAJA_DECRETOS_REQUERIMIENTO_CAJA_DECRETOS_POR_UNIDAD</v>
      </c>
      <c r="G179" s="2" t="str">
        <f>CLEAN(PROPER(Tabla_Presupuesto[[#This Row],[Nombre Opción]]))</f>
        <v>Requerimiento De Caja Decretos Por Unidad</v>
      </c>
      <c r="H179" s="2" t="s">
        <v>1735</v>
      </c>
      <c r="I179" s="2" t="str">
        <f>_xlfn.XLOOKUP(Tabla_Presupuesto[[#This Row],[id_padre]],Tabla_Presupuesto[Id],Tabla_Presupuesto[Codigo_Tecnico],"",0,1)</f>
        <v>PRESUPUESTO_INFORMES_FLUJO_CAJA_RESUMEN_SOLICITUD_CAJA_DECRETOS</v>
      </c>
      <c r="J17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/presupuesto/informes/flujo-caja/resumen-solicitud-caja-decretos/requerimiento-caja-decretos-por-unidad</v>
      </c>
      <c r="K17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requerimiento-caja-decretos-por-unidad</v>
      </c>
      <c r="L179" s="2" t="s">
        <v>1393</v>
      </c>
      <c r="M179" s="2" t="s">
        <v>1792</v>
      </c>
      <c r="N179" s="4"/>
      <c r="O179" s="4"/>
      <c r="P179" s="4" t="s">
        <v>360</v>
      </c>
      <c r="Q179" s="4" t="s">
        <v>360</v>
      </c>
      <c r="R179" s="4" t="s">
        <v>360</v>
      </c>
      <c r="S179" s="4" t="s">
        <v>360</v>
      </c>
      <c r="T179" s="4" t="s">
        <v>360</v>
      </c>
      <c r="U179" s="4" t="s">
        <v>360</v>
      </c>
      <c r="V179" s="4" t="s">
        <v>360</v>
      </c>
      <c r="W179" s="4" t="s">
        <v>360</v>
      </c>
      <c r="X179" s="4" t="s">
        <v>360</v>
      </c>
      <c r="Y179" s="4" t="s">
        <v>360</v>
      </c>
      <c r="Z179" s="4" t="s">
        <v>360</v>
      </c>
      <c r="AA179" s="4" t="s">
        <v>360</v>
      </c>
      <c r="AB179" s="4" t="s">
        <v>360</v>
      </c>
      <c r="AC179" s="4" t="s">
        <v>360</v>
      </c>
      <c r="AD179" s="5"/>
      <c r="AE179" s="5"/>
      <c r="AF179" s="5" t="s">
        <v>360</v>
      </c>
      <c r="AG179" s="2" t="str">
        <f>IF(OR(Tabla_Presupuesto[[#This Row],[ROL_JEFE_CONT_PRESU]]="*",Tabla_Presupuesto[[#This Row],[ROL_JEFE_CONT_PRSU_HOSPI]]="*"),"*","")</f>
        <v>*</v>
      </c>
    </row>
    <row r="180" spans="1:33" x14ac:dyDescent="0.5">
      <c r="A180" s="5">
        <f>MAX(Tabla_Contabilidad[Id])</f>
        <v>210</v>
      </c>
      <c r="B180" s="2">
        <v>386</v>
      </c>
      <c r="C180" s="5">
        <f>IF(Tabla_Presupuesto[[#This Row],[id_padre]]="",0,_xlfn.XLOOKUP(Tabla_Presupuesto[[#This Row],[id_padre]],Tabla_Presupuesto[Id],Tabla_Presupuesto[Nivel],0,0,1)+1)</f>
        <v>4</v>
      </c>
      <c r="D180" s="2" t="s">
        <v>354</v>
      </c>
      <c r="E180" s="2">
        <f>IF(Tabla_Presupuesto[[#This Row],[Id_anterior]]=1,ROW()-1,SUM(ROW()-1,Tabla_Presupuesto[[#This Row],[Id_anterior]]))</f>
        <v>389</v>
      </c>
      <c r="F18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PRESUPUESTO_INFORMES_FLUJO_CAJA_RESUMEN_SOLICITUD_CAJA_DECRETOS_DEMOSTRACION_SOLICITUD_CAJA_DECRETOS_UNIDAD</v>
      </c>
      <c r="G180" s="2" t="str">
        <f>CLEAN(PROPER(Tabla_Presupuesto[[#This Row],[Nombre Opción]]))</f>
        <v>Demostracion Solicitud De Caja Decretos Unidad</v>
      </c>
      <c r="H180" s="2" t="s">
        <v>1735</v>
      </c>
      <c r="I180" s="2" t="str">
        <f>_xlfn.XLOOKUP(Tabla_Presupuesto[[#This Row],[id_padre]],Tabla_Presupuesto[Id],Tabla_Presupuesto[Codigo_Tecnico],"",0,1)</f>
        <v>PRESUPUESTO_INFORMES_FLUJO_CAJA_RESUMEN_SOLICITUD_CAJA_DECRETOS</v>
      </c>
      <c r="J18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/presupuesto/informes/flujo-caja/resumen-solicitud-caja-decretos/demostracion-solicitud-caja-decretos-unidad</v>
      </c>
      <c r="K18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demostracion-solicitud-caja-decretos-unidad</v>
      </c>
      <c r="L180" s="2" t="s">
        <v>1489</v>
      </c>
      <c r="M180" s="2" t="s">
        <v>1792</v>
      </c>
      <c r="N180" s="4"/>
      <c r="O180" s="4"/>
      <c r="P180" s="4" t="s">
        <v>360</v>
      </c>
      <c r="Q180" s="4" t="s">
        <v>360</v>
      </c>
      <c r="R180" s="4" t="s">
        <v>360</v>
      </c>
      <c r="S180" s="4" t="s">
        <v>360</v>
      </c>
      <c r="T180" s="4" t="s">
        <v>360</v>
      </c>
      <c r="U180" s="4" t="s">
        <v>360</v>
      </c>
      <c r="V180" s="4" t="s">
        <v>360</v>
      </c>
      <c r="W180" s="4" t="s">
        <v>360</v>
      </c>
      <c r="X180" s="4" t="s">
        <v>360</v>
      </c>
      <c r="Y180" s="4" t="s">
        <v>360</v>
      </c>
      <c r="Z180" s="4" t="s">
        <v>360</v>
      </c>
      <c r="AA180" s="4" t="s">
        <v>360</v>
      </c>
      <c r="AB180" s="4" t="s">
        <v>360</v>
      </c>
      <c r="AC180" s="4" t="s">
        <v>360</v>
      </c>
      <c r="AD180" s="5"/>
      <c r="AE180" s="5"/>
      <c r="AF180" s="5" t="s">
        <v>360</v>
      </c>
      <c r="AG180" s="2" t="str">
        <f>IF(OR(Tabla_Presupuesto[[#This Row],[ROL_JEFE_CONT_PRESU]]="*",Tabla_Presupuesto[[#This Row],[ROL_JEFE_CONT_PRSU_HOSPI]]="*"),"*","")</f>
        <v>*</v>
      </c>
    </row>
    <row r="181" spans="1:33" x14ac:dyDescent="0.5">
      <c r="A181" s="5">
        <f>MAX(Tabla_Contabilidad[Id])</f>
        <v>210</v>
      </c>
      <c r="B181" s="2">
        <v>386</v>
      </c>
      <c r="C181" s="5">
        <f>IF(Tabla_Presupuesto[[#This Row],[id_padre]]="",0,_xlfn.XLOOKUP(Tabla_Presupuesto[[#This Row],[id_padre]],Tabla_Presupuesto[Id],Tabla_Presupuesto[Nivel],0,0,1)+1)</f>
        <v>4</v>
      </c>
      <c r="D181" s="2" t="s">
        <v>355</v>
      </c>
      <c r="E181" s="2">
        <f>IF(Tabla_Presupuesto[[#This Row],[Id_anterior]]=1,ROW()-1,SUM(ROW()-1,Tabla_Presupuesto[[#This Row],[Id_anterior]]))</f>
        <v>390</v>
      </c>
      <c r="F18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PRESUPUESTO_INFORMES_FLUJO_CAJA_RESUMEN_SOLICITUD_CAJA_DECRETOS_DEMOSTRACION_SOLICITUD_CAJA_DECRETOS_ENTIDAD</v>
      </c>
      <c r="G181" s="2" t="str">
        <f>CLEAN(PROPER(Tabla_Presupuesto[[#This Row],[Nombre Opción]]))</f>
        <v>Demostracion Solicitud De Caja Decretos Entidad</v>
      </c>
      <c r="H181" s="2" t="s">
        <v>1735</v>
      </c>
      <c r="I181" s="2" t="str">
        <f>_xlfn.XLOOKUP(Tabla_Presupuesto[[#This Row],[id_padre]],Tabla_Presupuesto[Id],Tabla_Presupuesto[Codigo_Tecnico],"",0,1)</f>
        <v>PRESUPUESTO_INFORMES_FLUJO_CAJA_RESUMEN_SOLICITUD_CAJA_DECRETOS</v>
      </c>
      <c r="J18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/presupuesto/informes/flujo-caja/resumen-solicitud-caja-decretos/demostracion-solicitud-caja-decretos-entidad</v>
      </c>
      <c r="K18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demostracion-solicitud-caja-decretos-entidad</v>
      </c>
      <c r="L181" s="2" t="s">
        <v>1492</v>
      </c>
      <c r="M181" s="2" t="s">
        <v>1792</v>
      </c>
      <c r="N181" s="4"/>
      <c r="O181" s="4"/>
      <c r="P181" s="4" t="s">
        <v>360</v>
      </c>
      <c r="Q181" s="4" t="s">
        <v>360</v>
      </c>
      <c r="R181" s="4" t="s">
        <v>360</v>
      </c>
      <c r="S181" s="4" t="s">
        <v>360</v>
      </c>
      <c r="T181" s="4" t="s">
        <v>360</v>
      </c>
      <c r="U181" s="4" t="s">
        <v>360</v>
      </c>
      <c r="V181" s="4" t="s">
        <v>360</v>
      </c>
      <c r="W181" s="4" t="s">
        <v>360</v>
      </c>
      <c r="X181" s="4" t="s">
        <v>360</v>
      </c>
      <c r="Y181" s="4" t="s">
        <v>360</v>
      </c>
      <c r="Z181" s="4" t="s">
        <v>360</v>
      </c>
      <c r="AA181" s="4" t="s">
        <v>360</v>
      </c>
      <c r="AB181" s="4" t="s">
        <v>360</v>
      </c>
      <c r="AC181" s="4" t="s">
        <v>360</v>
      </c>
      <c r="AD181" s="5"/>
      <c r="AE181" s="5"/>
      <c r="AF181" s="5" t="s">
        <v>360</v>
      </c>
      <c r="AG181" s="2" t="str">
        <f>IF(OR(Tabla_Presupuesto[[#This Row],[ROL_JEFE_CONT_PRESU]]="*",Tabla_Presupuesto[[#This Row],[ROL_JEFE_CONT_PRSU_HOSPI]]="*"),"*","")</f>
        <v>*</v>
      </c>
    </row>
    <row r="182" spans="1:33" x14ac:dyDescent="0.5">
      <c r="A182" s="5">
        <f>MAX(Tabla_Contabilidad[Id])</f>
        <v>210</v>
      </c>
      <c r="B182" s="2">
        <v>216</v>
      </c>
      <c r="C182" s="5">
        <f>IF(Tabla_Presupuesto[[#This Row],[id_padre]]="",0,_xlfn.XLOOKUP(Tabla_Presupuesto[[#This Row],[id_padre]],Tabla_Presupuesto[Id],Tabla_Presupuesto[Nivel],0,0,1)+1)</f>
        <v>2</v>
      </c>
      <c r="D182" s="2" t="s">
        <v>356</v>
      </c>
      <c r="E182" s="2">
        <f>IF(Tabla_Presupuesto[[#This Row],[Id_anterior]]=1,ROW()-1,SUM(ROW()-1,Tabla_Presupuesto[[#This Row],[Id_anterior]]))</f>
        <v>391</v>
      </c>
      <c r="F18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</v>
      </c>
      <c r="G182" s="2" t="str">
        <f>CLEAN(PROPER(Tabla_Presupuesto[[#This Row],[Nombre Opción]]))</f>
        <v>Homologacion Sigfe</v>
      </c>
      <c r="H182" s="2" t="s">
        <v>1735</v>
      </c>
      <c r="I182" s="2" t="str">
        <f>_xlfn.XLOOKUP(Tabla_Presupuesto[[#This Row],[id_padre]],Tabla_Presupuesto[Id],Tabla_Presupuesto[Codigo_Tecnico],"",0,1)</f>
        <v>PRESUPUESTO_CIERRES</v>
      </c>
      <c r="J18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</v>
      </c>
      <c r="K18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homologacion-sigfe</v>
      </c>
      <c r="L182" s="2" t="s">
        <v>1349</v>
      </c>
      <c r="M182" s="2" t="s">
        <v>1792</v>
      </c>
      <c r="N182" s="4"/>
      <c r="O182" s="4"/>
      <c r="P182" s="4" t="s">
        <v>360</v>
      </c>
      <c r="Q182" s="4"/>
      <c r="U182" s="4" t="s">
        <v>360</v>
      </c>
      <c r="AB182" s="5" t="s">
        <v>360</v>
      </c>
      <c r="AC182" s="5"/>
      <c r="AD182" s="5"/>
      <c r="AE182" s="5"/>
      <c r="AF182" s="5" t="s">
        <v>360</v>
      </c>
      <c r="AG182" s="2" t="str">
        <f>IF(OR(Tabla_Presupuesto[[#This Row],[ROL_JEFE_CONT_PRESU]]="*",Tabla_Presupuesto[[#This Row],[ROL_JEFE_CONT_PRSU_HOSPI]]="*"),"*","")</f>
        <v>*</v>
      </c>
    </row>
    <row r="183" spans="1:33" x14ac:dyDescent="0.5">
      <c r="A183" s="5">
        <f>MAX(Tabla_Contabilidad[Id])</f>
        <v>210</v>
      </c>
      <c r="B183" s="2">
        <v>391</v>
      </c>
      <c r="C183" s="5">
        <f>IF(Tabla_Presupuesto[[#This Row],[id_padre]]="",0,_xlfn.XLOOKUP(Tabla_Presupuesto[[#This Row],[id_padre]],Tabla_Presupuesto[Id],Tabla_Presupuesto[Nivel],0,0,1)+1)</f>
        <v>3</v>
      </c>
      <c r="D183" s="2" t="s">
        <v>947</v>
      </c>
      <c r="E183" s="2">
        <f>IF(Tabla_Presupuesto[[#This Row],[Id_anterior]]=1,ROW()-1,SUM(ROW()-1,Tabla_Presupuesto[[#This Row],[Id_anterior]]))</f>
        <v>392</v>
      </c>
      <c r="F18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PRESUPUESTO_CIERRES_HOMOLOGACION_SIGFE_PREPARA_MODIFICACIONES_PRESUPUESTARIAS_ENERO_MONEDA_NACIONAL_Y_EXTRANJERA</v>
      </c>
      <c r="G183" s="2" t="str">
        <f>CLEAN(PROPER(Tabla_Presupuesto[[#This Row],[Nombre Opción]]))</f>
        <v>Prepara Modificaciones Presupuestarias. Enero Moneda Nacional Y Extranjera</v>
      </c>
      <c r="H183" s="2" t="s">
        <v>1735</v>
      </c>
      <c r="I183" s="2" t="str">
        <f>_xlfn.XLOOKUP(Tabla_Presupuesto[[#This Row],[id_padre]],Tabla_Presupuesto[Id],Tabla_Presupuesto[Codigo_Tecnico],"",0,1)</f>
        <v>PRESUPUESTO_CIERRES_HOMOLOGACION_SIGFE</v>
      </c>
      <c r="J18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/presupuesto/cierres/homologacion-sigfe/prepara-modificaciones-presupuestarias-enero-moneda-nacional-y-extranjera</v>
      </c>
      <c r="K18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prepara-modificaciones-presupuestarias-enero-moneda-nacional-y-extranjera</v>
      </c>
      <c r="L183" s="2" t="s">
        <v>1387</v>
      </c>
      <c r="M183" s="2" t="s">
        <v>1792</v>
      </c>
      <c r="N183" s="4"/>
      <c r="O183" s="4"/>
      <c r="P183" s="4" t="s">
        <v>360</v>
      </c>
      <c r="Q183" s="4"/>
      <c r="U183" s="4" t="s">
        <v>360</v>
      </c>
      <c r="AB183" s="5" t="s">
        <v>360</v>
      </c>
      <c r="AC183" s="5"/>
      <c r="AD183" s="5"/>
      <c r="AE183" s="5"/>
      <c r="AF183" s="5" t="s">
        <v>360</v>
      </c>
      <c r="AG183" s="2" t="str">
        <f>IF(OR(Tabla_Presupuesto[[#This Row],[ROL_JEFE_CONT_PRESU]]="*",Tabla_Presupuesto[[#This Row],[ROL_JEFE_CONT_PRSU_HOSPI]]="*"),"*","")</f>
        <v>*</v>
      </c>
    </row>
    <row r="184" spans="1:33" x14ac:dyDescent="0.5">
      <c r="A184" s="5">
        <f>MAX(Tabla_Contabilidad[Id])</f>
        <v>210</v>
      </c>
      <c r="B184" s="2">
        <v>391</v>
      </c>
      <c r="C184" s="5">
        <f>IF(Tabla_Presupuesto[[#This Row],[id_padre]]="",0,_xlfn.XLOOKUP(Tabla_Presupuesto[[#This Row],[id_padre]],Tabla_Presupuesto[Id],Tabla_Presupuesto[Nivel],0,0,1)+1)</f>
        <v>3</v>
      </c>
      <c r="D184" s="2" t="s">
        <v>948</v>
      </c>
      <c r="E184" s="2">
        <f>IF(Tabla_Presupuesto[[#This Row],[Id_anterior]]=1,ROW()-1,SUM(ROW()-1,Tabla_Presupuesto[[#This Row],[Id_anterior]]))</f>
        <v>393</v>
      </c>
      <c r="F18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PRESUPUESTO_CIERRES_HOMOLOGACION_SIGFE_PREPARA_MODIFICACIONES_PRESUPUESTARUAS_ENERO_OTROS</v>
      </c>
      <c r="G184" s="2" t="str">
        <f>CLEAN(PROPER(Tabla_Presupuesto[[#This Row],[Nombre Opción]]))</f>
        <v>Prepara Modificaciones Presupuestaruas. Enero Otros</v>
      </c>
      <c r="H184" s="2" t="s">
        <v>1735</v>
      </c>
      <c r="I184" s="2" t="str">
        <f>_xlfn.XLOOKUP(Tabla_Presupuesto[[#This Row],[id_padre]],Tabla_Presupuesto[Id],Tabla_Presupuesto[Codigo_Tecnico],"",0,1)</f>
        <v>PRESUPUESTO_CIERRES_HOMOLOGACION_SIGFE</v>
      </c>
      <c r="J18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/presupuesto/cierres/homologacion-sigfe/prepara-modificaciones-presupuestaruas-enero-otros</v>
      </c>
      <c r="K18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prepara-modificaciones-presupuestaruas-enero-otros</v>
      </c>
      <c r="L184" s="2" t="s">
        <v>1367</v>
      </c>
      <c r="M184" s="2" t="s">
        <v>1792</v>
      </c>
      <c r="N184" s="4"/>
      <c r="O184" s="4"/>
      <c r="P184" s="4" t="s">
        <v>360</v>
      </c>
      <c r="Q184" s="4"/>
      <c r="U184" s="4" t="s">
        <v>360</v>
      </c>
      <c r="AB184" s="5" t="s">
        <v>360</v>
      </c>
      <c r="AC184" s="5"/>
      <c r="AD184" s="5"/>
      <c r="AE184" s="5"/>
      <c r="AF184" s="5" t="s">
        <v>360</v>
      </c>
      <c r="AG184" s="2" t="str">
        <f>IF(OR(Tabla_Presupuesto[[#This Row],[ROL_JEFE_CONT_PRESU]]="*",Tabla_Presupuesto[[#This Row],[ROL_JEFE_CONT_PRSU_HOSPI]]="*"),"*","")</f>
        <v>*</v>
      </c>
    </row>
    <row r="185" spans="1:33" x14ac:dyDescent="0.5">
      <c r="A185" s="5">
        <f>MAX(Tabla_Contabilidad[Id])</f>
        <v>210</v>
      </c>
      <c r="B185" s="2">
        <v>391</v>
      </c>
      <c r="C185" s="5">
        <f>IF(Tabla_Presupuesto[[#This Row],[id_padre]]="",0,_xlfn.XLOOKUP(Tabla_Presupuesto[[#This Row],[id_padre]],Tabla_Presupuesto[Id],Tabla_Presupuesto[Nivel],0,0,1)+1)</f>
        <v>3</v>
      </c>
      <c r="D185" s="2" t="s">
        <v>949</v>
      </c>
      <c r="E185" s="2">
        <f>IF(Tabla_Presupuesto[[#This Row],[Id_anterior]]=1,ROW()-1,SUM(ROW()-1,Tabla_Presupuesto[[#This Row],[Id_anterior]]))</f>
        <v>394</v>
      </c>
      <c r="F185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PRESUPUESTO_CIERRES_HOMOLOGACION_SIGFE_PREPARA_MODIFICACIONES_PRESUPUESTARIAS_MONEDA_NACIONAL_Y_EXTRANJERA</v>
      </c>
      <c r="G185" s="2" t="str">
        <f>CLEAN(PROPER(Tabla_Presupuesto[[#This Row],[Nombre Opción]]))</f>
        <v>Prepara Modificaciones Presupuestarias. Moneda Nacional Y Extranjera</v>
      </c>
      <c r="H185" s="2" t="s">
        <v>1735</v>
      </c>
      <c r="I185" s="2" t="str">
        <f>_xlfn.XLOOKUP(Tabla_Presupuesto[[#This Row],[id_padre]],Tabla_Presupuesto[Id],Tabla_Presupuesto[Codigo_Tecnico],"",0,1)</f>
        <v>PRESUPUESTO_CIERRES_HOMOLOGACION_SIGFE</v>
      </c>
      <c r="J185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/presupuesto/cierres/homologacion-sigfe/prepara-modificaciones-presupuestarias-moneda-nacional-y-extranjera</v>
      </c>
      <c r="K185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prepara-modificaciones-presupuestarias-moneda-nacional-y-extranjera</v>
      </c>
      <c r="L185" s="2" t="s">
        <v>1341</v>
      </c>
      <c r="M185" s="2" t="s">
        <v>1792</v>
      </c>
      <c r="N185" s="4"/>
      <c r="O185" s="4"/>
      <c r="P185" s="4" t="s">
        <v>360</v>
      </c>
      <c r="Q185" s="4"/>
      <c r="U185" s="4" t="s">
        <v>360</v>
      </c>
      <c r="AB185" s="5" t="s">
        <v>360</v>
      </c>
      <c r="AC185" s="5"/>
      <c r="AD185" s="5"/>
      <c r="AE185" s="5"/>
      <c r="AF185" s="5" t="s">
        <v>360</v>
      </c>
      <c r="AG185" s="2" t="str">
        <f>IF(OR(Tabla_Presupuesto[[#This Row],[ROL_JEFE_CONT_PRESU]]="*",Tabla_Presupuesto[[#This Row],[ROL_JEFE_CONT_PRSU_HOSPI]]="*"),"*","")</f>
        <v>*</v>
      </c>
    </row>
    <row r="186" spans="1:33" x14ac:dyDescent="0.5">
      <c r="A186" s="5">
        <f>MAX(Tabla_Contabilidad[Id])</f>
        <v>210</v>
      </c>
      <c r="B186" s="2">
        <v>391</v>
      </c>
      <c r="C186" s="5">
        <f>IF(Tabla_Presupuesto[[#This Row],[id_padre]]="",0,_xlfn.XLOOKUP(Tabla_Presupuesto[[#This Row],[id_padre]],Tabla_Presupuesto[Id],Tabla_Presupuesto[Nivel],0,0,1)+1)</f>
        <v>3</v>
      </c>
      <c r="D186" s="2" t="s">
        <v>950</v>
      </c>
      <c r="E186" s="2">
        <f>IF(Tabla_Presupuesto[[#This Row],[Id_anterior]]=1,ROW()-1,SUM(ROW()-1,Tabla_Presupuesto[[#This Row],[Id_anterior]]))</f>
        <v>395</v>
      </c>
      <c r="F186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PRESUPUESTO_CIERRES_HOMOLOGACION_SIGFE_PREPARA_MODIFICACIONES_PRESUPUESTARIAS_OTROS</v>
      </c>
      <c r="G186" s="2" t="str">
        <f>CLEAN(PROPER(Tabla_Presupuesto[[#This Row],[Nombre Opción]]))</f>
        <v>Prepara Modificaciones Presupuestarias Otros</v>
      </c>
      <c r="H186" s="2" t="s">
        <v>1735</v>
      </c>
      <c r="I186" s="2" t="str">
        <f>_xlfn.XLOOKUP(Tabla_Presupuesto[[#This Row],[id_padre]],Tabla_Presupuesto[Id],Tabla_Presupuesto[Codigo_Tecnico],"",0,1)</f>
        <v>PRESUPUESTO_CIERRES_HOMOLOGACION_SIGFE</v>
      </c>
      <c r="J186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/presupuesto/cierres/homologacion-sigfe/prepara-modificaciones-presupuestarias-otros</v>
      </c>
      <c r="K186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prepara-modificaciones-presupuestarias-otros</v>
      </c>
      <c r="L186" s="2" t="s">
        <v>1411</v>
      </c>
      <c r="M186" s="2" t="s">
        <v>1792</v>
      </c>
      <c r="N186" s="4"/>
      <c r="O186" s="4"/>
      <c r="P186" s="4" t="s">
        <v>360</v>
      </c>
      <c r="Q186" s="4"/>
      <c r="U186" s="4" t="s">
        <v>360</v>
      </c>
      <c r="AB186" s="5" t="s">
        <v>360</v>
      </c>
      <c r="AC186" s="5"/>
      <c r="AD186" s="5"/>
      <c r="AE186" s="5"/>
      <c r="AF186" s="5" t="s">
        <v>360</v>
      </c>
      <c r="AG186" s="2" t="str">
        <f>IF(OR(Tabla_Presupuesto[[#This Row],[ROL_JEFE_CONT_PRESU]]="*",Tabla_Presupuesto[[#This Row],[ROL_JEFE_CONT_PRSU_HOSPI]]="*"),"*","")</f>
        <v>*</v>
      </c>
    </row>
    <row r="187" spans="1:33" x14ac:dyDescent="0.5">
      <c r="A187" s="5">
        <f>MAX(Tabla_Contabilidad[Id])</f>
        <v>210</v>
      </c>
      <c r="B187" s="2">
        <v>391</v>
      </c>
      <c r="C187" s="5">
        <f>IF(Tabla_Presupuesto[[#This Row],[id_padre]]="",0,_xlfn.XLOOKUP(Tabla_Presupuesto[[#This Row],[id_padre]],Tabla_Presupuesto[Id],Tabla_Presupuesto[Nivel],0,0,1)+1)</f>
        <v>3</v>
      </c>
      <c r="D187" s="2" t="s">
        <v>951</v>
      </c>
      <c r="E187" s="2">
        <f>IF(Tabla_Presupuesto[[#This Row],[Id_anterior]]=1,ROW()-1,SUM(ROW()-1,Tabla_Presupuesto[[#This Row],[Id_anterior]]))</f>
        <v>396</v>
      </c>
      <c r="F187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PRESUPUESTO_CIERRES_HOMOLOGACION_SIGFE_PREPARA_OBLIGACIONES_MONEDA_NACIONAL_Y_EXTRANJERA</v>
      </c>
      <c r="G187" s="2" t="str">
        <f>CLEAN(PROPER(Tabla_Presupuesto[[#This Row],[Nombre Opción]]))</f>
        <v>Prepara Obligaciones Moneda Nacional Y Extranjera</v>
      </c>
      <c r="H187" s="2" t="s">
        <v>1735</v>
      </c>
      <c r="I187" s="2" t="str">
        <f>_xlfn.XLOOKUP(Tabla_Presupuesto[[#This Row],[id_padre]],Tabla_Presupuesto[Id],Tabla_Presupuesto[Codigo_Tecnico],"",0,1)</f>
        <v>PRESUPUESTO_CIERRES_HOMOLOGACION_SIGFE</v>
      </c>
      <c r="J187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/presupuesto/cierres/homologacion-sigfe/prepara-obligaciones-moneda-nacional-y-extranjera</v>
      </c>
      <c r="K187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prepara-obligaciones-moneda-nacional-y-extranjera</v>
      </c>
      <c r="L187" s="2" t="s">
        <v>1510</v>
      </c>
      <c r="M187" s="2" t="s">
        <v>1792</v>
      </c>
      <c r="N187" s="4"/>
      <c r="O187" s="4"/>
      <c r="P187" s="4" t="s">
        <v>360</v>
      </c>
      <c r="Q187" s="4"/>
      <c r="U187" s="4" t="s">
        <v>360</v>
      </c>
      <c r="AB187" s="5" t="s">
        <v>360</v>
      </c>
      <c r="AC187" s="5"/>
      <c r="AD187" s="5"/>
      <c r="AE187" s="5"/>
      <c r="AF187" s="5" t="s">
        <v>360</v>
      </c>
      <c r="AG187" s="2" t="str">
        <f>IF(OR(Tabla_Presupuesto[[#This Row],[ROL_JEFE_CONT_PRESU]]="*",Tabla_Presupuesto[[#This Row],[ROL_JEFE_CONT_PRSU_HOSPI]]="*"),"*","")</f>
        <v>*</v>
      </c>
    </row>
    <row r="188" spans="1:33" x14ac:dyDescent="0.5">
      <c r="A188" s="5">
        <f>MAX(Tabla_Contabilidad[Id])</f>
        <v>210</v>
      </c>
      <c r="B188" s="2">
        <v>391</v>
      </c>
      <c r="C188" s="5">
        <f>IF(Tabla_Presupuesto[[#This Row],[id_padre]]="",0,_xlfn.XLOOKUP(Tabla_Presupuesto[[#This Row],[id_padre]],Tabla_Presupuesto[Id],Tabla_Presupuesto[Nivel],0,0,1)+1)</f>
        <v>3</v>
      </c>
      <c r="D188" s="2" t="s">
        <v>952</v>
      </c>
      <c r="E188" s="2">
        <f>IF(Tabla_Presupuesto[[#This Row],[Id_anterior]]=1,ROW()-1,SUM(ROW()-1,Tabla_Presupuesto[[#This Row],[Id_anterior]]))</f>
        <v>397</v>
      </c>
      <c r="F188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PRESUPUESTO_CIERRES_HOMOLOGACION_SIGFE_PREPARA_OBLIGACIONES_OTROS</v>
      </c>
      <c r="G188" s="2" t="str">
        <f>CLEAN(PROPER(Tabla_Presupuesto[[#This Row],[Nombre Opción]]))</f>
        <v>Prepara Obligaciones Otros</v>
      </c>
      <c r="H188" s="2" t="s">
        <v>1735</v>
      </c>
      <c r="I188" s="2" t="str">
        <f>_xlfn.XLOOKUP(Tabla_Presupuesto[[#This Row],[id_padre]],Tabla_Presupuesto[Id],Tabla_Presupuesto[Codigo_Tecnico],"",0,1)</f>
        <v>PRESUPUESTO_CIERRES_HOMOLOGACION_SIGFE</v>
      </c>
      <c r="J188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/presupuesto/cierres/homologacion-sigfe/prepara-obligaciones-otros</v>
      </c>
      <c r="K188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prepara-obligaciones-otros</v>
      </c>
      <c r="L188" s="2" t="s">
        <v>1457</v>
      </c>
      <c r="M188" s="2" t="s">
        <v>1792</v>
      </c>
      <c r="N188" s="4"/>
      <c r="O188" s="4"/>
      <c r="P188" s="4" t="s">
        <v>360</v>
      </c>
      <c r="Q188" s="4"/>
      <c r="U188" s="4" t="s">
        <v>360</v>
      </c>
      <c r="AB188" s="5" t="s">
        <v>360</v>
      </c>
      <c r="AC188" s="5"/>
      <c r="AD188" s="5"/>
      <c r="AE188" s="5"/>
      <c r="AF188" s="5" t="s">
        <v>360</v>
      </c>
      <c r="AG188" s="2" t="str">
        <f>IF(OR(Tabla_Presupuesto[[#This Row],[ROL_JEFE_CONT_PRESU]]="*",Tabla_Presupuesto[[#This Row],[ROL_JEFE_CONT_PRSU_HOSPI]]="*"),"*","")</f>
        <v>*</v>
      </c>
    </row>
    <row r="189" spans="1:33" x14ac:dyDescent="0.5">
      <c r="A189" s="5">
        <f>MAX(Tabla_Contabilidad[Id])</f>
        <v>210</v>
      </c>
      <c r="B189" s="2">
        <v>391</v>
      </c>
      <c r="C189" s="5">
        <f>IF(Tabla_Presupuesto[[#This Row],[id_padre]]="",0,_xlfn.XLOOKUP(Tabla_Presupuesto[[#This Row],[id_padre]],Tabla_Presupuesto[Id],Tabla_Presupuesto[Nivel],0,0,1)+1)</f>
        <v>3</v>
      </c>
      <c r="D189" s="2" t="s">
        <v>953</v>
      </c>
      <c r="E189" s="2">
        <f>IF(Tabla_Presupuesto[[#This Row],[Id_anterior]]=1,ROW()-1,SUM(ROW()-1,Tabla_Presupuesto[[#This Row],[Id_anterior]]))</f>
        <v>398</v>
      </c>
      <c r="F189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PRESUPUESTO_CIERRES_HOMOLOGACION_SIGFE_PREPARA_CONTABILIDAD_MONEDA_NACIONAL_Y_EXTRANJERA</v>
      </c>
      <c r="G189" s="2" t="str">
        <f>CLEAN(PROPER(Tabla_Presupuesto[[#This Row],[Nombre Opción]]))</f>
        <v>Prepara Contabilidad Moneda Nacional Y Extranjera</v>
      </c>
      <c r="H189" s="2" t="s">
        <v>1735</v>
      </c>
      <c r="I189" s="2" t="str">
        <f>_xlfn.XLOOKUP(Tabla_Presupuesto[[#This Row],[id_padre]],Tabla_Presupuesto[Id],Tabla_Presupuesto[Codigo_Tecnico],"",0,1)</f>
        <v>PRESUPUESTO_CIERRES_HOMOLOGACION_SIGFE</v>
      </c>
      <c r="J189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/presupuesto/cierres/homologacion-sigfe/prepara-contabilidad-moneda-nacional-y-extranjera</v>
      </c>
      <c r="K189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prepara-contabilidad-moneda-nacional-y-extranjera</v>
      </c>
      <c r="L189" s="2" t="s">
        <v>1367</v>
      </c>
      <c r="M189" s="2" t="s">
        <v>1792</v>
      </c>
      <c r="N189" s="4"/>
      <c r="O189" s="4"/>
      <c r="P189" s="4" t="s">
        <v>360</v>
      </c>
      <c r="Q189" s="4"/>
      <c r="U189" s="4" t="s">
        <v>360</v>
      </c>
      <c r="AB189" s="5" t="s">
        <v>360</v>
      </c>
      <c r="AC189" s="5"/>
      <c r="AD189" s="5"/>
      <c r="AE189" s="5"/>
      <c r="AF189" s="5" t="s">
        <v>360</v>
      </c>
      <c r="AG189" s="2" t="str">
        <f>IF(OR(Tabla_Presupuesto[[#This Row],[ROL_JEFE_CONT_PRESU]]="*",Tabla_Presupuesto[[#This Row],[ROL_JEFE_CONT_PRSU_HOSPI]]="*"),"*","")</f>
        <v>*</v>
      </c>
    </row>
    <row r="190" spans="1:33" x14ac:dyDescent="0.5">
      <c r="A190" s="5">
        <f>MAX(Tabla_Contabilidad[Id])</f>
        <v>210</v>
      </c>
      <c r="B190" s="2">
        <v>391</v>
      </c>
      <c r="C190" s="5">
        <f>IF(Tabla_Presupuesto[[#This Row],[id_padre]]="",0,_xlfn.XLOOKUP(Tabla_Presupuesto[[#This Row],[id_padre]],Tabla_Presupuesto[Id],Tabla_Presupuesto[Nivel],0,0,1)+1)</f>
        <v>3</v>
      </c>
      <c r="D190" s="2" t="s">
        <v>954</v>
      </c>
      <c r="E190" s="2">
        <f>IF(Tabla_Presupuesto[[#This Row],[Id_anterior]]=1,ROW()-1,SUM(ROW()-1,Tabla_Presupuesto[[#This Row],[Id_anterior]]))</f>
        <v>399</v>
      </c>
      <c r="F190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PRESUPUESTO_CIERRES_HOMOLOGACION_SIGFE_PREPARA_CONTABILIDAD_OTROS</v>
      </c>
      <c r="G190" s="2" t="str">
        <f>CLEAN(PROPER(Tabla_Presupuesto[[#This Row],[Nombre Opción]]))</f>
        <v>Prepara Contabilidad Otros</v>
      </c>
      <c r="H190" s="2" t="s">
        <v>1735</v>
      </c>
      <c r="I190" s="2" t="str">
        <f>_xlfn.XLOOKUP(Tabla_Presupuesto[[#This Row],[id_padre]],Tabla_Presupuesto[Id],Tabla_Presupuesto[Codigo_Tecnico],"",0,1)</f>
        <v>PRESUPUESTO_CIERRES_HOMOLOGACION_SIGFE</v>
      </c>
      <c r="J190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/presupuesto/cierres/homologacion-sigfe/prepara-contabilidad-otros</v>
      </c>
      <c r="K190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prepara-contabilidad-otros</v>
      </c>
      <c r="L190" s="2" t="s">
        <v>1341</v>
      </c>
      <c r="M190" s="2" t="s">
        <v>1792</v>
      </c>
      <c r="N190" s="4"/>
      <c r="O190" s="4"/>
      <c r="P190" s="4" t="s">
        <v>360</v>
      </c>
      <c r="Q190" s="4"/>
      <c r="U190" s="4" t="s">
        <v>360</v>
      </c>
      <c r="AB190" s="5" t="s">
        <v>360</v>
      </c>
      <c r="AC190" s="5"/>
      <c r="AD190" s="5"/>
      <c r="AE190" s="5"/>
      <c r="AF190" s="5" t="s">
        <v>360</v>
      </c>
      <c r="AG190" s="2" t="str">
        <f>IF(OR(Tabla_Presupuesto[[#This Row],[ROL_JEFE_CONT_PRESU]]="*",Tabla_Presupuesto[[#This Row],[ROL_JEFE_CONT_PRSU_HOSPI]]="*"),"*","")</f>
        <v>*</v>
      </c>
    </row>
    <row r="191" spans="1:33" x14ac:dyDescent="0.5">
      <c r="A191" s="5">
        <f>MAX(Tabla_Contabilidad[Id])</f>
        <v>210</v>
      </c>
      <c r="B191" s="2">
        <v>216</v>
      </c>
      <c r="C191" s="5">
        <f>IF(Tabla_Presupuesto[[#This Row],[id_padre]]="",0,_xlfn.XLOOKUP(Tabla_Presupuesto[[#This Row],[id_padre]],Tabla_Presupuesto[Id],Tabla_Presupuesto[Nivel],0,0,1)+1)</f>
        <v>2</v>
      </c>
      <c r="D191" s="2" t="s">
        <v>357</v>
      </c>
      <c r="E191" s="2">
        <f>IF(Tabla_Presupuesto[[#This Row],[Id_anterior]]=1,ROW()-1,SUM(ROW()-1,Tabla_Presupuesto[[#This Row],[Id_anterior]]))</f>
        <v>400</v>
      </c>
      <c r="F191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PRESUPUESTO_CIERRES_TRANSFERENCIA_PRESUPUESTO_POR_DUODECIMOS</v>
      </c>
      <c r="G191" s="2" t="str">
        <f>CLEAN(PROPER(Tabla_Presupuesto[[#This Row],[Nombre Opción]]))</f>
        <v>Transferencia Presupuesto Por Duodecimos</v>
      </c>
      <c r="H191" s="2" t="s">
        <v>1735</v>
      </c>
      <c r="I191" s="2" t="str">
        <f>_xlfn.XLOOKUP(Tabla_Presupuesto[[#This Row],[id_padre]],Tabla_Presupuesto[Id],Tabla_Presupuesto[Codigo_Tecnico],"",0,1)</f>
        <v>PRESUPUESTO_CIERRES</v>
      </c>
      <c r="J191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/presupuesto/cierres/transferencia-presupuesto-por-duodecimos</v>
      </c>
      <c r="K191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transferencia-presupuesto-por-duodecimos</v>
      </c>
      <c r="L191" s="2" t="s">
        <v>1475</v>
      </c>
      <c r="M191" s="2" t="s">
        <v>1792</v>
      </c>
      <c r="N191" s="4"/>
      <c r="O191" s="4"/>
      <c r="P191" s="4" t="s">
        <v>360</v>
      </c>
      <c r="Q191" s="4"/>
      <c r="U191" s="4" t="s">
        <v>360</v>
      </c>
      <c r="AB191" s="5" t="s">
        <v>360</v>
      </c>
      <c r="AC191" s="5"/>
      <c r="AD191" s="5"/>
      <c r="AE191" s="5"/>
      <c r="AF191" s="5" t="s">
        <v>360</v>
      </c>
      <c r="AG191" s="2" t="str">
        <f>IF(OR(Tabla_Presupuesto[[#This Row],[ROL_JEFE_CONT_PRESU]]="*",Tabla_Presupuesto[[#This Row],[ROL_JEFE_CONT_PRSU_HOSPI]]="*"),"*","")</f>
        <v>*</v>
      </c>
    </row>
    <row r="192" spans="1:33" x14ac:dyDescent="0.5">
      <c r="A192" s="5">
        <f>MAX(Tabla_Contabilidad[Id])</f>
        <v>210</v>
      </c>
      <c r="B192" s="2">
        <v>216</v>
      </c>
      <c r="C192" s="5">
        <f>IF(Tabla_Presupuesto[[#This Row],[id_padre]]="",0,_xlfn.XLOOKUP(Tabla_Presupuesto[[#This Row],[id_padre]],Tabla_Presupuesto[Id],Tabla_Presupuesto[Nivel],0,0,1)+1)</f>
        <v>2</v>
      </c>
      <c r="D192" s="2" t="s">
        <v>358</v>
      </c>
      <c r="E192" s="2">
        <f>IF(Tabla_Presupuesto[[#This Row],[Id_anterior]]=1,ROW()-1,SUM(ROW()-1,Tabla_Presupuesto[[#This Row],[Id_anterior]]))</f>
        <v>401</v>
      </c>
      <c r="F192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PRESUPUESTO_CIERRES_BLOQUEO_SOLICITUD_FLUJO_CAJA_POR_ENTIDAD</v>
      </c>
      <c r="G192" s="2" t="str">
        <f>CLEAN(PROPER(Tabla_Presupuesto[[#This Row],[Nombre Opción]]))</f>
        <v>Bloqueo Solicitud Flujo Caja Por Entidad</v>
      </c>
      <c r="H192" s="2" t="s">
        <v>1735</v>
      </c>
      <c r="I192" s="2" t="str">
        <f>_xlfn.XLOOKUP(Tabla_Presupuesto[[#This Row],[id_padre]],Tabla_Presupuesto[Id],Tabla_Presupuesto[Codigo_Tecnico],"",0,1)</f>
        <v>PRESUPUESTO_CIERRES</v>
      </c>
      <c r="J192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/presupuesto/cierres/bloqueo-solicitud-flujo-caja-por-entidad</v>
      </c>
      <c r="K192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bloqueo-solicitud-flujo-caja-por-entidad</v>
      </c>
      <c r="L192" s="2" t="s">
        <v>1475</v>
      </c>
      <c r="M192" s="2" t="s">
        <v>1792</v>
      </c>
      <c r="N192" s="4"/>
      <c r="O192" s="4"/>
      <c r="P192" s="4" t="s">
        <v>360</v>
      </c>
      <c r="Q192" s="4"/>
      <c r="U192" s="4" t="s">
        <v>360</v>
      </c>
      <c r="AB192" s="5" t="s">
        <v>360</v>
      </c>
      <c r="AC192" s="5"/>
      <c r="AD192" s="5"/>
      <c r="AE192" s="5"/>
      <c r="AF192" s="5" t="s">
        <v>360</v>
      </c>
      <c r="AG192" s="2" t="str">
        <f>IF(OR(Tabla_Presupuesto[[#This Row],[ROL_JEFE_CONT_PRESU]]="*",Tabla_Presupuesto[[#This Row],[ROL_JEFE_CONT_PRSU_HOSPI]]="*"),"*","")</f>
        <v>*</v>
      </c>
    </row>
    <row r="193" spans="1:33" x14ac:dyDescent="0.5">
      <c r="A193" s="5">
        <f>MAX(Tabla_Contabilidad[Id])</f>
        <v>210</v>
      </c>
      <c r="B193" s="2">
        <v>216</v>
      </c>
      <c r="C193" s="5">
        <f>IF(Tabla_Presupuesto[[#This Row],[id_padre]]="",0,_xlfn.XLOOKUP(Tabla_Presupuesto[[#This Row],[id_padre]],Tabla_Presupuesto[Id],Tabla_Presupuesto[Nivel],0,0,1)+1)</f>
        <v>2</v>
      </c>
      <c r="D193" s="2" t="s">
        <v>359</v>
      </c>
      <c r="E193" s="2">
        <f>IF(Tabla_Presupuesto[[#This Row],[Id_anterior]]=1,ROW()-1,SUM(ROW()-1,Tabla_Presupuesto[[#This Row],[Id_anterior]]))</f>
        <v>402</v>
      </c>
      <c r="F193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PRESUPUESTO_CIERRES_BLOQUEO_SOLICITUD_FLUJO_CAJA_POR_UNIDAD</v>
      </c>
      <c r="G193" s="2" t="str">
        <f>CLEAN(PROPER(Tabla_Presupuesto[[#This Row],[Nombre Opción]]))</f>
        <v>Bloqueo Solicitud Flujo Caja Por Unidad</v>
      </c>
      <c r="H193" s="2" t="s">
        <v>1735</v>
      </c>
      <c r="I193" s="2" t="str">
        <f>_xlfn.XLOOKUP(Tabla_Presupuesto[[#This Row],[id_padre]],Tabla_Presupuesto[Id],Tabla_Presupuesto[Codigo_Tecnico],"",0,1)</f>
        <v>PRESUPUESTO_CIERRES</v>
      </c>
      <c r="J193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/presupuesto/cierres/bloqueo-solicitud-flujo-caja-por-unidad</v>
      </c>
      <c r="K193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bloqueo-solicitud-flujo-caja-por-unidad</v>
      </c>
      <c r="L193" s="2" t="s">
        <v>1493</v>
      </c>
      <c r="M193" s="2" t="s">
        <v>1792</v>
      </c>
      <c r="N193" s="4"/>
      <c r="O193" s="4"/>
      <c r="P193" s="4" t="s">
        <v>360</v>
      </c>
      <c r="Q193" s="4"/>
      <c r="U193" s="4" t="s">
        <v>360</v>
      </c>
      <c r="X193" s="4" t="s">
        <v>360</v>
      </c>
      <c r="Y193" s="4" t="s">
        <v>360</v>
      </c>
      <c r="AA193" s="4" t="s">
        <v>360</v>
      </c>
      <c r="AB193" s="5" t="s">
        <v>360</v>
      </c>
      <c r="AC193" s="5"/>
      <c r="AD193" s="5"/>
      <c r="AE193" s="5"/>
      <c r="AF193" s="5" t="s">
        <v>360</v>
      </c>
      <c r="AG193" s="2" t="str">
        <f>IF(OR(Tabla_Presupuesto[[#This Row],[ROL_JEFE_CONT_PRESU]]="*",Tabla_Presupuesto[[#This Row],[ROL_JEFE_CONT_PRSU_HOSPI]]="*"),"*","")</f>
        <v>*</v>
      </c>
    </row>
    <row r="194" spans="1:33" hidden="1" x14ac:dyDescent="0.5">
      <c r="A194" s="5">
        <f>MAX(Tabla_Contabilidad[Id])</f>
        <v>210</v>
      </c>
      <c r="B194" s="2">
        <v>216</v>
      </c>
      <c r="C194" s="5">
        <f>IF(Tabla_Presupuesto[[#This Row],[id_padre]]="",0,_xlfn.XLOOKUP(Tabla_Presupuesto[[#This Row],[id_padre]],Tabla_Presupuesto[Id],Tabla_Presupuesto[Nivel],0,0,1)+1)</f>
        <v>2</v>
      </c>
      <c r="D194" s="2" t="s">
        <v>361</v>
      </c>
      <c r="E194" s="2">
        <f>IF(Tabla_Presupuesto[[#This Row],[Id_anterior]]=1,ROW()-1,SUM(ROW()-1,Tabla_Presupuesto[[#This Row],[Id_anterior]]))</f>
        <v>403</v>
      </c>
      <c r="F194" s="2" t="str">
        <f>IF(Tabla_Presupuesto[[#This Row],[id_padre]]="",SUBSTITUTE(UPPER(Tabla_Presupuesto[[#This Row],[Slug]]),"-","_"),CONCATENATE(_xlfn.XLOOKUP(Tabla_Presupuesto[[#This Row],[id_padre]],Tabla_Presupuesto[Id],Tabla_Presupuesto[Codigo_Tecnico],"",0,1),"_",SUBSTITUTE(UPPER(Tabla_Presupuesto[[#This Row],[Slug]]),"-","_")))</f>
        <v>PRESUPUESTO_CIERRES_TRASPASO_PRESUPUESTO_INICIAL_Y_LICOPE</v>
      </c>
      <c r="G194" s="2" t="str">
        <f>CLEAN(PROPER(Tabla_Presupuesto[[#This Row],[Nombre Opción]]))</f>
        <v>Traspaso Presupuesto Inicial Y Licope</v>
      </c>
      <c r="H194" s="2" t="s">
        <v>1735</v>
      </c>
      <c r="I194" s="2" t="str">
        <f>_xlfn.XLOOKUP(Tabla_Presupuesto[[#This Row],[id_padre]],Tabla_Presupuesto[Id],Tabla_Presupuesto[Codigo_Tecnico],"",0,1)</f>
        <v>PRESUPUESTO_CIERRES</v>
      </c>
      <c r="J194" s="2" t="str">
        <f>IF(Tabla_Presupuesto[[#This Row],[Nivel]]=0,CONCATENATE("/",Tabla_Presupuesto[[#This Row],[Slug]]),CONCATENATE(_xlfn.XLOOKUP(Tabla_Presupuesto[[#This Row],[id_padre]],Tabla_Presupuesto[Id],Tabla_Presupuesto[Ruta_Web],"",0,1),"/",Tabla_Presupuesto[[#This Row],[Slug]]))</f>
        <v>/presupuesto/cierres/traspaso-presupuesto-inicial-y-licope</v>
      </c>
      <c r="K194" s="2" t="str">
        <f>SUBSTITUTE(SUBSTITUTE(SUBSTITUTE(SUBSTITUTE(SUBSTITUTE(SUBSTITUTE(SUBSTITUTE(SUBSTITUTE(SUBSTITUTE(SUBSTITUTE(SUBSTITUTE(SUBSTITUTE(SUBSTITUTE(SUBSTITUTE(SUBSTITUTE(SUBSTITUTE(SUBSTITUTE(SUBSTITUTE(SUBSTITUTE(SUBSTITUTE(SUBSTITUTE(LOWER(Tabla_Presupuesto[[#This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traspaso-presupuesto-inicial-y-licope</v>
      </c>
      <c r="L194" s="2" t="s">
        <v>1493</v>
      </c>
      <c r="M194" s="2" t="s">
        <v>1792</v>
      </c>
      <c r="N194" s="4"/>
      <c r="O194" s="4"/>
      <c r="P194" s="4" t="s">
        <v>360</v>
      </c>
      <c r="Q194" s="4"/>
      <c r="X194" s="4" t="s">
        <v>360</v>
      </c>
      <c r="AB194" s="5"/>
      <c r="AC194" s="5"/>
      <c r="AD194" s="5"/>
      <c r="AE194" s="5"/>
      <c r="AF194" s="5" t="s">
        <v>360</v>
      </c>
      <c r="AG194" s="2" t="str">
        <f>IF(OR(Tabla_Presupuesto[[#This Row],[ROL_JEFE_CONT_PRESU]]="*",Tabla_Presupuesto[[#This Row],[ROL_JEFE_CONT_PRSU_HOSPI]]="*"),"*","")</f>
        <v>*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2241956-C350-48A5-BD14-E72C4DA0DB86}">
          <x14:formula1>
            <xm:f>Modulos!$C$2:$C$15</xm:f>
          </x14:formula1>
          <xm:sqref>M2:M194</xm:sqref>
        </x14:dataValidation>
        <x14:dataValidation type="list" allowBlank="1" showInputMessage="1" showErrorMessage="1" xr:uid="{A2929810-A024-43A8-B28C-D5CB1F1ED324}">
          <x14:formula1>
            <xm:f>Lista!$A$2:$A$3</xm:f>
          </x14:formula1>
          <xm:sqref>N2:AF194</xm:sqref>
        </x14:dataValidation>
        <x14:dataValidation type="list" allowBlank="1" showInputMessage="1" showErrorMessage="1" xr:uid="{7FE74D42-57BD-49AB-8BA9-E79E7144927D}">
          <x14:formula1>
            <xm:f>Tipos!$B$2:$B$7</xm:f>
          </x14:formula1>
          <xm:sqref>H2:H194</xm:sqref>
        </x14:dataValidation>
        <x14:dataValidation type="list" allowBlank="1" showInputMessage="1" showErrorMessage="1" xr:uid="{18CF382A-38E2-41B8-8D37-0F51C858A7A8}">
          <x14:formula1>
            <xm:f>Equipo!$B$2:$B$7</xm:f>
          </x14:formula1>
          <xm:sqref>AH2:AH194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72C5-24A4-4A15-8D2F-539FCB51A4CB}">
  <sheetPr codeName="Hoja9"/>
  <dimension ref="A1:W105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0" sqref="D20:D21"/>
    </sheetView>
  </sheetViews>
  <sheetFormatPr baseColWidth="10" defaultColWidth="11.41015625" defaultRowHeight="14.35" x14ac:dyDescent="0.5"/>
  <cols>
    <col min="1" max="1" width="5.703125" style="4" customWidth="1"/>
    <col min="2" max="2" width="5.703125" customWidth="1"/>
    <col min="3" max="3" width="5.703125" style="2" customWidth="1"/>
    <col min="4" max="4" width="55.5859375" style="2" bestFit="1" customWidth="1"/>
    <col min="5" max="5" width="5.703125" customWidth="1"/>
    <col min="6" max="6" width="10.703125" customWidth="1"/>
    <col min="7" max="7" width="10.703125" style="2" customWidth="1"/>
    <col min="8" max="8" width="10.703125" customWidth="1"/>
    <col min="9" max="12" width="10.703125" style="4" customWidth="1"/>
    <col min="13" max="13" width="10.703125" style="2" customWidth="1"/>
    <col min="14" max="15" width="5.703125" style="4" customWidth="1"/>
    <col min="16" max="16" width="5.703125" customWidth="1"/>
    <col min="17" max="17" width="5.703125" style="4" customWidth="1"/>
    <col min="18" max="18" width="5.703125" style="2" customWidth="1"/>
    <col min="19" max="19" width="5.703125" style="5" customWidth="1"/>
    <col min="20" max="21" width="5.703125" style="4" customWidth="1"/>
    <col min="22" max="22" width="5.64453125" style="4" customWidth="1"/>
    <col min="23" max="23" width="5.64453125" customWidth="1"/>
    <col min="24" max="16384" width="11.41015625" style="2"/>
  </cols>
  <sheetData>
    <row r="1" spans="1:23" ht="97.7" x14ac:dyDescent="0.5">
      <c r="A1" s="1" t="s">
        <v>1807</v>
      </c>
      <c r="B1" s="3" t="s">
        <v>1324</v>
      </c>
      <c r="C1" s="3" t="s">
        <v>24</v>
      </c>
      <c r="D1" s="3" t="s">
        <v>23</v>
      </c>
      <c r="E1" s="3" t="s">
        <v>16</v>
      </c>
      <c r="F1" s="1" t="s">
        <v>1730</v>
      </c>
      <c r="G1" s="1" t="s">
        <v>1731</v>
      </c>
      <c r="H1" s="1" t="s">
        <v>1732</v>
      </c>
      <c r="I1" s="1" t="s">
        <v>1733</v>
      </c>
      <c r="J1" s="1" t="s">
        <v>1734</v>
      </c>
      <c r="K1" s="1" t="s">
        <v>1334</v>
      </c>
      <c r="L1" s="1" t="s">
        <v>1328</v>
      </c>
      <c r="M1" s="3" t="s">
        <v>15</v>
      </c>
      <c r="N1" s="3" t="s">
        <v>362</v>
      </c>
      <c r="O1" s="3" t="s">
        <v>363</v>
      </c>
      <c r="P1" s="3" t="s">
        <v>364</v>
      </c>
      <c r="Q1" s="3" t="s">
        <v>365</v>
      </c>
      <c r="R1" s="3" t="s">
        <v>366</v>
      </c>
      <c r="S1" s="3" t="s">
        <v>367</v>
      </c>
      <c r="T1" s="3" t="s">
        <v>368</v>
      </c>
      <c r="U1" s="3" t="s">
        <v>1932</v>
      </c>
      <c r="V1" s="3" t="s">
        <v>2029</v>
      </c>
      <c r="W1" s="3" t="s">
        <v>2030</v>
      </c>
    </row>
    <row r="2" spans="1:23" x14ac:dyDescent="0.5">
      <c r="A2" s="2">
        <f>MAX(Tabla_Presupuesto[Id])</f>
        <v>403</v>
      </c>
      <c r="B2" s="2" t="s">
        <v>98</v>
      </c>
      <c r="C2" s="5">
        <f>IF(Tabla_VMN[[#This Row],[id_padre]]="",0,_xlfn.XLOOKUP(Tabla_VMN[[#This Row],[id_padre]],Tabla_VMN[Id],Tabla_VMN[Nivel],0,0,1)+1)</f>
        <v>0</v>
      </c>
      <c r="D2" s="2" t="s">
        <v>207</v>
      </c>
      <c r="E2" s="2">
        <f>IF(Tabla_VMN[[#This Row],[id_anterior]]=1,ROW()-1,SUM(ROW()-1,Tabla_VMN[[#This Row],[id_anterior]]))</f>
        <v>404</v>
      </c>
      <c r="F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</v>
      </c>
      <c r="G2" s="2" t="str">
        <f>CLEAN(PROPER(Tabla_VMN[[#This Row],[Nombre Opción]]))</f>
        <v>Viático Moneda Nacional</v>
      </c>
      <c r="H2" s="2" t="s">
        <v>1735</v>
      </c>
      <c r="I2" s="1" t="str">
        <f>_xlfn.XLOOKUP(Tabla_VMN[[#This Row],[id_padre]],Tabla_VMN[Id],Tabla_VMN[Codigo_Tecnico],"",0,1)</f>
        <v/>
      </c>
      <c r="J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viatico-moneda-nacional</v>
      </c>
      <c r="L2" s="2" t="s">
        <v>1511</v>
      </c>
      <c r="M2" s="2" t="s">
        <v>1803</v>
      </c>
      <c r="N2" s="7" t="s">
        <v>360</v>
      </c>
      <c r="O2" s="7" t="s">
        <v>360</v>
      </c>
      <c r="P2" s="7" t="s">
        <v>360</v>
      </c>
      <c r="Q2" s="7" t="s">
        <v>360</v>
      </c>
      <c r="R2" s="7" t="s">
        <v>360</v>
      </c>
      <c r="S2" s="7" t="s">
        <v>360</v>
      </c>
      <c r="T2" s="7" t="s">
        <v>360</v>
      </c>
      <c r="U2" s="7" t="s">
        <v>360</v>
      </c>
      <c r="V2" s="2" t="str">
        <f>IF(Tabla_VMN[[#This Row],[id_padre]]=Tabla_VMN[[#This Row],[Id]],"NOK","OK")</f>
        <v>OK</v>
      </c>
      <c r="W2" s="2"/>
    </row>
    <row r="3" spans="1:23" x14ac:dyDescent="0.5">
      <c r="A3" s="2">
        <f>MAX(Tabla_Presupuesto[Id])</f>
        <v>403</v>
      </c>
      <c r="B3" s="2">
        <v>404</v>
      </c>
      <c r="C3" s="5">
        <f>IF(Tabla_VMN[[#This Row],[id_padre]]="",0,_xlfn.XLOOKUP(Tabla_VMN[[#This Row],[id_padre]],Tabla_VMN[Id],Tabla_VMN[Nivel],0,0,1)+1)</f>
        <v>1</v>
      </c>
      <c r="D3" s="2" t="s">
        <v>18</v>
      </c>
      <c r="E3" s="2">
        <f>IF(Tabla_VMN[[#This Row],[id_anterior]]=1,ROW()-1,SUM(ROW()-1,Tabla_VMN[[#This Row],[id_anterior]]))</f>
        <v>405</v>
      </c>
      <c r="F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</v>
      </c>
      <c r="G3" s="2" t="str">
        <f>CLEAN(PROPER(Tabla_VMN[[#This Row],[Nombre Opción]]))</f>
        <v>Parámetros</v>
      </c>
      <c r="H3" s="2" t="s">
        <v>1735</v>
      </c>
      <c r="I3" s="2" t="str">
        <f>_xlfn.XLOOKUP(Tabla_VMN[[#This Row],[id_padre]],Tabla_VMN[Id],Tabla_VMN[Codigo_Tecnico],"",0,1)</f>
        <v>VIATICO_MONEDA_NACIONAL</v>
      </c>
      <c r="J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2" t="s">
        <v>1803</v>
      </c>
      <c r="N3" s="4" t="s">
        <v>360</v>
      </c>
      <c r="O3" s="4" t="s">
        <v>360</v>
      </c>
      <c r="P3" s="4" t="s">
        <v>360</v>
      </c>
      <c r="Q3" s="4" t="s">
        <v>360</v>
      </c>
      <c r="R3" s="4" t="s">
        <v>360</v>
      </c>
      <c r="S3" s="4" t="s">
        <v>360</v>
      </c>
      <c r="U3" s="7" t="s">
        <v>360</v>
      </c>
      <c r="V3" s="2" t="str">
        <f>IF(Tabla_VMN[[#This Row],[id_padre]]=Tabla_VMN[[#This Row],[Id]],"NOK","OK")</f>
        <v>OK</v>
      </c>
      <c r="W3" s="2"/>
    </row>
    <row r="4" spans="1:23" hidden="1" x14ac:dyDescent="0.5">
      <c r="A4" s="2">
        <f>MAX(Tabla_Presupuesto[Id])</f>
        <v>403</v>
      </c>
      <c r="B4" s="2">
        <v>404</v>
      </c>
      <c r="C4" s="5">
        <f>IF(Tabla_VMN[[#This Row],[id_padre]]="",0,_xlfn.XLOOKUP(Tabla_VMN[[#This Row],[id_padre]],Tabla_VMN[Id],Tabla_VMN[Nivel],0,0,1)+1)</f>
        <v>1</v>
      </c>
      <c r="D4" s="2" t="s">
        <v>19</v>
      </c>
      <c r="E4" s="2">
        <f>IF(Tabla_VMN[[#This Row],[id_anterior]]=1,ROW()-1,SUM(ROW()-1,Tabla_VMN[[#This Row],[id_anterior]]))</f>
        <v>406</v>
      </c>
      <c r="F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</v>
      </c>
      <c r="G4" s="2" t="str">
        <f>CLEAN(PROPER(Tabla_VMN[[#This Row],[Nombre Opción]]))</f>
        <v>Procesos</v>
      </c>
      <c r="H4" s="2" t="s">
        <v>1735</v>
      </c>
      <c r="I4" s="2" t="str">
        <f>_xlfn.XLOOKUP(Tabla_VMN[[#This Row],[id_padre]],Tabla_VMN[Id],Tabla_VMN[Codigo_Tecnico],"",0,1)</f>
        <v>VIATICO_MONEDA_NACIONAL</v>
      </c>
      <c r="J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2" t="s">
        <v>1338</v>
      </c>
      <c r="M4" s="2" t="s">
        <v>1803</v>
      </c>
      <c r="N4" s="4" t="s">
        <v>360</v>
      </c>
      <c r="O4" s="4" t="s">
        <v>360</v>
      </c>
      <c r="P4" s="4" t="s">
        <v>360</v>
      </c>
      <c r="R4" s="4" t="s">
        <v>360</v>
      </c>
      <c r="S4" s="4" t="s">
        <v>360</v>
      </c>
      <c r="T4" s="4" t="s">
        <v>360</v>
      </c>
      <c r="U4" s="7" t="s">
        <v>360</v>
      </c>
      <c r="V4" s="2" t="str">
        <f>IF(Tabla_VMN[[#This Row],[id_padre]]=Tabla_VMN[[#This Row],[Id]],"NOK","OK")</f>
        <v>OK</v>
      </c>
      <c r="W4" s="2"/>
    </row>
    <row r="5" spans="1:23" hidden="1" x14ac:dyDescent="0.5">
      <c r="A5" s="2">
        <f>MAX(Tabla_Presupuesto[Id])</f>
        <v>403</v>
      </c>
      <c r="B5" s="2">
        <v>404</v>
      </c>
      <c r="C5" s="5">
        <f>IF(Tabla_VMN[[#This Row],[id_padre]]="",0,_xlfn.XLOOKUP(Tabla_VMN[[#This Row],[id_padre]],Tabla_VMN[Id],Tabla_VMN[Nivel],0,0,1)+1)</f>
        <v>1</v>
      </c>
      <c r="D5" s="2" t="s">
        <v>20</v>
      </c>
      <c r="E5" s="2">
        <f>IF(Tabla_VMN[[#This Row],[id_anterior]]=1,ROW()-1,SUM(ROW()-1,Tabla_VMN[[#This Row],[id_anterior]]))</f>
        <v>407</v>
      </c>
      <c r="F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</v>
      </c>
      <c r="G5" s="2" t="str">
        <f>CLEAN(PROPER(Tabla_VMN[[#This Row],[Nombre Opción]]))</f>
        <v>Consultas</v>
      </c>
      <c r="H5" s="2" t="s">
        <v>1735</v>
      </c>
      <c r="I5" s="2" t="str">
        <f>_xlfn.XLOOKUP(Tabla_VMN[[#This Row],[id_padre]],Tabla_VMN[Id],Tabla_VMN[Codigo_Tecnico],"",0,1)</f>
        <v>VIATICO_MONEDA_NACIONAL</v>
      </c>
      <c r="J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2" t="s">
        <v>1339</v>
      </c>
      <c r="M5" s="2" t="s">
        <v>1803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4" t="s">
        <v>360</v>
      </c>
      <c r="U5" s="7" t="s">
        <v>360</v>
      </c>
      <c r="V5" s="2" t="str">
        <f>IF(Tabla_VMN[[#This Row],[id_padre]]=Tabla_VMN[[#This Row],[Id]],"NOK","OK")</f>
        <v>OK</v>
      </c>
      <c r="W5" s="2"/>
    </row>
    <row r="6" spans="1:23" hidden="1" x14ac:dyDescent="0.5">
      <c r="A6" s="2">
        <f>MAX(Tabla_Presupuesto[Id])</f>
        <v>403</v>
      </c>
      <c r="B6" s="2">
        <v>404</v>
      </c>
      <c r="C6" s="5">
        <f>IF(Tabla_VMN[[#This Row],[id_padre]]="",0,_xlfn.XLOOKUP(Tabla_VMN[[#This Row],[id_padre]],Tabla_VMN[Id],Tabla_VMN[Nivel],0,0,1)+1)</f>
        <v>1</v>
      </c>
      <c r="D6" s="2" t="s">
        <v>21</v>
      </c>
      <c r="E6" s="2">
        <f>IF(Tabla_VMN[[#This Row],[id_anterior]]=1,ROW()-1,SUM(ROW()-1,Tabla_VMN[[#This Row],[id_anterior]]))</f>
        <v>408</v>
      </c>
      <c r="F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</v>
      </c>
      <c r="G6" s="2" t="str">
        <f>CLEAN(PROPER(Tabla_VMN[[#This Row],[Nombre Opción]]))</f>
        <v>Informes</v>
      </c>
      <c r="H6" s="2" t="s">
        <v>1735</v>
      </c>
      <c r="I6" s="2" t="str">
        <f>_xlfn.XLOOKUP(Tabla_VMN[[#This Row],[id_padre]],Tabla_VMN[Id],Tabla_VMN[Codigo_Tecnico],"",0,1)</f>
        <v>VIATICO_MONEDA_NACIONAL</v>
      </c>
      <c r="J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2" t="s">
        <v>1340</v>
      </c>
      <c r="M6" s="2" t="s">
        <v>1803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U6" s="7" t="s">
        <v>360</v>
      </c>
      <c r="V6" s="2" t="str">
        <f>IF(Tabla_VMN[[#This Row],[id_padre]]=Tabla_VMN[[#This Row],[Id]],"NOK","OK")</f>
        <v>OK</v>
      </c>
      <c r="W6" s="2"/>
    </row>
    <row r="7" spans="1:23" x14ac:dyDescent="0.5">
      <c r="A7" s="2">
        <f>MAX(Tabla_Presupuesto[Id])</f>
        <v>403</v>
      </c>
      <c r="B7" s="2">
        <v>405</v>
      </c>
      <c r="C7" s="5">
        <f>IF(Tabla_VMN[[#This Row],[id_padre]]="",0,_xlfn.XLOOKUP(Tabla_VMN[[#This Row],[id_padre]],Tabla_VMN[Id],Tabla_VMN[Nivel],0,0,1)+1)</f>
        <v>2</v>
      </c>
      <c r="D7" s="2" t="s">
        <v>369</v>
      </c>
      <c r="E7" s="2">
        <f>IF(Tabla_VMN[[#This Row],[id_anterior]]=1,ROW()-1,SUM(ROW()-1,Tabla_VMN[[#This Row],[id_anterior]]))</f>
        <v>409</v>
      </c>
      <c r="F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VIATICO_MONEDA_NACIONAL_PARAMETROS_MANTENCION_UNIDAD</v>
      </c>
      <c r="G7" s="2" t="str">
        <f>CLEAN(PROPER(Tabla_VMN[[#This Row],[Nombre Opción]]))</f>
        <v>Mantencion Unidad</v>
      </c>
      <c r="H7" s="2" t="s">
        <v>1735</v>
      </c>
      <c r="I7" s="2" t="str">
        <f>_xlfn.XLOOKUP(Tabla_VMN[[#This Row],[id_padre]],Tabla_VMN[Id],Tabla_VMN[Codigo_Tecnico],"",0,1)</f>
        <v>VIATICO_MONEDA_NACIONAL_PARAMETROS</v>
      </c>
      <c r="J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/viatico-moneda-nacional/parametros/mantencion-unidad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mantencion-unidad</v>
      </c>
      <c r="L7" s="2" t="s">
        <v>1341</v>
      </c>
      <c r="M7" s="2" t="s">
        <v>1803</v>
      </c>
      <c r="N7" s="4" t="s">
        <v>360</v>
      </c>
      <c r="O7" s="4" t="s">
        <v>360</v>
      </c>
      <c r="P7" s="4" t="s">
        <v>360</v>
      </c>
      <c r="R7" s="4"/>
      <c r="S7" s="4"/>
      <c r="U7" s="7" t="s">
        <v>360</v>
      </c>
      <c r="V7" s="2" t="str">
        <f>IF(Tabla_VMN[[#This Row],[id_padre]]=Tabla_VMN[[#This Row],[Id]],"NOK","OK")</f>
        <v>OK</v>
      </c>
      <c r="W7" s="2"/>
    </row>
    <row r="8" spans="1:23" x14ac:dyDescent="0.5">
      <c r="A8" s="2">
        <f>MAX(Tabla_Presupuesto[Id])</f>
        <v>403</v>
      </c>
      <c r="B8" s="2">
        <v>405</v>
      </c>
      <c r="C8" s="5">
        <f>IF(Tabla_VMN[[#This Row],[id_padre]]="",0,_xlfn.XLOOKUP(Tabla_VMN[[#This Row],[id_padre]],Tabla_VMN[Id],Tabla_VMN[Nivel],0,0,1)+1)</f>
        <v>2</v>
      </c>
      <c r="D8" s="2" t="s">
        <v>370</v>
      </c>
      <c r="E8" s="2">
        <f>IF(Tabla_VMN[[#This Row],[id_anterior]]=1,ROW()-1,SUM(ROW()-1,Tabla_VMN[[#This Row],[id_anterior]]))</f>
        <v>410</v>
      </c>
      <c r="F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VIATICO_MONEDA_NACIONAL_PARAMETROS_MANTENCION_EMPLEADOS</v>
      </c>
      <c r="G8" s="2" t="str">
        <f>CLEAN(PROPER(Tabla_VMN[[#This Row],[Nombre Opción]]))</f>
        <v>Mantencion Empleados</v>
      </c>
      <c r="H8" s="2" t="s">
        <v>1735</v>
      </c>
      <c r="I8" s="2" t="str">
        <f>_xlfn.XLOOKUP(Tabla_VMN[[#This Row],[id_padre]],Tabla_VMN[Id],Tabla_VMN[Codigo_Tecnico],"",0,1)</f>
        <v>VIATICO_MONEDA_NACIONAL_PARAMETROS</v>
      </c>
      <c r="J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/viatico-moneda-nacional/parametros/mantencion-empleados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mantencion-empleados</v>
      </c>
      <c r="L8" s="2" t="s">
        <v>1512</v>
      </c>
      <c r="M8" s="2" t="s">
        <v>1803</v>
      </c>
      <c r="N8" s="4" t="s">
        <v>360</v>
      </c>
      <c r="P8" s="4" t="s">
        <v>360</v>
      </c>
      <c r="R8" s="4"/>
      <c r="S8" s="4"/>
      <c r="U8" s="7" t="s">
        <v>360</v>
      </c>
      <c r="V8" s="2" t="str">
        <f>IF(Tabla_VMN[[#This Row],[id_padre]]=Tabla_VMN[[#This Row],[Id]],"NOK","OK")</f>
        <v>OK</v>
      </c>
      <c r="W8" s="2"/>
    </row>
    <row r="9" spans="1:23" x14ac:dyDescent="0.5">
      <c r="A9" s="2">
        <f>MAX(Tabla_Presupuesto[Id])</f>
        <v>403</v>
      </c>
      <c r="B9" s="2">
        <v>405</v>
      </c>
      <c r="C9" s="5">
        <f>IF(Tabla_VMN[[#This Row],[id_padre]]="",0,_xlfn.XLOOKUP(Tabla_VMN[[#This Row],[id_padre]],Tabla_VMN[Id],Tabla_VMN[Nivel],0,0,1)+1)</f>
        <v>2</v>
      </c>
      <c r="D9" s="2" t="s">
        <v>371</v>
      </c>
      <c r="E9" s="2">
        <f>IF(Tabla_VMN[[#This Row],[id_anterior]]=1,ROW()-1,SUM(ROW()-1,Tabla_VMN[[#This Row],[id_anterior]]))</f>
        <v>411</v>
      </c>
      <c r="F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VIATICO_MONEDA_NACIONAL_PARAMETROS_IDENTIDADES</v>
      </c>
      <c r="G9" s="2" t="str">
        <f>CLEAN(PROPER(Tabla_VMN[[#This Row],[Nombre Opción]]))</f>
        <v>Identidades</v>
      </c>
      <c r="H9" s="2" t="s">
        <v>1735</v>
      </c>
      <c r="I9" s="2" t="str">
        <f>_xlfn.XLOOKUP(Tabla_VMN[[#This Row],[id_padre]],Tabla_VMN[Id],Tabla_VMN[Codigo_Tecnico],"",0,1)</f>
        <v>VIATICO_MONEDA_NACIONAL_PARAMETROS</v>
      </c>
      <c r="J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/viatico-moneda-nacional/parametros/identidades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identidades</v>
      </c>
      <c r="L9" s="2" t="s">
        <v>1378</v>
      </c>
      <c r="M9" s="2" t="s">
        <v>1803</v>
      </c>
      <c r="N9" s="4" t="s">
        <v>360</v>
      </c>
      <c r="P9" s="4"/>
      <c r="R9" s="4"/>
      <c r="S9" s="4"/>
      <c r="U9" s="7" t="s">
        <v>360</v>
      </c>
      <c r="V9" s="2" t="str">
        <f>IF(Tabla_VMN[[#This Row],[id_padre]]=Tabla_VMN[[#This Row],[Id]],"NOK","OK")</f>
        <v>OK</v>
      </c>
      <c r="W9" s="2"/>
    </row>
    <row r="10" spans="1:23" x14ac:dyDescent="0.5">
      <c r="A10" s="2">
        <f>MAX(Tabla_Presupuesto[Id])</f>
        <v>403</v>
      </c>
      <c r="B10" s="2">
        <v>405</v>
      </c>
      <c r="C10" s="5">
        <f>IF(Tabla_VMN[[#This Row],[id_padre]]="",0,_xlfn.XLOOKUP(Tabla_VMN[[#This Row],[id_padre]],Tabla_VMN[Id],Tabla_VMN[Nivel],0,0,1)+1)</f>
        <v>2</v>
      </c>
      <c r="D10" s="2" t="s">
        <v>372</v>
      </c>
      <c r="E10" s="2">
        <f>IF(Tabla_VMN[[#This Row],[id_anterior]]=1,ROW()-1,SUM(ROW()-1,Tabla_VMN[[#This Row],[id_anterior]]))</f>
        <v>412</v>
      </c>
      <c r="F1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VIATICO_MONEDA_NACIONAL_PARAMETROS_TIPOS_VIATICOS</v>
      </c>
      <c r="G10" s="2" t="str">
        <f>CLEAN(PROPER(Tabla_VMN[[#This Row],[Nombre Opción]]))</f>
        <v>Tipos De Viaticos</v>
      </c>
      <c r="H10" s="2" t="s">
        <v>1735</v>
      </c>
      <c r="I10" s="2" t="str">
        <f>_xlfn.XLOOKUP(Tabla_VMN[[#This Row],[id_padre]],Tabla_VMN[Id],Tabla_VMN[Codigo_Tecnico],"",0,1)</f>
        <v>VIATICO_MONEDA_NACIONAL_PARAMETROS</v>
      </c>
      <c r="J1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/viatico-moneda-nacional/parametros/tipos-viaticos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tipos-viaticos</v>
      </c>
      <c r="L10" s="2" t="s">
        <v>1407</v>
      </c>
      <c r="M10" s="2" t="s">
        <v>1803</v>
      </c>
      <c r="N10" s="4" t="s">
        <v>360</v>
      </c>
      <c r="P10" s="4"/>
      <c r="R10" s="4"/>
      <c r="S10" s="4"/>
      <c r="U10" s="7" t="s">
        <v>360</v>
      </c>
      <c r="V10" s="2" t="str">
        <f>IF(Tabla_VMN[[#This Row],[id_padre]]=Tabla_VMN[[#This Row],[Id]],"NOK","OK")</f>
        <v>OK</v>
      </c>
      <c r="W10" s="2"/>
    </row>
    <row r="11" spans="1:23" x14ac:dyDescent="0.5">
      <c r="A11" s="2">
        <f>MAX(Tabla_Presupuesto[Id])</f>
        <v>403</v>
      </c>
      <c r="B11" s="2">
        <v>405</v>
      </c>
      <c r="C11" s="5">
        <f>IF(Tabla_VMN[[#This Row],[id_padre]]="",0,_xlfn.XLOOKUP(Tabla_VMN[[#This Row],[id_padre]],Tabla_VMN[Id],Tabla_VMN[Nivel],0,0,1)+1)</f>
        <v>2</v>
      </c>
      <c r="D11" s="2" t="s">
        <v>373</v>
      </c>
      <c r="E11" s="2">
        <f>IF(Tabla_VMN[[#This Row],[id_anterior]]=1,ROW()-1,SUM(ROW()-1,Tabla_VMN[[#This Row],[id_anterior]]))</f>
        <v>413</v>
      </c>
      <c r="F1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VIATICO_MONEDA_NACIONAL_PARAMETROS_ESCALA_VIATICOS</v>
      </c>
      <c r="G11" s="2" t="str">
        <f>CLEAN(PROPER(Tabla_VMN[[#This Row],[Nombre Opción]]))</f>
        <v>Escala De Viaticos</v>
      </c>
      <c r="H11" s="2" t="s">
        <v>1735</v>
      </c>
      <c r="I11" s="2" t="str">
        <f>_xlfn.XLOOKUP(Tabla_VMN[[#This Row],[id_padre]],Tabla_VMN[Id],Tabla_VMN[Codigo_Tecnico],"",0,1)</f>
        <v>VIATICO_MONEDA_NACIONAL_PARAMETROS</v>
      </c>
      <c r="J1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/viatico-moneda-nacional/parametros/escala-viaticos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escala-viaticos</v>
      </c>
      <c r="L11" s="2" t="s">
        <v>1507</v>
      </c>
      <c r="M11" s="2" t="s">
        <v>1803</v>
      </c>
      <c r="N11" s="4" t="s">
        <v>360</v>
      </c>
      <c r="P11" s="4"/>
      <c r="R11" s="4"/>
      <c r="S11" s="4"/>
      <c r="U11" s="7" t="s">
        <v>360</v>
      </c>
      <c r="V11" s="2" t="str">
        <f>IF(Tabla_VMN[[#This Row],[id_padre]]=Tabla_VMN[[#This Row],[Id]],"NOK","OK")</f>
        <v>OK</v>
      </c>
      <c r="W11" s="2"/>
    </row>
    <row r="12" spans="1:23" x14ac:dyDescent="0.5">
      <c r="A12" s="2">
        <f>MAX(Tabla_Presupuesto[Id])</f>
        <v>403</v>
      </c>
      <c r="B12" s="2">
        <v>405</v>
      </c>
      <c r="C12" s="5">
        <f>IF(Tabla_VMN[[#This Row],[id_padre]]="",0,_xlfn.XLOOKUP(Tabla_VMN[[#This Row],[id_padre]],Tabla_VMN[Id],Tabla_VMN[Nivel],0,0,1)+1)</f>
        <v>2</v>
      </c>
      <c r="D12" s="2" t="s">
        <v>374</v>
      </c>
      <c r="E12" s="2">
        <f>IF(Tabla_VMN[[#This Row],[id_anterior]]=1,ROW()-1,SUM(ROW()-1,Tabla_VMN[[#This Row],[id_anterior]]))</f>
        <v>414</v>
      </c>
      <c r="F1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VIATICO_MONEDA_NACIONAL_PARAMETROS_CARGA_TABLA_EMPLEADOS</v>
      </c>
      <c r="G12" s="2" t="str">
        <f>CLEAN(PROPER(Tabla_VMN[[#This Row],[Nombre Opción]]))</f>
        <v>Carga Tabla Empleados</v>
      </c>
      <c r="H12" s="2" t="s">
        <v>1735</v>
      </c>
      <c r="I12" s="2" t="str">
        <f>_xlfn.XLOOKUP(Tabla_VMN[[#This Row],[id_padre]],Tabla_VMN[Id],Tabla_VMN[Codigo_Tecnico],"",0,1)</f>
        <v>VIATICO_MONEDA_NACIONAL_PARAMETROS</v>
      </c>
      <c r="J1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/viatico-moneda-nacional/parametros/carga-tabla-empleados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carga-tabla-empleados</v>
      </c>
      <c r="L12" s="2" t="s">
        <v>1513</v>
      </c>
      <c r="M12" s="2" t="s">
        <v>1803</v>
      </c>
      <c r="N12" s="4" t="s">
        <v>360</v>
      </c>
      <c r="P12" s="4"/>
      <c r="R12" s="4"/>
      <c r="S12" s="4"/>
      <c r="U12" s="7" t="s">
        <v>360</v>
      </c>
      <c r="V12" s="2" t="str">
        <f>IF(Tabla_VMN[[#This Row],[id_padre]]=Tabla_VMN[[#This Row],[Id]],"NOK","OK")</f>
        <v>OK</v>
      </c>
      <c r="W12" s="2"/>
    </row>
    <row r="13" spans="1:23" x14ac:dyDescent="0.5">
      <c r="A13" s="2">
        <f>MAX(Tabla_Presupuesto[Id])</f>
        <v>403</v>
      </c>
      <c r="B13" s="2">
        <v>405</v>
      </c>
      <c r="C13" s="5">
        <f>IF(Tabla_VMN[[#This Row],[id_padre]]="",0,_xlfn.XLOOKUP(Tabla_VMN[[#This Row],[id_padre]],Tabla_VMN[Id],Tabla_VMN[Nivel],0,0,1)+1)</f>
        <v>2</v>
      </c>
      <c r="D13" s="2" t="s">
        <v>375</v>
      </c>
      <c r="E13" s="2">
        <f>IF(Tabla_VMN[[#This Row],[id_anterior]]=1,ROW()-1,SUM(ROW()-1,Tabla_VMN[[#This Row],[id_anterior]]))</f>
        <v>415</v>
      </c>
      <c r="F1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VIATICO_MONEDA_NACIONAL_PARAMETROS_CATEGPRIZACION</v>
      </c>
      <c r="G13" s="2" t="str">
        <f>CLEAN(PROPER(Tabla_VMN[[#This Row],[Nombre Opción]]))</f>
        <v>Categprizacion</v>
      </c>
      <c r="H13" s="2" t="s">
        <v>1735</v>
      </c>
      <c r="I13" s="2" t="str">
        <f>_xlfn.XLOOKUP(Tabla_VMN[[#This Row],[id_padre]],Tabla_VMN[Id],Tabla_VMN[Codigo_Tecnico],"",0,1)</f>
        <v>VIATICO_MONEDA_NACIONAL_PARAMETROS</v>
      </c>
      <c r="J1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/viatico-moneda-nacional/parametros/categprizacion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categprizacion</v>
      </c>
      <c r="L13" s="2" t="s">
        <v>1514</v>
      </c>
      <c r="M13" s="2" t="s">
        <v>1803</v>
      </c>
      <c r="N13" s="4" t="s">
        <v>360</v>
      </c>
      <c r="P13" s="4"/>
      <c r="R13" s="4"/>
      <c r="S13" s="4"/>
      <c r="U13" s="7" t="s">
        <v>360</v>
      </c>
      <c r="V13" s="2" t="str">
        <f>IF(Tabla_VMN[[#This Row],[id_padre]]=Tabla_VMN[[#This Row],[Id]],"NOK","OK")</f>
        <v>OK</v>
      </c>
      <c r="W13" s="2"/>
    </row>
    <row r="14" spans="1:23" x14ac:dyDescent="0.5">
      <c r="A14" s="2">
        <f>MAX(Tabla_Presupuesto[Id])</f>
        <v>403</v>
      </c>
      <c r="B14" s="2">
        <v>405</v>
      </c>
      <c r="C14" s="5">
        <f>IF(Tabla_VMN[[#This Row],[id_padre]]="",0,_xlfn.XLOOKUP(Tabla_VMN[[#This Row],[id_padre]],Tabla_VMN[Id],Tabla_VMN[Nivel],0,0,1)+1)</f>
        <v>2</v>
      </c>
      <c r="D14" s="2" t="s">
        <v>376</v>
      </c>
      <c r="E14" s="2">
        <f>IF(Tabla_VMN[[#This Row],[id_anterior]]=1,ROW()-1,SUM(ROW()-1,Tabla_VMN[[#This Row],[id_anterior]]))</f>
        <v>416</v>
      </c>
      <c r="F1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VIATICO_MONEDA_NACIONAL_PARAMETROS_EMPLEADOS_AUTORIZADOS</v>
      </c>
      <c r="G14" s="2" t="str">
        <f>CLEAN(PROPER(Tabla_VMN[[#This Row],[Nombre Opción]]))</f>
        <v>Empleados Autorizados</v>
      </c>
      <c r="H14" s="2" t="s">
        <v>1735</v>
      </c>
      <c r="I14" s="2" t="str">
        <f>_xlfn.XLOOKUP(Tabla_VMN[[#This Row],[id_padre]],Tabla_VMN[Id],Tabla_VMN[Codigo_Tecnico],"",0,1)</f>
        <v>VIATICO_MONEDA_NACIONAL_PARAMETROS</v>
      </c>
      <c r="J1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/viatico-moneda-nacional/parametros/empleados-autorizados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empleados-autorizados</v>
      </c>
      <c r="L14" s="2" t="s">
        <v>1515</v>
      </c>
      <c r="M14" s="2" t="s">
        <v>1803</v>
      </c>
      <c r="N14" s="4" t="s">
        <v>360</v>
      </c>
      <c r="O14" s="4" t="s">
        <v>360</v>
      </c>
      <c r="P14" s="4"/>
      <c r="R14" s="4"/>
      <c r="S14" s="4"/>
      <c r="U14" s="7" t="s">
        <v>360</v>
      </c>
      <c r="V14" s="2" t="str">
        <f>IF(Tabla_VMN[[#This Row],[id_padre]]=Tabla_VMN[[#This Row],[Id]],"NOK","OK")</f>
        <v>OK</v>
      </c>
      <c r="W14" s="2"/>
    </row>
    <row r="15" spans="1:23" x14ac:dyDescent="0.5">
      <c r="A15" s="2">
        <f>MAX(Tabla_Presupuesto[Id])</f>
        <v>403</v>
      </c>
      <c r="B15" s="2">
        <v>405</v>
      </c>
      <c r="C15" s="5">
        <f>IF(Tabla_VMN[[#This Row],[id_padre]]="",0,_xlfn.XLOOKUP(Tabla_VMN[[#This Row],[id_padre]],Tabla_VMN[Id],Tabla_VMN[Nivel],0,0,1)+1)</f>
        <v>2</v>
      </c>
      <c r="D15" s="2" t="s">
        <v>377</v>
      </c>
      <c r="E15" s="2">
        <f>IF(Tabla_VMN[[#This Row],[id_anterior]]=1,ROW()-1,SUM(ROW()-1,Tabla_VMN[[#This Row],[id_anterior]]))</f>
        <v>417</v>
      </c>
      <c r="F1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VIATICO_MONEDA_NACIONAL_PARAMETROS_MEDIOS_TRANSPORTE</v>
      </c>
      <c r="G15" s="2" t="str">
        <f>CLEAN(PROPER(Tabla_VMN[[#This Row],[Nombre Opción]]))</f>
        <v>Medios De Transporte</v>
      </c>
      <c r="H15" s="2" t="s">
        <v>1735</v>
      </c>
      <c r="I15" s="2" t="str">
        <f>_xlfn.XLOOKUP(Tabla_VMN[[#This Row],[id_padre]],Tabla_VMN[Id],Tabla_VMN[Codigo_Tecnico],"",0,1)</f>
        <v>VIATICO_MONEDA_NACIONAL_PARAMETROS</v>
      </c>
      <c r="J1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/viatico-moneda-nacional/parametros/medios-transporte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medios-transporte</v>
      </c>
      <c r="L15" s="2" t="s">
        <v>1516</v>
      </c>
      <c r="M15" s="2" t="s">
        <v>1803</v>
      </c>
      <c r="N15" s="4" t="s">
        <v>360</v>
      </c>
      <c r="O15" s="4" t="s">
        <v>360</v>
      </c>
      <c r="P15" s="4"/>
      <c r="R15" s="4"/>
      <c r="S15" s="4"/>
      <c r="U15" s="7" t="s">
        <v>360</v>
      </c>
      <c r="V15" s="2" t="str">
        <f>IF(Tabla_VMN[[#This Row],[id_padre]]=Tabla_VMN[[#This Row],[Id]],"NOK","OK")</f>
        <v>OK</v>
      </c>
      <c r="W15" s="2"/>
    </row>
    <row r="16" spans="1:23" x14ac:dyDescent="0.5">
      <c r="A16" s="2">
        <f>MAX(Tabla_Presupuesto[Id])</f>
        <v>403</v>
      </c>
      <c r="B16" s="2">
        <v>405</v>
      </c>
      <c r="C16" s="5">
        <f>IF(Tabla_VMN[[#This Row],[id_padre]]="",0,_xlfn.XLOOKUP(Tabla_VMN[[#This Row],[id_padre]],Tabla_VMN[Id],Tabla_VMN[Nivel],0,0,1)+1)</f>
        <v>2</v>
      </c>
      <c r="D16" s="2" t="s">
        <v>382</v>
      </c>
      <c r="E16" s="2">
        <f>IF(Tabla_VMN[[#This Row],[id_anterior]]=1,ROW()-1,SUM(ROW()-1,Tabla_VMN[[#This Row],[id_anterior]]))</f>
        <v>418</v>
      </c>
      <c r="F1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VIATICO_MONEDA_NACIONAL_PARAMETROS_AREAS</v>
      </c>
      <c r="G16" s="2" t="str">
        <f>CLEAN(PROPER(Tabla_VMN[[#This Row],[Nombre Opción]]))</f>
        <v>Areas</v>
      </c>
      <c r="H16" s="2" t="s">
        <v>1735</v>
      </c>
      <c r="I16" s="2" t="str">
        <f>_xlfn.XLOOKUP(Tabla_VMN[[#This Row],[id_padre]],Tabla_VMN[Id],Tabla_VMN[Codigo_Tecnico],"",0,1)</f>
        <v>VIATICO_MONEDA_NACIONAL_PARAMETROS</v>
      </c>
      <c r="J1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/viatico-moneda-nacional/parametros/areas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areas</v>
      </c>
      <c r="L16" s="2" t="s">
        <v>1464</v>
      </c>
      <c r="M16" s="2" t="s">
        <v>1803</v>
      </c>
      <c r="N16" s="4" t="s">
        <v>360</v>
      </c>
      <c r="O16" s="4" t="s">
        <v>360</v>
      </c>
      <c r="P16" s="4"/>
      <c r="R16" s="4"/>
      <c r="S16" s="4"/>
      <c r="U16" s="7" t="s">
        <v>360</v>
      </c>
      <c r="V16" s="2" t="str">
        <f>IF(Tabla_VMN[[#This Row],[id_padre]]=Tabla_VMN[[#This Row],[Id]],"NOK","OK")</f>
        <v>OK</v>
      </c>
      <c r="W16" s="2"/>
    </row>
    <row r="17" spans="1:23" x14ac:dyDescent="0.5">
      <c r="A17" s="2">
        <f>MAX(Tabla_Presupuesto[Id])</f>
        <v>403</v>
      </c>
      <c r="B17" s="2">
        <v>418</v>
      </c>
      <c r="C17" s="5">
        <f>IF(Tabla_VMN[[#This Row],[id_padre]]="",0,_xlfn.XLOOKUP(Tabla_VMN[[#This Row],[id_padre]],Tabla_VMN[Id],Tabla_VMN[Nivel],0,0,1)+1)</f>
        <v>3</v>
      </c>
      <c r="D17" s="2" t="s">
        <v>383</v>
      </c>
      <c r="E17" s="2">
        <f>IF(Tabla_VMN[[#This Row],[id_anterior]]=1,ROW()-1,SUM(ROW()-1,Tabla_VMN[[#This Row],[id_anterior]]))</f>
        <v>419</v>
      </c>
      <c r="F1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VIATICO_MONEDA_NACIONAL_PARAMETROS_AREAS_DEPARTAMENTOS</v>
      </c>
      <c r="G17" s="2" t="str">
        <f>CLEAN(PROPER(Tabla_VMN[[#This Row],[Nombre Opción]]))</f>
        <v>Departamentos</v>
      </c>
      <c r="H17" s="2" t="s">
        <v>1735</v>
      </c>
      <c r="I17" s="2" t="str">
        <f>_xlfn.XLOOKUP(Tabla_VMN[[#This Row],[id_padre]],Tabla_VMN[Id],Tabla_VMN[Codigo_Tecnico],"",0,1)</f>
        <v>VIATICO_MONEDA_NACIONAL_PARAMETROS_AREAS</v>
      </c>
      <c r="J1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/viatico-moneda-nacional/parametros/areas/departamentos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departamentos</v>
      </c>
      <c r="L17" s="2" t="s">
        <v>1517</v>
      </c>
      <c r="M17" s="2" t="s">
        <v>1803</v>
      </c>
      <c r="N17" s="4" t="s">
        <v>360</v>
      </c>
      <c r="O17" s="4" t="s">
        <v>360</v>
      </c>
      <c r="P17" s="4"/>
      <c r="R17" s="4"/>
      <c r="S17" s="4"/>
      <c r="U17" s="7" t="s">
        <v>360</v>
      </c>
      <c r="V17" s="2" t="str">
        <f>IF(Tabla_VMN[[#This Row],[id_padre]]=Tabla_VMN[[#This Row],[Id]],"NOK","OK")</f>
        <v>OK</v>
      </c>
      <c r="W17" s="2"/>
    </row>
    <row r="18" spans="1:23" x14ac:dyDescent="0.5">
      <c r="A18" s="2">
        <f>MAX(Tabla_Presupuesto[Id])</f>
        <v>403</v>
      </c>
      <c r="B18" s="2">
        <v>405</v>
      </c>
      <c r="C18" s="5">
        <f>IF(Tabla_VMN[[#This Row],[id_padre]]="",0,_xlfn.XLOOKUP(Tabla_VMN[[#This Row],[id_padre]],Tabla_VMN[Id],Tabla_VMN[Nivel],0,0,1)+1)</f>
        <v>2</v>
      </c>
      <c r="D18" s="2" t="s">
        <v>378</v>
      </c>
      <c r="E18" s="2">
        <f>IF(Tabla_VMN[[#This Row],[id_anterior]]=1,ROW()-1,SUM(ROW()-1,Tabla_VMN[[#This Row],[id_anterior]]))</f>
        <v>420</v>
      </c>
      <c r="F1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VIATICO_MONEDA_NACIONAL_PARAMETROS_PIE_FIRMAS</v>
      </c>
      <c r="G18" s="2" t="str">
        <f>CLEAN(PROPER(Tabla_VMN[[#This Row],[Nombre Opción]]))</f>
        <v>Pie De Firmas</v>
      </c>
      <c r="H18" s="2" t="s">
        <v>1735</v>
      </c>
      <c r="I18" s="2" t="str">
        <f>_xlfn.XLOOKUP(Tabla_VMN[[#This Row],[id_padre]],Tabla_VMN[Id],Tabla_VMN[Codigo_Tecnico],"",0,1)</f>
        <v>VIATICO_MONEDA_NACIONAL_PARAMETROS</v>
      </c>
      <c r="J1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/viatico-moneda-nacional/parametros/pie-firmas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pie-firmas</v>
      </c>
      <c r="L18" s="2" t="s">
        <v>1471</v>
      </c>
      <c r="M18" s="2" t="s">
        <v>1803</v>
      </c>
      <c r="N18" s="4" t="s">
        <v>360</v>
      </c>
      <c r="O18" s="4" t="s">
        <v>360</v>
      </c>
      <c r="P18" s="4"/>
      <c r="R18" s="4" t="s">
        <v>360</v>
      </c>
      <c r="S18" s="4" t="s">
        <v>360</v>
      </c>
      <c r="U18" s="7" t="s">
        <v>360</v>
      </c>
      <c r="V18" s="2" t="str">
        <f>IF(Tabla_VMN[[#This Row],[id_padre]]=Tabla_VMN[[#This Row],[Id]],"NOK","OK")</f>
        <v>OK</v>
      </c>
      <c r="W18" s="2"/>
    </row>
    <row r="19" spans="1:23" x14ac:dyDescent="0.5">
      <c r="A19" s="2">
        <f>MAX(Tabla_Presupuesto[Id])</f>
        <v>403</v>
      </c>
      <c r="B19" s="2">
        <v>405</v>
      </c>
      <c r="C19" s="5">
        <f>IF(Tabla_VMN[[#This Row],[id_padre]]="",0,_xlfn.XLOOKUP(Tabla_VMN[[#This Row],[id_padre]],Tabla_VMN[Id],Tabla_VMN[Nivel],0,0,1)+1)</f>
        <v>2</v>
      </c>
      <c r="D19" s="2" t="s">
        <v>379</v>
      </c>
      <c r="E19" s="2">
        <f>IF(Tabla_VMN[[#This Row],[id_anterior]]=1,ROW()-1,SUM(ROW()-1,Tabla_VMN[[#This Row],[id_anterior]]))</f>
        <v>421</v>
      </c>
      <c r="F1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VIATICO_MONEDA_NACIONAL_PARAMETROS_SERVICIO_EMISOR</v>
      </c>
      <c r="G19" s="2" t="str">
        <f>CLEAN(PROPER(Tabla_VMN[[#This Row],[Nombre Opción]]))</f>
        <v>Servicio Emisor</v>
      </c>
      <c r="H19" s="2" t="s">
        <v>1735</v>
      </c>
      <c r="I19" s="2" t="str">
        <f>_xlfn.XLOOKUP(Tabla_VMN[[#This Row],[id_padre]],Tabla_VMN[Id],Tabla_VMN[Codigo_Tecnico],"",0,1)</f>
        <v>VIATICO_MONEDA_NACIONAL_PARAMETROS</v>
      </c>
      <c r="J1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/viatico-moneda-nacional/parametros/servicio-emisor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servicio-emisor</v>
      </c>
      <c r="L19" s="2" t="s">
        <v>1399</v>
      </c>
      <c r="M19" s="2" t="s">
        <v>1803</v>
      </c>
      <c r="N19" s="4" t="s">
        <v>360</v>
      </c>
      <c r="P19" s="4"/>
      <c r="Q19" s="4" t="s">
        <v>360</v>
      </c>
      <c r="R19" s="4"/>
      <c r="S19" s="4"/>
      <c r="U19" s="7" t="s">
        <v>360</v>
      </c>
      <c r="V19" s="2" t="str">
        <f>IF(Tabla_VMN[[#This Row],[id_padre]]=Tabla_VMN[[#This Row],[Id]],"NOK","OK")</f>
        <v>OK</v>
      </c>
      <c r="W19" s="2"/>
    </row>
    <row r="20" spans="1:23" x14ac:dyDescent="0.5">
      <c r="A20" s="2">
        <f>MAX(Tabla_Presupuesto[Id])</f>
        <v>403</v>
      </c>
      <c r="B20" s="2">
        <v>405</v>
      </c>
      <c r="C20" s="5">
        <f>IF(Tabla_VMN[[#This Row],[id_padre]]="",0,_xlfn.XLOOKUP(Tabla_VMN[[#This Row],[id_padre]],Tabla_VMN[Id],Tabla_VMN[Nivel],0,0,1)+1)</f>
        <v>2</v>
      </c>
      <c r="D20" s="2" t="s">
        <v>380</v>
      </c>
      <c r="E20" s="2">
        <f>IF(Tabla_VMN[[#This Row],[id_anterior]]=1,ROW()-1,SUM(ROW()-1,Tabla_VMN[[#This Row],[id_anterior]]))</f>
        <v>422</v>
      </c>
      <c r="F2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VIATICO_MONEDA_NACIONAL_PARAMETROS_REGION</v>
      </c>
      <c r="G20" s="2" t="str">
        <f>CLEAN(PROPER(Tabla_VMN[[#This Row],[Nombre Opción]]))</f>
        <v>Region</v>
      </c>
      <c r="H20" s="2" t="s">
        <v>1735</v>
      </c>
      <c r="I20" s="2" t="str">
        <f>_xlfn.XLOOKUP(Tabla_VMN[[#This Row],[id_padre]],Tabla_VMN[Id],Tabla_VMN[Codigo_Tecnico],"",0,1)</f>
        <v>VIATICO_MONEDA_NACIONAL_PARAMETROS</v>
      </c>
      <c r="J2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/viatico-moneda-nacional/parametros/region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region</v>
      </c>
      <c r="L20" s="2" t="s">
        <v>1402</v>
      </c>
      <c r="M20" s="2" t="s">
        <v>1803</v>
      </c>
      <c r="N20" s="4" t="s">
        <v>360</v>
      </c>
      <c r="P20" s="4"/>
      <c r="Q20" s="4" t="s">
        <v>360</v>
      </c>
      <c r="R20" s="4"/>
      <c r="S20" s="4"/>
      <c r="U20" s="7" t="s">
        <v>360</v>
      </c>
      <c r="V20" s="2" t="str">
        <f>IF(Tabla_VMN[[#This Row],[id_padre]]=Tabla_VMN[[#This Row],[Id]],"NOK","OK")</f>
        <v>OK</v>
      </c>
      <c r="W20" s="2"/>
    </row>
    <row r="21" spans="1:23" x14ac:dyDescent="0.5">
      <c r="A21" s="2">
        <f>MAX(Tabla_Presupuesto[Id])</f>
        <v>403</v>
      </c>
      <c r="B21" s="2">
        <v>405</v>
      </c>
      <c r="C21" s="5">
        <f>IF(Tabla_VMN[[#This Row],[id_padre]]="",0,_xlfn.XLOOKUP(Tabla_VMN[[#This Row],[id_padre]],Tabla_VMN[Id],Tabla_VMN[Nivel],0,0,1)+1)</f>
        <v>2</v>
      </c>
      <c r="D21" s="2" t="s">
        <v>381</v>
      </c>
      <c r="E21" s="2">
        <f>IF(Tabla_VMN[[#This Row],[id_anterior]]=1,ROW()-1,SUM(ROW()-1,Tabla_VMN[[#This Row],[id_anterior]]))</f>
        <v>423</v>
      </c>
      <c r="F2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VIATICO_MONEDA_NACIONAL_PARAMETROS_COMUNA</v>
      </c>
      <c r="G21" s="2" t="str">
        <f>CLEAN(PROPER(Tabla_VMN[[#This Row],[Nombre Opción]]))</f>
        <v>Comuna</v>
      </c>
      <c r="H21" s="2" t="s">
        <v>1735</v>
      </c>
      <c r="I21" s="2" t="str">
        <f>_xlfn.XLOOKUP(Tabla_VMN[[#This Row],[id_padre]],Tabla_VMN[Id],Tabla_VMN[Codigo_Tecnico],"",0,1)</f>
        <v>VIATICO_MONEDA_NACIONAL_PARAMETROS</v>
      </c>
      <c r="J2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/viatico-moneda-nacional/parametros/comuna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comuna</v>
      </c>
      <c r="L21" s="2" t="s">
        <v>1518</v>
      </c>
      <c r="M21" s="2" t="s">
        <v>1803</v>
      </c>
      <c r="N21" s="4" t="s">
        <v>360</v>
      </c>
      <c r="P21" s="4"/>
      <c r="Q21" s="4" t="s">
        <v>360</v>
      </c>
      <c r="R21" s="4"/>
      <c r="S21" s="4"/>
      <c r="U21" s="7" t="s">
        <v>360</v>
      </c>
      <c r="V21" s="2" t="str">
        <f>IF(Tabla_VMN[[#This Row],[id_padre]]=Tabla_VMN[[#This Row],[Id]],"NOK","OK")</f>
        <v>OK</v>
      </c>
      <c r="W21" s="2"/>
    </row>
    <row r="22" spans="1:23" hidden="1" x14ac:dyDescent="0.5">
      <c r="A22" s="2">
        <f>MAX(Tabla_Presupuesto[Id])</f>
        <v>403</v>
      </c>
      <c r="B22" s="2">
        <v>406</v>
      </c>
      <c r="C22" s="5">
        <f>IF(Tabla_VMN[[#This Row],[id_padre]]="",0,_xlfn.XLOOKUP(Tabla_VMN[[#This Row],[id_padre]],Tabla_VMN[Id],Tabla_VMN[Nivel],0,0,1)+1)</f>
        <v>2</v>
      </c>
      <c r="D22" s="2" t="s">
        <v>384</v>
      </c>
      <c r="E22" s="2">
        <f>IF(Tabla_VMN[[#This Row],[id_anterior]]=1,ROW()-1,SUM(ROW()-1,Tabla_VMN[[#This Row],[id_anterior]]))</f>
        <v>424</v>
      </c>
      <c r="F2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VIATICO_MONEDA_NACIONAL_PROCESOS_ENTRADA_RESOLUCION</v>
      </c>
      <c r="G22" s="2" t="str">
        <f>CLEAN(PROPER(Tabla_VMN[[#This Row],[Nombre Opción]]))</f>
        <v>Entrada Resolucion</v>
      </c>
      <c r="H22" s="2" t="s">
        <v>1735</v>
      </c>
      <c r="I22" s="2" t="str">
        <f>_xlfn.XLOOKUP(Tabla_VMN[[#This Row],[id_padre]],Tabla_VMN[Id],Tabla_VMN[Codigo_Tecnico],"",0,1)</f>
        <v>VIATICO_MONEDA_NACIONAL_PROCESOS</v>
      </c>
      <c r="J2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/viatico-moneda-nacional/procesos/entrada-resolucion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entrada-resolucion</v>
      </c>
      <c r="L22" s="2" t="s">
        <v>1482</v>
      </c>
      <c r="M22" s="2" t="s">
        <v>1803</v>
      </c>
      <c r="N22" s="4" t="s">
        <v>360</v>
      </c>
      <c r="O22" s="4" t="s">
        <v>360</v>
      </c>
      <c r="P22" s="4" t="s">
        <v>360</v>
      </c>
      <c r="R22" s="4" t="s">
        <v>360</v>
      </c>
      <c r="S22" s="4" t="s">
        <v>360</v>
      </c>
      <c r="U22" s="7" t="s">
        <v>360</v>
      </c>
      <c r="V22" s="2" t="str">
        <f>IF(Tabla_VMN[[#This Row],[id_padre]]=Tabla_VMN[[#This Row],[Id]],"NOK","OK")</f>
        <v>OK</v>
      </c>
      <c r="W22" s="2"/>
    </row>
    <row r="23" spans="1:23" hidden="1" x14ac:dyDescent="0.5">
      <c r="A23" s="2">
        <f>MAX(Tabla_Presupuesto[Id])</f>
        <v>403</v>
      </c>
      <c r="B23" s="2">
        <v>406</v>
      </c>
      <c r="C23" s="5">
        <f>IF(Tabla_VMN[[#This Row],[id_padre]]="",0,_xlfn.XLOOKUP(Tabla_VMN[[#This Row],[id_padre]],Tabla_VMN[Id],Tabla_VMN[Nivel],0,0,1)+1)</f>
        <v>2</v>
      </c>
      <c r="D23" s="2" t="s">
        <v>385</v>
      </c>
      <c r="E23" s="2">
        <f>IF(Tabla_VMN[[#This Row],[id_anterior]]=1,ROW()-1,SUM(ROW()-1,Tabla_VMN[[#This Row],[id_anterior]]))</f>
        <v>425</v>
      </c>
      <c r="F2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VIATICO_MONEDA_NACIONAL_PROCESOS_ANULA_RESOLUCION_COMISION_SIN_ACTUALIZAR</v>
      </c>
      <c r="G23" s="2" t="str">
        <f>CLEAN(PROPER(Tabla_VMN[[#This Row],[Nombre Opción]]))</f>
        <v>Anula Resolucion De Comision Sin Actualizar</v>
      </c>
      <c r="H23" s="2" t="s">
        <v>1735</v>
      </c>
      <c r="I23" s="2" t="str">
        <f>_xlfn.XLOOKUP(Tabla_VMN[[#This Row],[id_padre]],Tabla_VMN[Id],Tabla_VMN[Codigo_Tecnico],"",0,1)</f>
        <v>VIATICO_MONEDA_NACIONAL_PROCESOS</v>
      </c>
      <c r="J2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/viatico-moneda-nacional/procesos/anula-resolucion-comision-sin-actualizar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anula-resolucion-comision-sin-actualizar</v>
      </c>
      <c r="L23" s="2" t="s">
        <v>1346</v>
      </c>
      <c r="M23" s="2" t="s">
        <v>1803</v>
      </c>
      <c r="N23" s="4" t="s">
        <v>360</v>
      </c>
      <c r="O23" s="4" t="s">
        <v>360</v>
      </c>
      <c r="P23" s="4" t="s">
        <v>360</v>
      </c>
      <c r="R23" s="4" t="s">
        <v>360</v>
      </c>
      <c r="S23" s="4" t="s">
        <v>360</v>
      </c>
      <c r="U23" s="7" t="s">
        <v>360</v>
      </c>
      <c r="V23" s="2" t="str">
        <f>IF(Tabla_VMN[[#This Row],[id_padre]]=Tabla_VMN[[#This Row],[Id]],"NOK","OK")</f>
        <v>OK</v>
      </c>
      <c r="W23" s="2"/>
    </row>
    <row r="24" spans="1:23" hidden="1" x14ac:dyDescent="0.5">
      <c r="A24" s="2">
        <f>MAX(Tabla_Presupuesto[Id])</f>
        <v>403</v>
      </c>
      <c r="B24" s="2">
        <v>406</v>
      </c>
      <c r="C24" s="5">
        <f>IF(Tabla_VMN[[#This Row],[id_padre]]="",0,_xlfn.XLOOKUP(Tabla_VMN[[#This Row],[id_padre]],Tabla_VMN[Id],Tabla_VMN[Nivel],0,0,1)+1)</f>
        <v>2</v>
      </c>
      <c r="D24" s="2" t="s">
        <v>386</v>
      </c>
      <c r="E24" s="2">
        <f>IF(Tabla_VMN[[#This Row],[id_anterior]]=1,ROW()-1,SUM(ROW()-1,Tabla_VMN[[#This Row],[id_anterior]]))</f>
        <v>426</v>
      </c>
      <c r="F2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VIATICO_MONEDA_NACIONAL_PROCESOS_SEGUIMIENTO_RESOLUCION_COMISION</v>
      </c>
      <c r="G24" s="2" t="str">
        <f>CLEAN(PROPER(Tabla_VMN[[#This Row],[Nombre Opción]]))</f>
        <v>Seguimiento A Resolucion De Comision</v>
      </c>
      <c r="H24" s="2" t="s">
        <v>1735</v>
      </c>
      <c r="I24" s="2" t="str">
        <f>_xlfn.XLOOKUP(Tabla_VMN[[#This Row],[id_padre]],Tabla_VMN[Id],Tabla_VMN[Codigo_Tecnico],"",0,1)</f>
        <v>VIATICO_MONEDA_NACIONAL_PROCESOS</v>
      </c>
      <c r="J2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/viatico-moneda-nacional/procesos/seguimiento-resolucion-comision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seguimiento-resolucion-comision</v>
      </c>
      <c r="L24" s="2" t="s">
        <v>1445</v>
      </c>
      <c r="M24" s="2" t="s">
        <v>1803</v>
      </c>
      <c r="N24" s="4" t="s">
        <v>360</v>
      </c>
      <c r="O24" s="4" t="s">
        <v>360</v>
      </c>
      <c r="P24" s="4" t="s">
        <v>360</v>
      </c>
      <c r="R24" s="4" t="s">
        <v>360</v>
      </c>
      <c r="S24" s="4" t="s">
        <v>360</v>
      </c>
      <c r="U24" s="7" t="s">
        <v>360</v>
      </c>
      <c r="V24" s="2" t="str">
        <f>IF(Tabla_VMN[[#This Row],[id_padre]]=Tabla_VMN[[#This Row],[Id]],"NOK","OK")</f>
        <v>OK</v>
      </c>
      <c r="W24" s="2"/>
    </row>
    <row r="25" spans="1:23" hidden="1" x14ac:dyDescent="0.5">
      <c r="A25" s="2">
        <f>MAX(Tabla_Presupuesto[Id])</f>
        <v>403</v>
      </c>
      <c r="B25" s="2">
        <v>406</v>
      </c>
      <c r="C25" s="5">
        <f>IF(Tabla_VMN[[#This Row],[id_padre]]="",0,_xlfn.XLOOKUP(Tabla_VMN[[#This Row],[id_padre]],Tabla_VMN[Id],Tabla_VMN[Nivel],0,0,1)+1)</f>
        <v>2</v>
      </c>
      <c r="D25" s="2" t="s">
        <v>387</v>
      </c>
      <c r="E25" s="2">
        <f>IF(Tabla_VMN[[#This Row],[id_anterior]]=1,ROW()-1,SUM(ROW()-1,Tabla_VMN[[#This Row],[id_anterior]]))</f>
        <v>427</v>
      </c>
      <c r="F2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VIATICO_MONEDA_NACIONAL_PROCESOS_INGRESO_INFORME_CUMPLIMIENTO_COMISION</v>
      </c>
      <c r="G25" s="2" t="str">
        <f>CLEAN(PROPER(Tabla_VMN[[#This Row],[Nombre Opción]]))</f>
        <v>Ingreso De Informe De Cumplimiento De Comision</v>
      </c>
      <c r="H25" s="2" t="s">
        <v>1735</v>
      </c>
      <c r="I25" s="2" t="str">
        <f>_xlfn.XLOOKUP(Tabla_VMN[[#This Row],[id_padre]],Tabla_VMN[Id],Tabla_VMN[Codigo_Tecnico],"",0,1)</f>
        <v>VIATICO_MONEDA_NACIONAL_PROCESOS</v>
      </c>
      <c r="J2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/viatico-moneda-nacional/procesos/ingreso-informe-cumplimiento-comision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ingreso-informe-cumplimiento-comision</v>
      </c>
      <c r="L25" s="2" t="s">
        <v>1519</v>
      </c>
      <c r="M25" s="2" t="s">
        <v>1803</v>
      </c>
      <c r="N25" s="4" t="s">
        <v>360</v>
      </c>
      <c r="O25" s="4" t="s">
        <v>360</v>
      </c>
      <c r="P25" s="4" t="s">
        <v>360</v>
      </c>
      <c r="R25" s="4" t="s">
        <v>360</v>
      </c>
      <c r="S25" s="4" t="s">
        <v>360</v>
      </c>
      <c r="U25" s="7" t="s">
        <v>360</v>
      </c>
      <c r="V25" s="2" t="str">
        <f>IF(Tabla_VMN[[#This Row],[id_padre]]=Tabla_VMN[[#This Row],[Id]],"NOK","OK")</f>
        <v>OK</v>
      </c>
      <c r="W25" s="2"/>
    </row>
    <row r="26" spans="1:23" hidden="1" x14ac:dyDescent="0.5">
      <c r="A26" s="2">
        <f>MAX(Tabla_Presupuesto[Id])</f>
        <v>403</v>
      </c>
      <c r="B26" s="2">
        <v>406</v>
      </c>
      <c r="C26" s="5">
        <f>IF(Tabla_VMN[[#This Row],[id_padre]]="",0,_xlfn.XLOOKUP(Tabla_VMN[[#This Row],[id_padre]],Tabla_VMN[Id],Tabla_VMN[Nivel],0,0,1)+1)</f>
        <v>2</v>
      </c>
      <c r="D26" s="2" t="s">
        <v>388</v>
      </c>
      <c r="E26" s="2">
        <f>IF(Tabla_VMN[[#This Row],[id_anterior]]=1,ROW()-1,SUM(ROW()-1,Tabla_VMN[[#This Row],[id_anterior]]))</f>
        <v>428</v>
      </c>
      <c r="F2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VIATICO_MONEDA_NACIONAL_PROCESOS_ACTUALIZACION_RESOLUCION_COMISION</v>
      </c>
      <c r="G26" s="2" t="str">
        <f>CLEAN(PROPER(Tabla_VMN[[#This Row],[Nombre Opción]]))</f>
        <v>Actualizacion De Resolucion De Comision</v>
      </c>
      <c r="H26" s="2" t="s">
        <v>1735</v>
      </c>
      <c r="I26" s="2" t="str">
        <f>_xlfn.XLOOKUP(Tabla_VMN[[#This Row],[id_padre]],Tabla_VMN[Id],Tabla_VMN[Codigo_Tecnico],"",0,1)</f>
        <v>VIATICO_MONEDA_NACIONAL_PROCESOS</v>
      </c>
      <c r="J2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/viatico-moneda-nacional/procesos/actualizacion-resolucion-comision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actualizacion-resolucion-comision</v>
      </c>
      <c r="L26" s="2" t="s">
        <v>1420</v>
      </c>
      <c r="M26" s="2" t="s">
        <v>1803</v>
      </c>
      <c r="N26" s="4" t="s">
        <v>360</v>
      </c>
      <c r="O26" s="4" t="s">
        <v>360</v>
      </c>
      <c r="P26" s="4" t="s">
        <v>360</v>
      </c>
      <c r="R26" s="4"/>
      <c r="S26" s="4"/>
      <c r="U26" s="7" t="s">
        <v>360</v>
      </c>
      <c r="V26" s="2" t="str">
        <f>IF(Tabla_VMN[[#This Row],[id_padre]]=Tabla_VMN[[#This Row],[Id]],"NOK","OK")</f>
        <v>OK</v>
      </c>
      <c r="W26" s="2"/>
    </row>
    <row r="27" spans="1:23" hidden="1" x14ac:dyDescent="0.5">
      <c r="A27" s="2">
        <f>MAX(Tabla_Presupuesto[Id])</f>
        <v>403</v>
      </c>
      <c r="B27" s="2">
        <v>406</v>
      </c>
      <c r="C27" s="5">
        <f>IF(Tabla_VMN[[#This Row],[id_padre]]="",0,_xlfn.XLOOKUP(Tabla_VMN[[#This Row],[id_padre]],Tabla_VMN[Id],Tabla_VMN[Nivel],0,0,1)+1)</f>
        <v>2</v>
      </c>
      <c r="D27" s="2" t="s">
        <v>389</v>
      </c>
      <c r="E27" s="2">
        <f>IF(Tabla_VMN[[#This Row],[id_anterior]]=1,ROW()-1,SUM(ROW()-1,Tabla_VMN[[#This Row],[id_anterior]]))</f>
        <v>429</v>
      </c>
      <c r="F2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VIATICO_MONEDA_NACIONAL_PROCESOS_GENERA_ASIENTO_CONTABLE_POR_RESOLUCION_COMISION</v>
      </c>
      <c r="G27" s="2" t="str">
        <f>CLEAN(PROPER(Tabla_VMN[[#This Row],[Nombre Opción]]))</f>
        <v>Genera Asiento Contable Por Resolucion De Comision</v>
      </c>
      <c r="H27" s="2" t="s">
        <v>1735</v>
      </c>
      <c r="I27" s="2" t="str">
        <f>_xlfn.XLOOKUP(Tabla_VMN[[#This Row],[id_padre]],Tabla_VMN[Id],Tabla_VMN[Codigo_Tecnico],"",0,1)</f>
        <v>VIATICO_MONEDA_NACIONAL_PROCESOS</v>
      </c>
      <c r="J2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/viatico-moneda-nacional/procesos/genera-asiento-contable-por-resolucion-comision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genera-asiento-contable-por-resolucion-comision</v>
      </c>
      <c r="L27" s="2" t="s">
        <v>1349</v>
      </c>
      <c r="M27" s="2" t="s">
        <v>1803</v>
      </c>
      <c r="N27" s="4" t="s">
        <v>360</v>
      </c>
      <c r="O27" s="4" t="s">
        <v>360</v>
      </c>
      <c r="P27" s="4" t="s">
        <v>360</v>
      </c>
      <c r="R27" s="4"/>
      <c r="S27" s="4"/>
      <c r="U27" s="7" t="s">
        <v>360</v>
      </c>
      <c r="V27" s="2" t="str">
        <f>IF(Tabla_VMN[[#This Row],[id_padre]]=Tabla_VMN[[#This Row],[Id]],"NOK","OK")</f>
        <v>OK</v>
      </c>
      <c r="W27" s="2"/>
    </row>
    <row r="28" spans="1:23" hidden="1" x14ac:dyDescent="0.5">
      <c r="A28" s="2">
        <f>MAX(Tabla_Presupuesto[Id])</f>
        <v>403</v>
      </c>
      <c r="B28" s="2">
        <v>406</v>
      </c>
      <c r="C28" s="5">
        <f>IF(Tabla_VMN[[#This Row],[id_padre]]="",0,_xlfn.XLOOKUP(Tabla_VMN[[#This Row],[id_padre]],Tabla_VMN[Id],Tabla_VMN[Nivel],0,0,1)+1)</f>
        <v>2</v>
      </c>
      <c r="D28" s="2" t="s">
        <v>390</v>
      </c>
      <c r="E28" s="2">
        <f>IF(Tabla_VMN[[#This Row],[id_anterior]]=1,ROW()-1,SUM(ROW()-1,Tabla_VMN[[#This Row],[id_anterior]]))</f>
        <v>430</v>
      </c>
      <c r="F2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VIATICO_MONEDA_NACIONAL_PROCESOS_ACTDE_INFORME_CUMPLIMIENTO_COMISION</v>
      </c>
      <c r="G28" s="2" t="str">
        <f>CLEAN(PROPER(Tabla_VMN[[#This Row],[Nombre Opción]]))</f>
        <v>Act.De Informe De Cumplimiento De Comision</v>
      </c>
      <c r="H28" s="2" t="s">
        <v>1735</v>
      </c>
      <c r="I28" s="2" t="str">
        <f>_xlfn.XLOOKUP(Tabla_VMN[[#This Row],[id_padre]],Tabla_VMN[Id],Tabla_VMN[Codigo_Tecnico],"",0,1)</f>
        <v>VIATICO_MONEDA_NACIONAL_PROCESOS</v>
      </c>
      <c r="J2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/viatico-moneda-nacional/procesos/actde-informe-cumplimiento-comision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actde-informe-cumplimiento-comision</v>
      </c>
      <c r="L28" s="2" t="s">
        <v>1352</v>
      </c>
      <c r="M28" s="2" t="s">
        <v>1803</v>
      </c>
      <c r="N28" s="4" t="s">
        <v>360</v>
      </c>
      <c r="O28" s="4" t="s">
        <v>360</v>
      </c>
      <c r="P28" s="4" t="s">
        <v>360</v>
      </c>
      <c r="R28" s="4"/>
      <c r="S28" s="4"/>
      <c r="U28" s="7" t="s">
        <v>360</v>
      </c>
      <c r="V28" s="2" t="str">
        <f>IF(Tabla_VMN[[#This Row],[id_padre]]=Tabla_VMN[[#This Row],[Id]],"NOK","OK")</f>
        <v>OK</v>
      </c>
      <c r="W28" s="2"/>
    </row>
    <row r="29" spans="1:23" hidden="1" x14ac:dyDescent="0.5">
      <c r="A29" s="2">
        <f>MAX(Tabla_Presupuesto[Id])</f>
        <v>403</v>
      </c>
      <c r="B29" s="2">
        <v>406</v>
      </c>
      <c r="C29" s="5">
        <f>IF(Tabla_VMN[[#This Row],[id_padre]]="",0,_xlfn.XLOOKUP(Tabla_VMN[[#This Row],[id_padre]],Tabla_VMN[Id],Tabla_VMN[Nivel],0,0,1)+1)</f>
        <v>2</v>
      </c>
      <c r="D29" s="2" t="s">
        <v>391</v>
      </c>
      <c r="E29" s="2">
        <f>IF(Tabla_VMN[[#This Row],[id_anterior]]=1,ROW()-1,SUM(ROW()-1,Tabla_VMN[[#This Row],[id_anterior]]))</f>
        <v>431</v>
      </c>
      <c r="F2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VIATICO_MONEDA_NACIONAL_PROCESOS_GENERA_ASIENTO_CONTABLE_POR_INF_CUMPLIMIENTO</v>
      </c>
      <c r="G29" s="2" t="str">
        <f>CLEAN(PROPER(Tabla_VMN[[#This Row],[Nombre Opción]]))</f>
        <v>Genera Asiento Contable Por Inf. Cumplimiento</v>
      </c>
      <c r="H29" s="2" t="s">
        <v>1735</v>
      </c>
      <c r="I29" s="2" t="str">
        <f>_xlfn.XLOOKUP(Tabla_VMN[[#This Row],[id_padre]],Tabla_VMN[Id],Tabla_VMN[Codigo_Tecnico],"",0,1)</f>
        <v>VIATICO_MONEDA_NACIONAL_PROCESOS</v>
      </c>
      <c r="J2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/viatico-moneda-nacional/procesos/genera-asiento-contable-por-inf-cumplimiento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genera-asiento-contable-por-inf-cumplimiento</v>
      </c>
      <c r="L29" s="2" t="s">
        <v>1364</v>
      </c>
      <c r="M29" s="2" t="s">
        <v>1803</v>
      </c>
      <c r="N29" s="4" t="s">
        <v>360</v>
      </c>
      <c r="O29" s="4" t="s">
        <v>360</v>
      </c>
      <c r="P29" s="4" t="s">
        <v>360</v>
      </c>
      <c r="R29" s="4"/>
      <c r="S29" s="4"/>
      <c r="U29" s="7" t="s">
        <v>360</v>
      </c>
      <c r="V29" s="2" t="str">
        <f>IF(Tabla_VMN[[#This Row],[id_padre]]=Tabla_VMN[[#This Row],[Id]],"NOK","OK")</f>
        <v>OK</v>
      </c>
      <c r="W29" s="2"/>
    </row>
    <row r="30" spans="1:23" hidden="1" x14ac:dyDescent="0.5">
      <c r="A30" s="2">
        <f>MAX(Tabla_Presupuesto[Id])</f>
        <v>403</v>
      </c>
      <c r="B30" s="2">
        <v>406</v>
      </c>
      <c r="C30" s="5">
        <f>IF(Tabla_VMN[[#This Row],[id_padre]]="",0,_xlfn.XLOOKUP(Tabla_VMN[[#This Row],[id_padre]],Tabla_VMN[Id],Tabla_VMN[Nivel],0,0,1)+1)</f>
        <v>2</v>
      </c>
      <c r="D30" s="2" t="s">
        <v>371</v>
      </c>
      <c r="E30" s="2">
        <f>IF(Tabla_VMN[[#This Row],[id_anterior]]=1,ROW()-1,SUM(ROW()-1,Tabla_VMN[[#This Row],[id_anterior]]))</f>
        <v>432</v>
      </c>
      <c r="F3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VIATICO_MONEDA_NACIONAL_PROCESOS_IDENTIDADES</v>
      </c>
      <c r="G30" s="2" t="str">
        <f>CLEAN(PROPER(Tabla_VMN[[#This Row],[Nombre Opción]]))</f>
        <v>Identidades</v>
      </c>
      <c r="H30" s="2" t="s">
        <v>1735</v>
      </c>
      <c r="I30" s="2" t="str">
        <f>_xlfn.XLOOKUP(Tabla_VMN[[#This Row],[id_padre]],Tabla_VMN[Id],Tabla_VMN[Codigo_Tecnico],"",0,1)</f>
        <v>VIATICO_MONEDA_NACIONAL_PROCESOS</v>
      </c>
      <c r="J3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/viatico-moneda-nacional/procesos/identidades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identidades</v>
      </c>
      <c r="L30" s="2" t="s">
        <v>1378</v>
      </c>
      <c r="M30" s="2" t="s">
        <v>1803</v>
      </c>
      <c r="N30" s="4" t="s">
        <v>360</v>
      </c>
      <c r="P30" s="4"/>
      <c r="R30" s="4"/>
      <c r="S30" s="4"/>
      <c r="U30" s="7" t="s">
        <v>360</v>
      </c>
      <c r="V30" s="2" t="str">
        <f>IF(Tabla_VMN[[#This Row],[id_padre]]=Tabla_VMN[[#This Row],[Id]],"NOK","OK")</f>
        <v>OK</v>
      </c>
      <c r="W30" s="2"/>
    </row>
    <row r="31" spans="1:23" hidden="1" x14ac:dyDescent="0.5">
      <c r="A31" s="2">
        <f>MAX(Tabla_Presupuesto[Id])</f>
        <v>403</v>
      </c>
      <c r="B31" s="2">
        <v>406</v>
      </c>
      <c r="C31" s="5">
        <f>IF(Tabla_VMN[[#This Row],[id_padre]]="",0,_xlfn.XLOOKUP(Tabla_VMN[[#This Row],[id_padre]],Tabla_VMN[Id],Tabla_VMN[Nivel],0,0,1)+1)</f>
        <v>2</v>
      </c>
      <c r="D31" s="2" t="s">
        <v>372</v>
      </c>
      <c r="E31" s="2">
        <f>IF(Tabla_VMN[[#This Row],[id_anterior]]=1,ROW()-1,SUM(ROW()-1,Tabla_VMN[[#This Row],[id_anterior]]))</f>
        <v>433</v>
      </c>
      <c r="F3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VIATICO_MONEDA_NACIONAL_PROCESOS_TIPOS_VIATICOS</v>
      </c>
      <c r="G31" s="2" t="str">
        <f>CLEAN(PROPER(Tabla_VMN[[#This Row],[Nombre Opción]]))</f>
        <v>Tipos De Viaticos</v>
      </c>
      <c r="H31" s="2" t="s">
        <v>1735</v>
      </c>
      <c r="I31" s="2" t="str">
        <f>_xlfn.XLOOKUP(Tabla_VMN[[#This Row],[id_padre]],Tabla_VMN[Id],Tabla_VMN[Codigo_Tecnico],"",0,1)</f>
        <v>VIATICO_MONEDA_NACIONAL_PROCESOS</v>
      </c>
      <c r="J3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/viatico-moneda-nacional/procesos/tipos-viaticos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tipos-viaticos</v>
      </c>
      <c r="L31" s="2" t="s">
        <v>1407</v>
      </c>
      <c r="M31" s="2" t="s">
        <v>1803</v>
      </c>
      <c r="N31" s="4" t="s">
        <v>360</v>
      </c>
      <c r="P31" s="4"/>
      <c r="R31" s="4"/>
      <c r="S31" s="4"/>
      <c r="U31" s="7" t="s">
        <v>360</v>
      </c>
      <c r="V31" s="2" t="str">
        <f>IF(Tabla_VMN[[#This Row],[id_padre]]=Tabla_VMN[[#This Row],[Id]],"NOK","OK")</f>
        <v>OK</v>
      </c>
      <c r="W31" s="2"/>
    </row>
    <row r="32" spans="1:23" hidden="1" x14ac:dyDescent="0.5">
      <c r="A32" s="2">
        <f>MAX(Tabla_Presupuesto[Id])</f>
        <v>403</v>
      </c>
      <c r="B32" s="2">
        <v>406</v>
      </c>
      <c r="C32" s="5">
        <f>IF(Tabla_VMN[[#This Row],[id_padre]]="",0,_xlfn.XLOOKUP(Tabla_VMN[[#This Row],[id_padre]],Tabla_VMN[Id],Tabla_VMN[Nivel],0,0,1)+1)</f>
        <v>2</v>
      </c>
      <c r="D32" s="2" t="s">
        <v>373</v>
      </c>
      <c r="E32" s="2">
        <f>IF(Tabla_VMN[[#This Row],[id_anterior]]=1,ROW()-1,SUM(ROW()-1,Tabla_VMN[[#This Row],[id_anterior]]))</f>
        <v>434</v>
      </c>
      <c r="F3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VIATICO_MONEDA_NACIONAL_PROCESOS_ESCALA_VIATICOS</v>
      </c>
      <c r="G32" s="2" t="str">
        <f>CLEAN(PROPER(Tabla_VMN[[#This Row],[Nombre Opción]]))</f>
        <v>Escala De Viaticos</v>
      </c>
      <c r="H32" s="2" t="s">
        <v>1735</v>
      </c>
      <c r="I32" s="2" t="str">
        <f>_xlfn.XLOOKUP(Tabla_VMN[[#This Row],[id_padre]],Tabla_VMN[Id],Tabla_VMN[Codigo_Tecnico],"",0,1)</f>
        <v>VIATICO_MONEDA_NACIONAL_PROCESOS</v>
      </c>
      <c r="J3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/viatico-moneda-nacional/procesos/escala-viaticos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escala-viaticos</v>
      </c>
      <c r="L32" s="2" t="s">
        <v>1507</v>
      </c>
      <c r="M32" s="2" t="s">
        <v>1803</v>
      </c>
      <c r="N32" s="4" t="s">
        <v>360</v>
      </c>
      <c r="P32" s="4"/>
      <c r="R32" s="4"/>
      <c r="S32" s="4"/>
      <c r="U32" s="7" t="s">
        <v>360</v>
      </c>
      <c r="V32" s="2" t="str">
        <f>IF(Tabla_VMN[[#This Row],[id_padre]]=Tabla_VMN[[#This Row],[Id]],"NOK","OK")</f>
        <v>OK</v>
      </c>
      <c r="W32" s="2"/>
    </row>
    <row r="33" spans="1:23" hidden="1" x14ac:dyDescent="0.5">
      <c r="A33" s="2">
        <f>MAX(Tabla_Presupuesto[Id])</f>
        <v>403</v>
      </c>
      <c r="B33" s="2">
        <v>406</v>
      </c>
      <c r="C33" s="5">
        <f>IF(Tabla_VMN[[#This Row],[id_padre]]="",0,_xlfn.XLOOKUP(Tabla_VMN[[#This Row],[id_padre]],Tabla_VMN[Id],Tabla_VMN[Nivel],0,0,1)+1)</f>
        <v>2</v>
      </c>
      <c r="D33" s="2" t="s">
        <v>374</v>
      </c>
      <c r="E33" s="2">
        <f>IF(Tabla_VMN[[#This Row],[id_anterior]]=1,ROW()-1,SUM(ROW()-1,Tabla_VMN[[#This Row],[id_anterior]]))</f>
        <v>435</v>
      </c>
      <c r="F3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VIATICO_MONEDA_NACIONAL_PROCESOS_CARGA_TABLA_EMPLEADOS</v>
      </c>
      <c r="G33" s="2" t="str">
        <f>CLEAN(PROPER(Tabla_VMN[[#This Row],[Nombre Opción]]))</f>
        <v>Carga Tabla Empleados</v>
      </c>
      <c r="H33" s="2" t="s">
        <v>1735</v>
      </c>
      <c r="I33" s="2" t="str">
        <f>_xlfn.XLOOKUP(Tabla_VMN[[#This Row],[id_padre]],Tabla_VMN[Id],Tabla_VMN[Codigo_Tecnico],"",0,1)</f>
        <v>VIATICO_MONEDA_NACIONAL_PROCESOS</v>
      </c>
      <c r="J3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/viatico-moneda-nacional/procesos/carga-tabla-empleados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carga-tabla-empleados</v>
      </c>
      <c r="L33" s="2" t="s">
        <v>1513</v>
      </c>
      <c r="M33" s="2" t="s">
        <v>1803</v>
      </c>
      <c r="N33" s="4" t="s">
        <v>360</v>
      </c>
      <c r="P33" s="4"/>
      <c r="R33" s="4"/>
      <c r="S33" s="4"/>
      <c r="U33" s="7" t="s">
        <v>360</v>
      </c>
      <c r="V33" s="2" t="str">
        <f>IF(Tabla_VMN[[#This Row],[id_padre]]=Tabla_VMN[[#This Row],[Id]],"NOK","OK")</f>
        <v>OK</v>
      </c>
      <c r="W33" s="2"/>
    </row>
    <row r="34" spans="1:23" hidden="1" x14ac:dyDescent="0.5">
      <c r="A34" s="2">
        <f>MAX(Tabla_Presupuesto[Id])</f>
        <v>403</v>
      </c>
      <c r="B34" s="2">
        <v>406</v>
      </c>
      <c r="C34" s="5">
        <f>IF(Tabla_VMN[[#This Row],[id_padre]]="",0,_xlfn.XLOOKUP(Tabla_VMN[[#This Row],[id_padre]],Tabla_VMN[Id],Tabla_VMN[Nivel],0,0,1)+1)</f>
        <v>2</v>
      </c>
      <c r="D34" s="2" t="s">
        <v>375</v>
      </c>
      <c r="E34" s="2">
        <f>IF(Tabla_VMN[[#This Row],[id_anterior]]=1,ROW()-1,SUM(ROW()-1,Tabla_VMN[[#This Row],[id_anterior]]))</f>
        <v>436</v>
      </c>
      <c r="F3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VIATICO_MONEDA_NACIONAL_PROCESOS_CATEGPRIZACION</v>
      </c>
      <c r="G34" s="2" t="str">
        <f>CLEAN(PROPER(Tabla_VMN[[#This Row],[Nombre Opción]]))</f>
        <v>Categprizacion</v>
      </c>
      <c r="H34" s="2" t="s">
        <v>1735</v>
      </c>
      <c r="I34" s="2" t="str">
        <f>_xlfn.XLOOKUP(Tabla_VMN[[#This Row],[id_padre]],Tabla_VMN[Id],Tabla_VMN[Codigo_Tecnico],"",0,1)</f>
        <v>VIATICO_MONEDA_NACIONAL_PROCESOS</v>
      </c>
      <c r="J3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/viatico-moneda-nacional/procesos/categprizacion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categprizacion</v>
      </c>
      <c r="L34" s="2" t="s">
        <v>1514</v>
      </c>
      <c r="M34" s="2" t="s">
        <v>1803</v>
      </c>
      <c r="N34" s="4" t="s">
        <v>360</v>
      </c>
      <c r="P34" s="4"/>
      <c r="R34" s="4"/>
      <c r="S34" s="4"/>
      <c r="U34" s="7" t="s">
        <v>360</v>
      </c>
      <c r="V34" s="2" t="str">
        <f>IF(Tabla_VMN[[#This Row],[id_padre]]=Tabla_VMN[[#This Row],[Id]],"NOK","OK")</f>
        <v>OK</v>
      </c>
      <c r="W34" s="2"/>
    </row>
    <row r="35" spans="1:23" hidden="1" x14ac:dyDescent="0.5">
      <c r="A35" s="2">
        <f>MAX(Tabla_Presupuesto[Id])</f>
        <v>403</v>
      </c>
      <c r="B35" s="2">
        <v>406</v>
      </c>
      <c r="C35" s="5">
        <f>IF(Tabla_VMN[[#This Row],[id_padre]]="",0,_xlfn.XLOOKUP(Tabla_VMN[[#This Row],[id_padre]],Tabla_VMN[Id],Tabla_VMN[Nivel],0,0,1)+1)</f>
        <v>2</v>
      </c>
      <c r="D35" s="2" t="s">
        <v>376</v>
      </c>
      <c r="E35" s="2">
        <f>IF(Tabla_VMN[[#This Row],[id_anterior]]=1,ROW()-1,SUM(ROW()-1,Tabla_VMN[[#This Row],[id_anterior]]))</f>
        <v>437</v>
      </c>
      <c r="F3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VIATICO_MONEDA_NACIONAL_PROCESOS_EMPLEADOS_AUTORIZADOS</v>
      </c>
      <c r="G35" s="2" t="str">
        <f>CLEAN(PROPER(Tabla_VMN[[#This Row],[Nombre Opción]]))</f>
        <v>Empleados Autorizados</v>
      </c>
      <c r="H35" s="2" t="s">
        <v>1735</v>
      </c>
      <c r="I35" s="2" t="str">
        <f>_xlfn.XLOOKUP(Tabla_VMN[[#This Row],[id_padre]],Tabla_VMN[Id],Tabla_VMN[Codigo_Tecnico],"",0,1)</f>
        <v>VIATICO_MONEDA_NACIONAL_PROCESOS</v>
      </c>
      <c r="J3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/viatico-moneda-nacional/procesos/empleados-autorizados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empleados-autorizados</v>
      </c>
      <c r="L35" s="2" t="s">
        <v>1515</v>
      </c>
      <c r="M35" s="2" t="s">
        <v>1803</v>
      </c>
      <c r="N35" s="4" t="s">
        <v>360</v>
      </c>
      <c r="O35" s="4" t="s">
        <v>360</v>
      </c>
      <c r="P35" s="4"/>
      <c r="R35" s="4"/>
      <c r="S35" s="4"/>
      <c r="U35" s="7" t="s">
        <v>360</v>
      </c>
      <c r="V35" s="2" t="str">
        <f>IF(Tabla_VMN[[#This Row],[id_padre]]=Tabla_VMN[[#This Row],[Id]],"NOK","OK")</f>
        <v>OK</v>
      </c>
      <c r="W35" s="2"/>
    </row>
    <row r="36" spans="1:23" hidden="1" x14ac:dyDescent="0.5">
      <c r="A36" s="2">
        <f>MAX(Tabla_Presupuesto[Id])</f>
        <v>403</v>
      </c>
      <c r="B36" s="2">
        <v>406</v>
      </c>
      <c r="C36" s="5">
        <f>IF(Tabla_VMN[[#This Row],[id_padre]]="",0,_xlfn.XLOOKUP(Tabla_VMN[[#This Row],[id_padre]],Tabla_VMN[Id],Tabla_VMN[Nivel],0,0,1)+1)</f>
        <v>2</v>
      </c>
      <c r="D36" s="2" t="s">
        <v>377</v>
      </c>
      <c r="E36" s="2">
        <f>IF(Tabla_VMN[[#This Row],[id_anterior]]=1,ROW()-1,SUM(ROW()-1,Tabla_VMN[[#This Row],[id_anterior]]))</f>
        <v>438</v>
      </c>
      <c r="F3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VIATICO_MONEDA_NACIONAL_PROCESOS_MEDIOS_TRANSPORTE</v>
      </c>
      <c r="G36" s="2" t="str">
        <f>CLEAN(PROPER(Tabla_VMN[[#This Row],[Nombre Opción]]))</f>
        <v>Medios De Transporte</v>
      </c>
      <c r="H36" s="2" t="s">
        <v>1735</v>
      </c>
      <c r="I36" s="2" t="str">
        <f>_xlfn.XLOOKUP(Tabla_VMN[[#This Row],[id_padre]],Tabla_VMN[Id],Tabla_VMN[Codigo_Tecnico],"",0,1)</f>
        <v>VIATICO_MONEDA_NACIONAL_PROCESOS</v>
      </c>
      <c r="J3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/viatico-moneda-nacional/procesos/medios-transporte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medios-transporte</v>
      </c>
      <c r="L36" s="2" t="s">
        <v>1516</v>
      </c>
      <c r="M36" s="2" t="s">
        <v>1803</v>
      </c>
      <c r="N36" s="4" t="s">
        <v>360</v>
      </c>
      <c r="O36" s="4" t="s">
        <v>360</v>
      </c>
      <c r="P36" s="4"/>
      <c r="R36" s="4"/>
      <c r="S36" s="4"/>
      <c r="U36" s="7" t="s">
        <v>360</v>
      </c>
      <c r="V36" s="2" t="str">
        <f>IF(Tabla_VMN[[#This Row],[id_padre]]=Tabla_VMN[[#This Row],[Id]],"NOK","OK")</f>
        <v>OK</v>
      </c>
      <c r="W36" s="2"/>
    </row>
    <row r="37" spans="1:23" hidden="1" x14ac:dyDescent="0.5">
      <c r="A37" s="2">
        <f>MAX(Tabla_Presupuesto[Id])</f>
        <v>403</v>
      </c>
      <c r="B37" s="2">
        <v>406</v>
      </c>
      <c r="C37" s="5">
        <f>IF(Tabla_VMN[[#This Row],[id_padre]]="",0,_xlfn.XLOOKUP(Tabla_VMN[[#This Row],[id_padre]],Tabla_VMN[Id],Tabla_VMN[Nivel],0,0,1)+1)</f>
        <v>2</v>
      </c>
      <c r="D37" s="2" t="s">
        <v>382</v>
      </c>
      <c r="E37" s="2">
        <f>IF(Tabla_VMN[[#This Row],[id_anterior]]=1,ROW()-1,SUM(ROW()-1,Tabla_VMN[[#This Row],[id_anterior]]))</f>
        <v>439</v>
      </c>
      <c r="F3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VIATICO_MONEDA_NACIONAL_PROCESOS_AREAS</v>
      </c>
      <c r="G37" s="2" t="str">
        <f>CLEAN(PROPER(Tabla_VMN[[#This Row],[Nombre Opción]]))</f>
        <v>Areas</v>
      </c>
      <c r="H37" s="2" t="s">
        <v>1735</v>
      </c>
      <c r="I37" s="2" t="str">
        <f>_xlfn.XLOOKUP(Tabla_VMN[[#This Row],[id_padre]],Tabla_VMN[Id],Tabla_VMN[Codigo_Tecnico],"",0,1)</f>
        <v>VIATICO_MONEDA_NACIONAL_PROCESOS</v>
      </c>
      <c r="J3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/viatico-moneda-nacional/procesos/areas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areas</v>
      </c>
      <c r="L37" s="2" t="s">
        <v>1464</v>
      </c>
      <c r="M37" s="2" t="s">
        <v>1803</v>
      </c>
      <c r="N37" s="4" t="s">
        <v>360</v>
      </c>
      <c r="O37" s="4" t="s">
        <v>360</v>
      </c>
      <c r="P37" s="4"/>
      <c r="R37" s="4"/>
      <c r="S37" s="4"/>
      <c r="U37" s="7" t="s">
        <v>360</v>
      </c>
      <c r="V37" s="2" t="str">
        <f>IF(Tabla_VMN[[#This Row],[id_padre]]=Tabla_VMN[[#This Row],[Id]],"NOK","OK")</f>
        <v>OK</v>
      </c>
      <c r="W37" s="2"/>
    </row>
    <row r="38" spans="1:23" hidden="1" x14ac:dyDescent="0.5">
      <c r="A38" s="2">
        <f>MAX(Tabla_Presupuesto[Id])</f>
        <v>403</v>
      </c>
      <c r="B38" s="2">
        <v>406</v>
      </c>
      <c r="C38" s="5">
        <f>IF(Tabla_VMN[[#This Row],[id_padre]]="",0,_xlfn.XLOOKUP(Tabla_VMN[[#This Row],[id_padre]],Tabla_VMN[Id],Tabla_VMN[Nivel],0,0,1)+1)</f>
        <v>2</v>
      </c>
      <c r="D38" s="2" t="s">
        <v>383</v>
      </c>
      <c r="E38" s="2">
        <f>IF(Tabla_VMN[[#This Row],[id_anterior]]=1,ROW()-1,SUM(ROW()-1,Tabla_VMN[[#This Row],[id_anterior]]))</f>
        <v>440</v>
      </c>
      <c r="F3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VIATICO_MONEDA_NACIONAL_PROCESOS_DEPARTAMENTOS</v>
      </c>
      <c r="G38" s="2" t="str">
        <f>CLEAN(PROPER(Tabla_VMN[[#This Row],[Nombre Opción]]))</f>
        <v>Departamentos</v>
      </c>
      <c r="H38" s="2" t="s">
        <v>1735</v>
      </c>
      <c r="I38" s="2" t="str">
        <f>_xlfn.XLOOKUP(Tabla_VMN[[#This Row],[id_padre]],Tabla_VMN[Id],Tabla_VMN[Codigo_Tecnico],"",0,1)</f>
        <v>VIATICO_MONEDA_NACIONAL_PROCESOS</v>
      </c>
      <c r="J3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/viatico-moneda-nacional/procesos/departamentos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departamentos</v>
      </c>
      <c r="L38" s="2" t="s">
        <v>1517</v>
      </c>
      <c r="M38" s="2" t="s">
        <v>1803</v>
      </c>
      <c r="N38" s="4" t="s">
        <v>360</v>
      </c>
      <c r="O38" s="4" t="s">
        <v>360</v>
      </c>
      <c r="P38" s="4"/>
      <c r="R38" s="4"/>
      <c r="S38" s="4"/>
      <c r="U38" s="7" t="s">
        <v>360</v>
      </c>
      <c r="V38" s="2" t="str">
        <f>IF(Tabla_VMN[[#This Row],[id_padre]]=Tabla_VMN[[#This Row],[Id]],"NOK","OK")</f>
        <v>OK</v>
      </c>
      <c r="W38" s="2"/>
    </row>
    <row r="39" spans="1:23" hidden="1" x14ac:dyDescent="0.5">
      <c r="A39" s="2">
        <f>MAX(Tabla_Presupuesto[Id])</f>
        <v>403</v>
      </c>
      <c r="B39" s="2">
        <v>406</v>
      </c>
      <c r="C39" s="5">
        <f>IF(Tabla_VMN[[#This Row],[id_padre]]="",0,_xlfn.XLOOKUP(Tabla_VMN[[#This Row],[id_padre]],Tabla_VMN[Id],Tabla_VMN[Nivel],0,0,1)+1)</f>
        <v>2</v>
      </c>
      <c r="D39" s="2" t="s">
        <v>378</v>
      </c>
      <c r="E39" s="2">
        <f>IF(Tabla_VMN[[#This Row],[id_anterior]]=1,ROW()-1,SUM(ROW()-1,Tabla_VMN[[#This Row],[id_anterior]]))</f>
        <v>441</v>
      </c>
      <c r="F3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VIATICO_MONEDA_NACIONAL_PROCESOS_PIE_FIRMAS</v>
      </c>
      <c r="G39" s="2" t="str">
        <f>CLEAN(PROPER(Tabla_VMN[[#This Row],[Nombre Opción]]))</f>
        <v>Pie De Firmas</v>
      </c>
      <c r="H39" s="2" t="s">
        <v>1735</v>
      </c>
      <c r="I39" s="2" t="str">
        <f>_xlfn.XLOOKUP(Tabla_VMN[[#This Row],[id_padre]],Tabla_VMN[Id],Tabla_VMN[Codigo_Tecnico],"",0,1)</f>
        <v>VIATICO_MONEDA_NACIONAL_PROCESOS</v>
      </c>
      <c r="J3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/viatico-moneda-nacional/procesos/pie-firmas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pie-firmas</v>
      </c>
      <c r="L39" s="2" t="s">
        <v>1471</v>
      </c>
      <c r="M39" s="2" t="s">
        <v>1803</v>
      </c>
      <c r="N39" s="4" t="s">
        <v>360</v>
      </c>
      <c r="O39" s="4" t="s">
        <v>360</v>
      </c>
      <c r="P39" s="4"/>
      <c r="R39" s="4" t="s">
        <v>360</v>
      </c>
      <c r="S39" s="4" t="s">
        <v>360</v>
      </c>
      <c r="U39" s="7" t="s">
        <v>360</v>
      </c>
      <c r="V39" s="2" t="str">
        <f>IF(Tabla_VMN[[#This Row],[id_padre]]=Tabla_VMN[[#This Row],[Id]],"NOK","OK")</f>
        <v>OK</v>
      </c>
      <c r="W39" s="2"/>
    </row>
    <row r="40" spans="1:23" hidden="1" x14ac:dyDescent="0.5">
      <c r="A40" s="2">
        <f>MAX(Tabla_Presupuesto[Id])</f>
        <v>403</v>
      </c>
      <c r="B40" s="2">
        <v>406</v>
      </c>
      <c r="C40" s="5">
        <f>IF(Tabla_VMN[[#This Row],[id_padre]]="",0,_xlfn.XLOOKUP(Tabla_VMN[[#This Row],[id_padre]],Tabla_VMN[Id],Tabla_VMN[Nivel],0,0,1)+1)</f>
        <v>2</v>
      </c>
      <c r="D40" s="2" t="s">
        <v>392</v>
      </c>
      <c r="E40" s="2">
        <f>IF(Tabla_VMN[[#This Row],[id_anterior]]=1,ROW()-1,SUM(ROW()-1,Tabla_VMN[[#This Row],[id_anterior]]))</f>
        <v>442</v>
      </c>
      <c r="F4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VIATICO_MONEDA_NACIONAL_PROCESOS_SEGUIMIENTO_INFORME_CUMPLIMIENTO</v>
      </c>
      <c r="G40" s="2" t="str">
        <f>CLEAN(PROPER(Tabla_VMN[[#This Row],[Nombre Opción]]))</f>
        <v>Seguimiento A Informe De Cumplimiento</v>
      </c>
      <c r="H40" s="2" t="s">
        <v>1735</v>
      </c>
      <c r="I40" s="2" t="str">
        <f>_xlfn.XLOOKUP(Tabla_VMN[[#This Row],[id_padre]],Tabla_VMN[Id],Tabla_VMN[Codigo_Tecnico],"",0,1)</f>
        <v>VIATICO_MONEDA_NACIONAL_PROCESOS</v>
      </c>
      <c r="J4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/viatico-moneda-nacional/procesos/seguimiento-informe-cumplimiento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seguimiento-informe-cumplimiento</v>
      </c>
      <c r="L40" s="2" t="s">
        <v>1370</v>
      </c>
      <c r="M40" s="2" t="s">
        <v>1803</v>
      </c>
      <c r="N40" s="4" t="s">
        <v>360</v>
      </c>
      <c r="O40" s="4" t="s">
        <v>360</v>
      </c>
      <c r="P40" s="4"/>
      <c r="R40" s="4" t="s">
        <v>360</v>
      </c>
      <c r="S40" s="4" t="s">
        <v>360</v>
      </c>
      <c r="U40" s="7" t="s">
        <v>360</v>
      </c>
      <c r="V40" s="2" t="str">
        <f>IF(Tabla_VMN[[#This Row],[id_padre]]=Tabla_VMN[[#This Row],[Id]],"NOK","OK")</f>
        <v>OK</v>
      </c>
      <c r="W40" s="2"/>
    </row>
    <row r="41" spans="1:23" hidden="1" x14ac:dyDescent="0.5">
      <c r="A41" s="2">
        <f>MAX(Tabla_Presupuesto[Id])</f>
        <v>403</v>
      </c>
      <c r="B41" s="2">
        <v>406</v>
      </c>
      <c r="C41" s="5">
        <f>IF(Tabla_VMN[[#This Row],[id_padre]]="",0,_xlfn.XLOOKUP(Tabla_VMN[[#This Row],[id_padre]],Tabla_VMN[Id],Tabla_VMN[Nivel],0,0,1)+1)</f>
        <v>2</v>
      </c>
      <c r="D41" s="2" t="s">
        <v>379</v>
      </c>
      <c r="E41" s="2">
        <f>IF(Tabla_VMN[[#This Row],[id_anterior]]=1,ROW()-1,SUM(ROW()-1,Tabla_VMN[[#This Row],[id_anterior]]))</f>
        <v>443</v>
      </c>
      <c r="F4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VIATICO_MONEDA_NACIONAL_PROCESOS_SERVICIO_EMISOR</v>
      </c>
      <c r="G41" s="2" t="str">
        <f>CLEAN(PROPER(Tabla_VMN[[#This Row],[Nombre Opción]]))</f>
        <v>Servicio Emisor</v>
      </c>
      <c r="H41" s="2" t="s">
        <v>1735</v>
      </c>
      <c r="I41" s="2" t="str">
        <f>_xlfn.XLOOKUP(Tabla_VMN[[#This Row],[id_padre]],Tabla_VMN[Id],Tabla_VMN[Codigo_Tecnico],"",0,1)</f>
        <v>VIATICO_MONEDA_NACIONAL_PROCESOS</v>
      </c>
      <c r="J4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/viatico-moneda-nacional/procesos/servicio-emisor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servicio-emisor</v>
      </c>
      <c r="L41" s="2" t="s">
        <v>1389</v>
      </c>
      <c r="M41" s="2" t="s">
        <v>1803</v>
      </c>
      <c r="N41" s="4" t="s">
        <v>360</v>
      </c>
      <c r="P41" s="4"/>
      <c r="Q41" s="4" t="s">
        <v>360</v>
      </c>
      <c r="R41" s="4"/>
      <c r="S41" s="4"/>
      <c r="U41" s="7" t="s">
        <v>360</v>
      </c>
      <c r="V41" s="2" t="str">
        <f>IF(Tabla_VMN[[#This Row],[id_padre]]=Tabla_VMN[[#This Row],[Id]],"NOK","OK")</f>
        <v>OK</v>
      </c>
      <c r="W41" s="2"/>
    </row>
    <row r="42" spans="1:23" hidden="1" x14ac:dyDescent="0.5">
      <c r="A42" s="2">
        <f>MAX(Tabla_Presupuesto[Id])</f>
        <v>403</v>
      </c>
      <c r="B42" s="2">
        <v>406</v>
      </c>
      <c r="C42" s="5">
        <f>IF(Tabla_VMN[[#This Row],[id_padre]]="",0,_xlfn.XLOOKUP(Tabla_VMN[[#This Row],[id_padre]],Tabla_VMN[Id],Tabla_VMN[Nivel],0,0,1)+1)</f>
        <v>2</v>
      </c>
      <c r="D42" s="2" t="s">
        <v>380</v>
      </c>
      <c r="E42" s="2">
        <f>IF(Tabla_VMN[[#This Row],[id_anterior]]=1,ROW()-1,SUM(ROW()-1,Tabla_VMN[[#This Row],[id_anterior]]))</f>
        <v>444</v>
      </c>
      <c r="F4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VIATICO_MONEDA_NACIONAL_PROCESOS_REGION</v>
      </c>
      <c r="G42" s="2" t="str">
        <f>CLEAN(PROPER(Tabla_VMN[[#This Row],[Nombre Opción]]))</f>
        <v>Region</v>
      </c>
      <c r="H42" s="2" t="s">
        <v>1735</v>
      </c>
      <c r="I42" s="2" t="str">
        <f>_xlfn.XLOOKUP(Tabla_VMN[[#This Row],[id_padre]],Tabla_VMN[Id],Tabla_VMN[Codigo_Tecnico],"",0,1)</f>
        <v>VIATICO_MONEDA_NACIONAL_PROCESOS</v>
      </c>
      <c r="J4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/viatico-moneda-nacional/procesos/region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region</v>
      </c>
      <c r="L42" s="2" t="s">
        <v>1402</v>
      </c>
      <c r="M42" s="2" t="s">
        <v>1803</v>
      </c>
      <c r="N42" s="4" t="s">
        <v>360</v>
      </c>
      <c r="P42" s="4"/>
      <c r="Q42" s="4" t="s">
        <v>360</v>
      </c>
      <c r="R42" s="4"/>
      <c r="S42" s="4"/>
      <c r="U42" s="7" t="s">
        <v>360</v>
      </c>
      <c r="V42" s="2" t="str">
        <f>IF(Tabla_VMN[[#This Row],[id_padre]]=Tabla_VMN[[#This Row],[Id]],"NOK","OK")</f>
        <v>OK</v>
      </c>
      <c r="W42" s="2"/>
    </row>
    <row r="43" spans="1:23" hidden="1" x14ac:dyDescent="0.5">
      <c r="A43" s="2">
        <f>MAX(Tabla_Presupuesto[Id])</f>
        <v>403</v>
      </c>
      <c r="B43" s="2">
        <v>406</v>
      </c>
      <c r="C43" s="5">
        <f>IF(Tabla_VMN[[#This Row],[id_padre]]="",0,_xlfn.XLOOKUP(Tabla_VMN[[#This Row],[id_padre]],Tabla_VMN[Id],Tabla_VMN[Nivel],0,0,1)+1)</f>
        <v>2</v>
      </c>
      <c r="D43" s="2" t="s">
        <v>381</v>
      </c>
      <c r="E43" s="2">
        <f>IF(Tabla_VMN[[#This Row],[id_anterior]]=1,ROW()-1,SUM(ROW()-1,Tabla_VMN[[#This Row],[id_anterior]]))</f>
        <v>445</v>
      </c>
      <c r="F4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VIATICO_MONEDA_NACIONAL_PROCESOS_COMUNA</v>
      </c>
      <c r="G43" s="2" t="str">
        <f>CLEAN(PROPER(Tabla_VMN[[#This Row],[Nombre Opción]]))</f>
        <v>Comuna</v>
      </c>
      <c r="H43" s="2" t="s">
        <v>1735</v>
      </c>
      <c r="I43" s="2" t="str">
        <f>_xlfn.XLOOKUP(Tabla_VMN[[#This Row],[id_padre]],Tabla_VMN[Id],Tabla_VMN[Codigo_Tecnico],"",0,1)</f>
        <v>VIATICO_MONEDA_NACIONAL_PROCESOS</v>
      </c>
      <c r="J4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/viatico-moneda-nacional/procesos/comuna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comuna</v>
      </c>
      <c r="L43" s="2" t="s">
        <v>1518</v>
      </c>
      <c r="M43" s="2" t="s">
        <v>1803</v>
      </c>
      <c r="N43" s="4" t="s">
        <v>360</v>
      </c>
      <c r="P43" s="4"/>
      <c r="Q43" s="4" t="s">
        <v>360</v>
      </c>
      <c r="R43" s="4"/>
      <c r="S43" s="4"/>
      <c r="U43" s="7" t="s">
        <v>360</v>
      </c>
      <c r="V43" s="2" t="str">
        <f>IF(Tabla_VMN[[#This Row],[id_padre]]=Tabla_VMN[[#This Row],[Id]],"NOK","OK")</f>
        <v>OK</v>
      </c>
      <c r="W43" s="2"/>
    </row>
    <row r="44" spans="1:23" hidden="1" x14ac:dyDescent="0.5">
      <c r="A44" s="2">
        <f>MAX(Tabla_Presupuesto[Id])</f>
        <v>403</v>
      </c>
      <c r="B44" s="2">
        <v>406</v>
      </c>
      <c r="C44" s="5">
        <f>IF(Tabla_VMN[[#This Row],[id_padre]]="",0,_xlfn.XLOOKUP(Tabla_VMN[[#This Row],[id_padre]],Tabla_VMN[Id],Tabla_VMN[Nivel],0,0,1)+1)</f>
        <v>2</v>
      </c>
      <c r="D44" s="2" t="s">
        <v>393</v>
      </c>
      <c r="E44" s="2">
        <f>IF(Tabla_VMN[[#This Row],[id_anterior]]=1,ROW()-1,SUM(ROW()-1,Tabla_VMN[[#This Row],[id_anterior]]))</f>
        <v>446</v>
      </c>
      <c r="F4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VIATICO_MONEDA_NACIONAL_PROCESOS_ANULACION_INFORME_CUMPLIMIENTO_SIN_ACTUALIZAR</v>
      </c>
      <c r="G44" s="2" t="str">
        <f>CLEAN(PROPER(Tabla_VMN[[#This Row],[Nombre Opción]]))</f>
        <v>Anulacion Informe De Cumplimiento Sin Actualizar</v>
      </c>
      <c r="H44" s="2" t="s">
        <v>1735</v>
      </c>
      <c r="I44" s="2" t="str">
        <f>_xlfn.XLOOKUP(Tabla_VMN[[#This Row],[id_padre]],Tabla_VMN[Id],Tabla_VMN[Codigo_Tecnico],"",0,1)</f>
        <v>VIATICO_MONEDA_NACIONAL_PROCESOS</v>
      </c>
      <c r="J4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/viatico-moneda-nacional/procesos/anulacion-informe-cumplimiento-sin-actualizar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anulacion-informe-cumplimiento-sin-actualizar</v>
      </c>
      <c r="L44" s="2" t="s">
        <v>1368</v>
      </c>
      <c r="M44" s="2" t="s">
        <v>1803</v>
      </c>
      <c r="N44" s="4" t="s">
        <v>360</v>
      </c>
      <c r="O44" s="4" t="s">
        <v>360</v>
      </c>
      <c r="P44" s="4" t="s">
        <v>360</v>
      </c>
      <c r="R44" s="4"/>
      <c r="S44" s="4" t="s">
        <v>360</v>
      </c>
      <c r="U44" s="7" t="s">
        <v>360</v>
      </c>
      <c r="V44" s="2" t="str">
        <f>IF(Tabla_VMN[[#This Row],[id_padre]]=Tabla_VMN[[#This Row],[Id]],"NOK","OK")</f>
        <v>OK</v>
      </c>
      <c r="W44" s="2"/>
    </row>
    <row r="45" spans="1:23" hidden="1" x14ac:dyDescent="0.5">
      <c r="A45" s="2">
        <f>MAX(Tabla_Presupuesto[Id])</f>
        <v>403</v>
      </c>
      <c r="B45" s="2">
        <v>406</v>
      </c>
      <c r="C45" s="5">
        <f>IF(Tabla_VMN[[#This Row],[id_padre]]="",0,_xlfn.XLOOKUP(Tabla_VMN[[#This Row],[id_padre]],Tabla_VMN[Id],Tabla_VMN[Nivel],0,0,1)+1)</f>
        <v>2</v>
      </c>
      <c r="D45" s="2" t="s">
        <v>394</v>
      </c>
      <c r="E45" s="2">
        <f>IF(Tabla_VMN[[#This Row],[id_anterior]]=1,ROW()-1,SUM(ROW()-1,Tabla_VMN[[#This Row],[id_anterior]]))</f>
        <v>447</v>
      </c>
      <c r="F4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VIATICO_MONEDA_NACIONAL_PROCESOS_GENERACION_ARCHIVO_XML</v>
      </c>
      <c r="G45" s="2" t="str">
        <f>CLEAN(PROPER(Tabla_VMN[[#This Row],[Nombre Opción]]))</f>
        <v>Generacion Archivo Xml</v>
      </c>
      <c r="H45" s="2" t="s">
        <v>1735</v>
      </c>
      <c r="I45" s="2" t="str">
        <f>_xlfn.XLOOKUP(Tabla_VMN[[#This Row],[id_padre]],Tabla_VMN[Id],Tabla_VMN[Codigo_Tecnico],"",0,1)</f>
        <v>VIATICO_MONEDA_NACIONAL_PROCESOS</v>
      </c>
      <c r="J4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/viatico-moneda-nacional/procesos/generacion-archivo-xml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generacion-archivo-xml</v>
      </c>
      <c r="L45" s="2" t="s">
        <v>1520</v>
      </c>
      <c r="M45" s="2" t="s">
        <v>1803</v>
      </c>
      <c r="N45" s="4" t="s">
        <v>360</v>
      </c>
      <c r="P45" s="4"/>
      <c r="R45" s="4"/>
      <c r="S45" s="4"/>
      <c r="T45" s="4" t="s">
        <v>360</v>
      </c>
      <c r="U45" s="7" t="s">
        <v>360</v>
      </c>
      <c r="V45" s="2" t="str">
        <f>IF(Tabla_VMN[[#This Row],[id_padre]]=Tabla_VMN[[#This Row],[Id]],"NOK","OK")</f>
        <v>OK</v>
      </c>
      <c r="W45" s="2"/>
    </row>
    <row r="46" spans="1:23" hidden="1" x14ac:dyDescent="0.5">
      <c r="A46" s="2">
        <f>MAX(Tabla_Presupuesto[Id])</f>
        <v>403</v>
      </c>
      <c r="B46" s="2">
        <v>447</v>
      </c>
      <c r="C46" s="5">
        <f>IF(Tabla_VMN[[#This Row],[id_padre]]="",0,_xlfn.XLOOKUP(Tabla_VMN[[#This Row],[id_padre]],Tabla_VMN[Id],Tabla_VMN[Nivel],0,0,1)+1)</f>
        <v>3</v>
      </c>
      <c r="D46" s="2" t="s">
        <v>395</v>
      </c>
      <c r="E46" s="2">
        <f>IF(Tabla_VMN[[#This Row],[id_anterior]]=1,ROW()-1,SUM(ROW()-1,Tabla_VMN[[#This Row],[id_anterior]]))</f>
        <v>448</v>
      </c>
      <c r="F4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VIATICO_MONEDA_NACIONAL_PROCESOS_GENERACION_ARCHIVO_XML_SIAPER</v>
      </c>
      <c r="G46" s="2" t="str">
        <f>CLEAN(PROPER(Tabla_VMN[[#This Row],[Nombre Opción]]))</f>
        <v>Siaper</v>
      </c>
      <c r="H46" s="2" t="s">
        <v>1735</v>
      </c>
      <c r="I46" s="2" t="str">
        <f>_xlfn.XLOOKUP(Tabla_VMN[[#This Row],[id_padre]],Tabla_VMN[Id],Tabla_VMN[Codigo_Tecnico],"",0,1)</f>
        <v>VIATICO_MONEDA_NACIONAL_PROCESOS_GENERACION_ARCHIVO_XML</v>
      </c>
      <c r="J4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/viatico-moneda-nacional/procesos/generacion-archivo-xml/siaper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siaper</v>
      </c>
      <c r="L46" s="2" t="s">
        <v>1521</v>
      </c>
      <c r="M46" s="2" t="s">
        <v>1803</v>
      </c>
      <c r="N46" s="4" t="s">
        <v>360</v>
      </c>
      <c r="P46" s="4"/>
      <c r="R46" s="4"/>
      <c r="S46" s="4"/>
      <c r="T46" s="4" t="s">
        <v>360</v>
      </c>
      <c r="U46" s="7" t="s">
        <v>360</v>
      </c>
      <c r="V46" s="2" t="str">
        <f>IF(Tabla_VMN[[#This Row],[id_padre]]=Tabla_VMN[[#This Row],[Id]],"NOK","OK")</f>
        <v>OK</v>
      </c>
      <c r="W46" s="2"/>
    </row>
    <row r="47" spans="1:23" hidden="1" x14ac:dyDescent="0.5">
      <c r="A47" s="2">
        <f>MAX(Tabla_Presupuesto[Id])</f>
        <v>403</v>
      </c>
      <c r="B47" s="2">
        <v>407</v>
      </c>
      <c r="C47" s="5">
        <f>IF(Tabla_VMN[[#This Row],[id_padre]]="",0,_xlfn.XLOOKUP(Tabla_VMN[[#This Row],[id_padre]],Tabla_VMN[Id],Tabla_VMN[Nivel],0,0,1)+1)</f>
        <v>2</v>
      </c>
      <c r="D47" s="2" t="s">
        <v>396</v>
      </c>
      <c r="E47" s="2">
        <f>IF(Tabla_VMN[[#This Row],[id_anterior]]=1,ROW()-1,SUM(ROW()-1,Tabla_VMN[[#This Row],[id_anterior]]))</f>
        <v>449</v>
      </c>
      <c r="F4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VIATICO_MONEDA_NACIONAL_CONSULTAS_RESOLUCION_COMISION</v>
      </c>
      <c r="G47" s="2" t="str">
        <f>CLEAN(PROPER(Tabla_VMN[[#This Row],[Nombre Opción]]))</f>
        <v>Resolución De Comisión</v>
      </c>
      <c r="H47" s="2" t="s">
        <v>1735</v>
      </c>
      <c r="I47" s="2" t="str">
        <f>_xlfn.XLOOKUP(Tabla_VMN[[#This Row],[id_padre]],Tabla_VMN[Id],Tabla_VMN[Codigo_Tecnico],"",0,1)</f>
        <v>VIATICO_MONEDA_NACIONAL_CONSULTAS</v>
      </c>
      <c r="J4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/viatico-moneda-nacional/consultas/resolucion-comision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resolucion-comision</v>
      </c>
      <c r="L47" s="2" t="s">
        <v>1457</v>
      </c>
      <c r="M47" s="2" t="s">
        <v>1803</v>
      </c>
      <c r="N47" s="4" t="s">
        <v>360</v>
      </c>
      <c r="O47" s="4" t="s">
        <v>360</v>
      </c>
      <c r="P47" s="4" t="s">
        <v>360</v>
      </c>
      <c r="Q47" s="4" t="s">
        <v>360</v>
      </c>
      <c r="R47" s="4" t="s">
        <v>360</v>
      </c>
      <c r="S47" s="4" t="s">
        <v>360</v>
      </c>
      <c r="T47" s="4" t="s">
        <v>360</v>
      </c>
      <c r="U47" s="7" t="s">
        <v>360</v>
      </c>
      <c r="V47" s="2" t="str">
        <f>IF(Tabla_VMN[[#This Row],[id_padre]]=Tabla_VMN[[#This Row],[Id]],"NOK","OK")</f>
        <v>OK</v>
      </c>
      <c r="W47" s="2"/>
    </row>
    <row r="48" spans="1:23" hidden="1" x14ac:dyDescent="0.5">
      <c r="A48" s="2">
        <f>MAX(Tabla_Presupuesto[Id])</f>
        <v>403</v>
      </c>
      <c r="B48" s="2">
        <v>407</v>
      </c>
      <c r="C48" s="5">
        <f>IF(Tabla_VMN[[#This Row],[id_padre]]="",0,_xlfn.XLOOKUP(Tabla_VMN[[#This Row],[id_padre]],Tabla_VMN[Id],Tabla_VMN[Nivel],0,0,1)+1)</f>
        <v>2</v>
      </c>
      <c r="D48" s="2" t="s">
        <v>397</v>
      </c>
      <c r="E48" s="2">
        <f>IF(Tabla_VMN[[#This Row],[id_anterior]]=1,ROW()-1,SUM(ROW()-1,Tabla_VMN[[#This Row],[id_anterior]]))</f>
        <v>450</v>
      </c>
      <c r="F4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VIATICO_MONEDA_NACIONAL_CONSULTAS_INFORME_CUMPLIMIENTO_COMISION</v>
      </c>
      <c r="G48" s="2" t="str">
        <f>CLEAN(PROPER(Tabla_VMN[[#This Row],[Nombre Opción]]))</f>
        <v>Informe Cumplimiento De Comisión</v>
      </c>
      <c r="H48" s="2" t="s">
        <v>1735</v>
      </c>
      <c r="I48" s="2" t="str">
        <f>_xlfn.XLOOKUP(Tabla_VMN[[#This Row],[id_padre]],Tabla_VMN[Id],Tabla_VMN[Codigo_Tecnico],"",0,1)</f>
        <v>VIATICO_MONEDA_NACIONAL_CONSULTAS</v>
      </c>
      <c r="J4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/viatico-moneda-nacional/consultas/informe-cumplimiento-comision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informe-cumplimiento-comision</v>
      </c>
      <c r="L48" s="2" t="s">
        <v>1519</v>
      </c>
      <c r="M48" s="2" t="s">
        <v>1803</v>
      </c>
      <c r="N48" s="4" t="s">
        <v>360</v>
      </c>
      <c r="O48" s="4" t="s">
        <v>360</v>
      </c>
      <c r="P48" s="4" t="s">
        <v>360</v>
      </c>
      <c r="Q48" s="4" t="s">
        <v>360</v>
      </c>
      <c r="R48" s="4" t="s">
        <v>360</v>
      </c>
      <c r="S48" s="4" t="s">
        <v>360</v>
      </c>
      <c r="T48" s="4" t="s">
        <v>360</v>
      </c>
      <c r="U48" s="7" t="s">
        <v>360</v>
      </c>
      <c r="V48" s="2" t="str">
        <f>IF(Tabla_VMN[[#This Row],[id_padre]]=Tabla_VMN[[#This Row],[Id]],"NOK","OK")</f>
        <v>OK</v>
      </c>
      <c r="W48" s="2"/>
    </row>
    <row r="49" spans="1:23" hidden="1" x14ac:dyDescent="0.5">
      <c r="A49" s="2">
        <f>MAX(Tabla_Presupuesto[Id])</f>
        <v>403</v>
      </c>
      <c r="B49" s="2">
        <v>407</v>
      </c>
      <c r="C49" s="5">
        <f>IF(Tabla_VMN[[#This Row],[id_padre]]="",0,_xlfn.XLOOKUP(Tabla_VMN[[#This Row],[id_padre]],Tabla_VMN[Id],Tabla_VMN[Nivel],0,0,1)+1)</f>
        <v>2</v>
      </c>
      <c r="D49" s="2" t="s">
        <v>398</v>
      </c>
      <c r="E49" s="2">
        <f>IF(Tabla_VMN[[#This Row],[id_anterior]]=1,ROW()-1,SUM(ROW()-1,Tabla_VMN[[#This Row],[id_anterior]]))</f>
        <v>451</v>
      </c>
      <c r="F4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VIATICO_MONEDA_NACIONAL_CONSULTAS_ESCALA_VIATICO</v>
      </c>
      <c r="G49" s="2" t="str">
        <f>CLEAN(PROPER(Tabla_VMN[[#This Row],[Nombre Opción]]))</f>
        <v>Escala De Viatico</v>
      </c>
      <c r="H49" s="2" t="s">
        <v>1735</v>
      </c>
      <c r="I49" s="2" t="str">
        <f>_xlfn.XLOOKUP(Tabla_VMN[[#This Row],[id_padre]],Tabla_VMN[Id],Tabla_VMN[Codigo_Tecnico],"",0,1)</f>
        <v>VIATICO_MONEDA_NACIONAL_CONSULTAS</v>
      </c>
      <c r="J4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/viatico-moneda-nacional/consultas/escala-viatico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escala-viatico</v>
      </c>
      <c r="L49" s="2" t="s">
        <v>1507</v>
      </c>
      <c r="M49" s="2" t="s">
        <v>1803</v>
      </c>
      <c r="N49" s="4" t="s">
        <v>360</v>
      </c>
      <c r="O49" s="4" t="s">
        <v>360</v>
      </c>
      <c r="P49" s="4" t="s">
        <v>360</v>
      </c>
      <c r="Q49" s="4" t="s">
        <v>360</v>
      </c>
      <c r="R49" s="4" t="s">
        <v>360</v>
      </c>
      <c r="S49" s="4" t="s">
        <v>360</v>
      </c>
      <c r="T49" s="4" t="s">
        <v>360</v>
      </c>
      <c r="U49" s="7" t="s">
        <v>360</v>
      </c>
      <c r="V49" s="2" t="str">
        <f>IF(Tabla_VMN[[#This Row],[id_padre]]=Tabla_VMN[[#This Row],[Id]],"NOK","OK")</f>
        <v>OK</v>
      </c>
      <c r="W49" s="2"/>
    </row>
    <row r="50" spans="1:23" hidden="1" x14ac:dyDescent="0.5">
      <c r="A50" s="2">
        <f>MAX(Tabla_Presupuesto[Id])</f>
        <v>403</v>
      </c>
      <c r="B50" s="2">
        <v>407</v>
      </c>
      <c r="C50" s="5">
        <f>IF(Tabla_VMN[[#This Row],[id_padre]]="",0,_xlfn.XLOOKUP(Tabla_VMN[[#This Row],[id_padre]],Tabla_VMN[Id],Tabla_VMN[Nivel],0,0,1)+1)</f>
        <v>2</v>
      </c>
      <c r="D50" s="2" t="s">
        <v>399</v>
      </c>
      <c r="E50" s="2">
        <f>IF(Tabla_VMN[[#This Row],[id_anterior]]=1,ROW()-1,SUM(ROW()-1,Tabla_VMN[[#This Row],[id_anterior]]))</f>
        <v>452</v>
      </c>
      <c r="F5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VIATICO_MONEDA_NACIONAL_CONSULTAS_EMPLEADOS_FACH</v>
      </c>
      <c r="G50" s="2" t="str">
        <f>CLEAN(PROPER(Tabla_VMN[[#This Row],[Nombre Opción]]))</f>
        <v>Empleados Fach</v>
      </c>
      <c r="H50" s="2" t="s">
        <v>1735</v>
      </c>
      <c r="I50" s="2" t="str">
        <f>_xlfn.XLOOKUP(Tabla_VMN[[#This Row],[id_padre]],Tabla_VMN[Id],Tabla_VMN[Codigo_Tecnico],"",0,1)</f>
        <v>VIATICO_MONEDA_NACIONAL_CONSULTAS</v>
      </c>
      <c r="J5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/viatico-moneda-nacional/consultas/empleados-fach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empleados-fach</v>
      </c>
      <c r="L50" s="2" t="s">
        <v>1522</v>
      </c>
      <c r="M50" s="2" t="s">
        <v>1803</v>
      </c>
      <c r="N50" s="4" t="s">
        <v>360</v>
      </c>
      <c r="O50" s="4" t="s">
        <v>360</v>
      </c>
      <c r="P50" s="4" t="s">
        <v>360</v>
      </c>
      <c r="Q50" s="4" t="s">
        <v>360</v>
      </c>
      <c r="R50" s="4" t="s">
        <v>360</v>
      </c>
      <c r="S50" s="4" t="s">
        <v>360</v>
      </c>
      <c r="T50" s="4" t="s">
        <v>360</v>
      </c>
      <c r="U50" s="7" t="s">
        <v>360</v>
      </c>
      <c r="V50" s="2" t="str">
        <f>IF(Tabla_VMN[[#This Row],[id_padre]]=Tabla_VMN[[#This Row],[Id]],"NOK","OK")</f>
        <v>OK</v>
      </c>
      <c r="W50" s="2"/>
    </row>
    <row r="51" spans="1:23" hidden="1" x14ac:dyDescent="0.5">
      <c r="A51" s="2">
        <f>MAX(Tabla_Presupuesto[Id])</f>
        <v>403</v>
      </c>
      <c r="B51" s="2">
        <v>407</v>
      </c>
      <c r="C51" s="5">
        <f>IF(Tabla_VMN[[#This Row],[id_padre]]="",0,_xlfn.XLOOKUP(Tabla_VMN[[#This Row],[id_padre]],Tabla_VMN[Id],Tabla_VMN[Nivel],0,0,1)+1)</f>
        <v>2</v>
      </c>
      <c r="D51" s="2" t="s">
        <v>400</v>
      </c>
      <c r="E51" s="2">
        <f>IF(Tabla_VMN[[#This Row],[id_anterior]]=1,ROW()-1,SUM(ROW()-1,Tabla_VMN[[#This Row],[id_anterior]]))</f>
        <v>453</v>
      </c>
      <c r="F5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VIATICO_MONEDA_NACIONAL_CONSULTAS_RESOLUCION_COMISION_POR_UNIDAD</v>
      </c>
      <c r="G51" s="2" t="str">
        <f>CLEAN(PROPER(Tabla_VMN[[#This Row],[Nombre Opción]]))</f>
        <v>Resolución De Comisión Por Unidad</v>
      </c>
      <c r="H51" s="2" t="s">
        <v>1735</v>
      </c>
      <c r="I51" s="2" t="str">
        <f>_xlfn.XLOOKUP(Tabla_VMN[[#This Row],[id_padre]],Tabla_VMN[Id],Tabla_VMN[Codigo_Tecnico],"",0,1)</f>
        <v>VIATICO_MONEDA_NACIONAL_CONSULTAS</v>
      </c>
      <c r="J5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/viatico-moneda-nacional/consultas/resolucion-comision-por-unidad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resolucion-comision-por-unidad</v>
      </c>
      <c r="L51" s="2" t="s">
        <v>1341</v>
      </c>
      <c r="M51" s="2" t="s">
        <v>1803</v>
      </c>
      <c r="N51" s="4" t="s">
        <v>360</v>
      </c>
      <c r="O51" s="4" t="s">
        <v>360</v>
      </c>
      <c r="P51" s="4" t="s">
        <v>360</v>
      </c>
      <c r="Q51" s="4" t="s">
        <v>360</v>
      </c>
      <c r="R51" s="4" t="s">
        <v>360</v>
      </c>
      <c r="S51" s="4" t="s">
        <v>360</v>
      </c>
      <c r="T51" s="4" t="s">
        <v>360</v>
      </c>
      <c r="U51" s="7" t="s">
        <v>360</v>
      </c>
      <c r="V51" s="2" t="str">
        <f>IF(Tabla_VMN[[#This Row],[id_padre]]=Tabla_VMN[[#This Row],[Id]],"NOK","OK")</f>
        <v>OK</v>
      </c>
      <c r="W51" s="2"/>
    </row>
    <row r="52" spans="1:23" hidden="1" x14ac:dyDescent="0.5">
      <c r="A52" s="2">
        <f>MAX(Tabla_Presupuesto[Id])</f>
        <v>403</v>
      </c>
      <c r="B52" s="2">
        <v>407</v>
      </c>
      <c r="C52" s="5">
        <f>IF(Tabla_VMN[[#This Row],[id_padre]]="",0,_xlfn.XLOOKUP(Tabla_VMN[[#This Row],[id_padre]],Tabla_VMN[Id],Tabla_VMN[Nivel],0,0,1)+1)</f>
        <v>2</v>
      </c>
      <c r="D52" s="2" t="s">
        <v>401</v>
      </c>
      <c r="E52" s="2">
        <f>IF(Tabla_VMN[[#This Row],[id_anterior]]=1,ROW()-1,SUM(ROW()-1,Tabla_VMN[[#This Row],[id_anterior]]))</f>
        <v>454</v>
      </c>
      <c r="F5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VIATICO_MONEDA_NACIONAL_CONSULTAS_RESOLUCION_COMISION_POR_UNIDAD_INTERNA</v>
      </c>
      <c r="G52" s="2" t="str">
        <f>CLEAN(PROPER(Tabla_VMN[[#This Row],[Nombre Opción]]))</f>
        <v>Resolución De Comisión Por Unidad Interna</v>
      </c>
      <c r="H52" s="2" t="s">
        <v>1735</v>
      </c>
      <c r="I52" s="2" t="str">
        <f>_xlfn.XLOOKUP(Tabla_VMN[[#This Row],[id_padre]],Tabla_VMN[Id],Tabla_VMN[Codigo_Tecnico],"",0,1)</f>
        <v>VIATICO_MONEDA_NACIONAL_CONSULTAS</v>
      </c>
      <c r="J5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/viatico-moneda-nacional/consultas/resolucion-comision-por-unidad-interna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resolucion-comision-por-unidad-interna</v>
      </c>
      <c r="L52" s="2" t="s">
        <v>1389</v>
      </c>
      <c r="M52" s="2" t="s">
        <v>1803</v>
      </c>
      <c r="N52" s="4" t="s">
        <v>360</v>
      </c>
      <c r="O52" s="4" t="s">
        <v>360</v>
      </c>
      <c r="P52" s="4" t="s">
        <v>360</v>
      </c>
      <c r="Q52" s="4" t="s">
        <v>360</v>
      </c>
      <c r="R52" s="4" t="s">
        <v>360</v>
      </c>
      <c r="S52" s="4" t="s">
        <v>360</v>
      </c>
      <c r="T52" s="4" t="s">
        <v>360</v>
      </c>
      <c r="U52" s="7" t="s">
        <v>360</v>
      </c>
      <c r="V52" s="2" t="str">
        <f>IF(Tabla_VMN[[#This Row],[id_padre]]=Tabla_VMN[[#This Row],[Id]],"NOK","OK")</f>
        <v>OK</v>
      </c>
      <c r="W52" s="2"/>
    </row>
    <row r="53" spans="1:23" hidden="1" x14ac:dyDescent="0.5">
      <c r="A53" s="2">
        <f>MAX(Tabla_Presupuesto[Id])</f>
        <v>403</v>
      </c>
      <c r="B53" s="2">
        <v>407</v>
      </c>
      <c r="C53" s="5">
        <f>IF(Tabla_VMN[[#This Row],[id_padre]]="",0,_xlfn.XLOOKUP(Tabla_VMN[[#This Row],[id_padre]],Tabla_VMN[Id],Tabla_VMN[Nivel],0,0,1)+1)</f>
        <v>2</v>
      </c>
      <c r="D53" s="2" t="s">
        <v>402</v>
      </c>
      <c r="E53" s="2">
        <f>IF(Tabla_VMN[[#This Row],[id_anterior]]=1,ROW()-1,SUM(ROW()-1,Tabla_VMN[[#This Row],[id_anterior]]))</f>
        <v>455</v>
      </c>
      <c r="F5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VIATICO_MONEDA_NACIONAL_CONSULTAS_RESOLUCION_COMISION_POR_EMPLEADO</v>
      </c>
      <c r="G53" s="2" t="str">
        <f>CLEAN(PROPER(Tabla_VMN[[#This Row],[Nombre Opción]]))</f>
        <v>Resolución De Comisión Por Empleado</v>
      </c>
      <c r="H53" s="2" t="s">
        <v>1735</v>
      </c>
      <c r="I53" s="2" t="str">
        <f>_xlfn.XLOOKUP(Tabla_VMN[[#This Row],[id_padre]],Tabla_VMN[Id],Tabla_VMN[Codigo_Tecnico],"",0,1)</f>
        <v>VIATICO_MONEDA_NACIONAL_CONSULTAS</v>
      </c>
      <c r="J5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/viatico-moneda-nacional/consultas/resolucion-comision-por-empleado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resolucion-comision-por-empleado</v>
      </c>
      <c r="L53" s="2" t="s">
        <v>1523</v>
      </c>
      <c r="M53" s="2" t="s">
        <v>1803</v>
      </c>
      <c r="N53" s="4" t="s">
        <v>360</v>
      </c>
      <c r="O53" s="4" t="s">
        <v>360</v>
      </c>
      <c r="P53" s="4" t="s">
        <v>360</v>
      </c>
      <c r="Q53" s="4" t="s">
        <v>360</v>
      </c>
      <c r="R53" s="4" t="s">
        <v>360</v>
      </c>
      <c r="S53" s="4" t="s">
        <v>360</v>
      </c>
      <c r="T53" s="4" t="s">
        <v>360</v>
      </c>
      <c r="U53" s="7" t="s">
        <v>360</v>
      </c>
      <c r="V53" s="2" t="str">
        <f>IF(Tabla_VMN[[#This Row],[id_padre]]=Tabla_VMN[[#This Row],[Id]],"NOK","OK")</f>
        <v>OK</v>
      </c>
      <c r="W53" s="2"/>
    </row>
    <row r="54" spans="1:23" hidden="1" x14ac:dyDescent="0.5">
      <c r="A54" s="2">
        <f>MAX(Tabla_Presupuesto[Id])</f>
        <v>403</v>
      </c>
      <c r="B54" s="2">
        <v>407</v>
      </c>
      <c r="C54" s="5">
        <f>IF(Tabla_VMN[[#This Row],[id_padre]]="",0,_xlfn.XLOOKUP(Tabla_VMN[[#This Row],[id_padre]],Tabla_VMN[Id],Tabla_VMN[Nivel],0,0,1)+1)</f>
        <v>2</v>
      </c>
      <c r="D54" s="2" t="s">
        <v>403</v>
      </c>
      <c r="E54" s="2">
        <f>IF(Tabla_VMN[[#This Row],[id_anterior]]=1,ROW()-1,SUM(ROW()-1,Tabla_VMN[[#This Row],[id_anterior]]))</f>
        <v>456</v>
      </c>
      <c r="F5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VIATICO_MONEDA_NACIONAL_CONSULTAS_SITUACION_PPTARIA_POR_UNIDAD</v>
      </c>
      <c r="G54" s="2" t="str">
        <f>CLEAN(PROPER(Tabla_VMN[[#This Row],[Nombre Opción]]))</f>
        <v>Situacion Pptaria. Por Unidad</v>
      </c>
      <c r="H54" s="2" t="s">
        <v>1735</v>
      </c>
      <c r="I54" s="2" t="str">
        <f>_xlfn.XLOOKUP(Tabla_VMN[[#This Row],[id_padre]],Tabla_VMN[Id],Tabla_VMN[Codigo_Tecnico],"",0,1)</f>
        <v>VIATICO_MONEDA_NACIONAL_CONSULTAS</v>
      </c>
      <c r="J5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/viatico-moneda-nacional/consultas/situacion-pptaria-por-unidad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situacion-pptaria-por-unidad</v>
      </c>
      <c r="L54" s="2" t="s">
        <v>1395</v>
      </c>
      <c r="M54" s="2" t="s">
        <v>1803</v>
      </c>
      <c r="N54" s="4" t="s">
        <v>360</v>
      </c>
      <c r="O54" s="4" t="s">
        <v>360</v>
      </c>
      <c r="P54" s="4" t="s">
        <v>360</v>
      </c>
      <c r="Q54" s="4" t="s">
        <v>360</v>
      </c>
      <c r="R54" s="4" t="s">
        <v>360</v>
      </c>
      <c r="S54" s="4" t="s">
        <v>360</v>
      </c>
      <c r="T54" s="4" t="s">
        <v>360</v>
      </c>
      <c r="U54" s="7" t="s">
        <v>360</v>
      </c>
      <c r="V54" s="2" t="str">
        <f>IF(Tabla_VMN[[#This Row],[id_padre]]=Tabla_VMN[[#This Row],[Id]],"NOK","OK")</f>
        <v>OK</v>
      </c>
      <c r="W54" s="2"/>
    </row>
    <row r="55" spans="1:23" hidden="1" x14ac:dyDescent="0.5">
      <c r="A55" s="2">
        <f>MAX(Tabla_Presupuesto[Id])</f>
        <v>403</v>
      </c>
      <c r="B55" s="2">
        <v>407</v>
      </c>
      <c r="C55" s="5">
        <f>IF(Tabla_VMN[[#This Row],[id_padre]]="",0,_xlfn.XLOOKUP(Tabla_VMN[[#This Row],[id_padre]],Tabla_VMN[Id],Tabla_VMN[Nivel],0,0,1)+1)</f>
        <v>2</v>
      </c>
      <c r="D55" s="2" t="s">
        <v>404</v>
      </c>
      <c r="E55" s="2">
        <f>IF(Tabla_VMN[[#This Row],[id_anterior]]=1,ROW()-1,SUM(ROW()-1,Tabla_VMN[[#This Row],[id_anterior]]))</f>
        <v>457</v>
      </c>
      <c r="F5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VIATICO_MONEDA_NACIONAL_CONSULTAS_SITUACION_PPTARIA_POR_UNIDAD_INTERNA</v>
      </c>
      <c r="G55" s="2" t="str">
        <f>CLEAN(PROPER(Tabla_VMN[[#This Row],[Nombre Opción]]))</f>
        <v>Situacion Pptaria. Por Unidad Interna</v>
      </c>
      <c r="H55" s="2" t="s">
        <v>1735</v>
      </c>
      <c r="I55" s="2" t="str">
        <f>_xlfn.XLOOKUP(Tabla_VMN[[#This Row],[id_padre]],Tabla_VMN[Id],Tabla_VMN[Codigo_Tecnico],"",0,1)</f>
        <v>VIATICO_MONEDA_NACIONAL_CONSULTAS</v>
      </c>
      <c r="J5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/viatico-moneda-nacional/consultas/situacion-pptaria-por-unidad-interna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situacion-pptaria-por-unidad-interna</v>
      </c>
      <c r="L55" s="2" t="s">
        <v>1395</v>
      </c>
      <c r="M55" s="2" t="s">
        <v>1803</v>
      </c>
      <c r="N55" s="4" t="s">
        <v>360</v>
      </c>
      <c r="O55" s="4" t="s">
        <v>360</v>
      </c>
      <c r="P55" s="4" t="s">
        <v>360</v>
      </c>
      <c r="Q55" s="4" t="s">
        <v>360</v>
      </c>
      <c r="R55" s="4" t="s">
        <v>360</v>
      </c>
      <c r="S55" s="4" t="s">
        <v>360</v>
      </c>
      <c r="T55" s="4" t="s">
        <v>360</v>
      </c>
      <c r="U55" s="7" t="s">
        <v>360</v>
      </c>
      <c r="V55" s="2" t="str">
        <f>IF(Tabla_VMN[[#This Row],[id_padre]]=Tabla_VMN[[#This Row],[Id]],"NOK","OK")</f>
        <v>OK</v>
      </c>
      <c r="W55" s="2"/>
    </row>
    <row r="56" spans="1:23" hidden="1" x14ac:dyDescent="0.5">
      <c r="A56" s="2">
        <f>MAX(Tabla_Presupuesto[Id])</f>
        <v>403</v>
      </c>
      <c r="B56" s="2">
        <v>407</v>
      </c>
      <c r="C56" s="5">
        <f>IF(Tabla_VMN[[#This Row],[id_padre]]="",0,_xlfn.XLOOKUP(Tabla_VMN[[#This Row],[id_padre]],Tabla_VMN[Id],Tabla_VMN[Nivel],0,0,1)+1)</f>
        <v>2</v>
      </c>
      <c r="D56" s="2" t="s">
        <v>405</v>
      </c>
      <c r="E56" s="2">
        <f>IF(Tabla_VMN[[#This Row],[id_anterior]]=1,ROW()-1,SUM(ROW()-1,Tabla_VMN[[#This Row],[id_anterior]]))</f>
        <v>458</v>
      </c>
      <c r="F5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VIATICO_MONEDA_NACIONAL_CONSULTAS_SITUACION_RESOLUCION_COMISION</v>
      </c>
      <c r="G56" s="2" t="str">
        <f>CLEAN(PROPER(Tabla_VMN[[#This Row],[Nombre Opción]]))</f>
        <v>Situacion De Resolucion De Comision</v>
      </c>
      <c r="H56" s="2" t="s">
        <v>1735</v>
      </c>
      <c r="I56" s="2" t="str">
        <f>_xlfn.XLOOKUP(Tabla_VMN[[#This Row],[id_padre]],Tabla_VMN[Id],Tabla_VMN[Codigo_Tecnico],"",0,1)</f>
        <v>VIATICO_MONEDA_NACIONAL_CONSULTAS</v>
      </c>
      <c r="J5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/viatico-moneda-nacional/consultas/situacion-resolucion-comision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situacion-resolucion-comision</v>
      </c>
      <c r="L56" s="2" t="s">
        <v>1333</v>
      </c>
      <c r="M56" s="2" t="s">
        <v>1803</v>
      </c>
      <c r="N56" s="4" t="s">
        <v>360</v>
      </c>
      <c r="O56" s="4" t="s">
        <v>360</v>
      </c>
      <c r="P56" s="4" t="s">
        <v>360</v>
      </c>
      <c r="Q56" s="4" t="s">
        <v>360</v>
      </c>
      <c r="R56" s="4" t="s">
        <v>360</v>
      </c>
      <c r="S56" s="4" t="s">
        <v>360</v>
      </c>
      <c r="T56" s="4" t="s">
        <v>360</v>
      </c>
      <c r="U56" s="7" t="s">
        <v>360</v>
      </c>
      <c r="V56" s="2" t="str">
        <f>IF(Tabla_VMN[[#This Row],[id_padre]]=Tabla_VMN[[#This Row],[Id]],"NOK","OK")</f>
        <v>OK</v>
      </c>
      <c r="W56" s="2"/>
    </row>
    <row r="57" spans="1:23" hidden="1" x14ac:dyDescent="0.5">
      <c r="A57" s="2">
        <f>MAX(Tabla_Presupuesto[Id])</f>
        <v>403</v>
      </c>
      <c r="B57" s="2">
        <v>407</v>
      </c>
      <c r="C57" s="5">
        <f>IF(Tabla_VMN[[#This Row],[id_padre]]="",0,_xlfn.XLOOKUP(Tabla_VMN[[#This Row],[id_padre]],Tabla_VMN[Id],Tabla_VMN[Nivel],0,0,1)+1)</f>
        <v>2</v>
      </c>
      <c r="D57" s="2" t="s">
        <v>406</v>
      </c>
      <c r="E57" s="2">
        <f>IF(Tabla_VMN[[#This Row],[id_anterior]]=1,ROW()-1,SUM(ROW()-1,Tabla_VMN[[#This Row],[id_anterior]]))</f>
        <v>459</v>
      </c>
      <c r="F5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VIATICO_MONEDA_NACIONAL_CONSULTAS_SITUACION_INFORMES_CUMPLIMIENTO</v>
      </c>
      <c r="G57" s="2" t="str">
        <f>CLEAN(PROPER(Tabla_VMN[[#This Row],[Nombre Opción]]))</f>
        <v>Situacion De Informes De Cumplimiento</v>
      </c>
      <c r="H57" s="2" t="s">
        <v>1735</v>
      </c>
      <c r="I57" s="2" t="str">
        <f>_xlfn.XLOOKUP(Tabla_VMN[[#This Row],[id_padre]],Tabla_VMN[Id],Tabla_VMN[Codigo_Tecnico],"",0,1)</f>
        <v>VIATICO_MONEDA_NACIONAL_CONSULTAS</v>
      </c>
      <c r="J5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/viatico-moneda-nacional/consultas/situacion-informes-cumplimiento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situacion-informes-cumplimiento</v>
      </c>
      <c r="L57" s="2" t="s">
        <v>1386</v>
      </c>
      <c r="M57" s="2" t="s">
        <v>1803</v>
      </c>
      <c r="N57" s="4" t="s">
        <v>360</v>
      </c>
      <c r="O57" s="4" t="s">
        <v>360</v>
      </c>
      <c r="P57" s="4" t="s">
        <v>360</v>
      </c>
      <c r="Q57" s="4" t="s">
        <v>360</v>
      </c>
      <c r="R57" s="4" t="s">
        <v>360</v>
      </c>
      <c r="S57" s="4" t="s">
        <v>360</v>
      </c>
      <c r="T57" s="4" t="s">
        <v>360</v>
      </c>
      <c r="U57" s="7" t="s">
        <v>360</v>
      </c>
      <c r="V57" s="2" t="str">
        <f>IF(Tabla_VMN[[#This Row],[id_padre]]=Tabla_VMN[[#This Row],[Id]],"NOK","OK")</f>
        <v>OK</v>
      </c>
      <c r="W57" s="2"/>
    </row>
    <row r="58" spans="1:23" hidden="1" x14ac:dyDescent="0.5">
      <c r="A58" s="2">
        <f>MAX(Tabla_Presupuesto[Id])</f>
        <v>403</v>
      </c>
      <c r="B58" s="2">
        <v>407</v>
      </c>
      <c r="C58" s="5">
        <f>IF(Tabla_VMN[[#This Row],[id_padre]]="",0,_xlfn.XLOOKUP(Tabla_VMN[[#This Row],[id_padre]],Tabla_VMN[Id],Tabla_VMN[Nivel],0,0,1)+1)</f>
        <v>2</v>
      </c>
      <c r="D58" s="2" t="s">
        <v>407</v>
      </c>
      <c r="E58" s="2">
        <f>IF(Tabla_VMN[[#This Row],[id_anterior]]=1,ROW()-1,SUM(ROW()-1,Tabla_VMN[[#This Row],[id_anterior]]))</f>
        <v>460</v>
      </c>
      <c r="F5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VIATICO_MONEDA_NACIONAL_CONSULTAS_TRAZABILIDAD_PROCESO_RESOLUCIONES_POR_UNIDAD</v>
      </c>
      <c r="G58" s="2" t="str">
        <f>CLEAN(PROPER(Tabla_VMN[[#This Row],[Nombre Opción]]))</f>
        <v>Trazabilidad Del Proceso De Resoluciones Por Unidad</v>
      </c>
      <c r="H58" s="2" t="s">
        <v>1735</v>
      </c>
      <c r="I58" s="2" t="str">
        <f>_xlfn.XLOOKUP(Tabla_VMN[[#This Row],[id_padre]],Tabla_VMN[Id],Tabla_VMN[Codigo_Tecnico],"",0,1)</f>
        <v>VIATICO_MONEDA_NACIONAL_CONSULTAS</v>
      </c>
      <c r="J5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/viatico-moneda-nacional/consultas/trazabilidad-proceso-resoluciones-por-unidad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trazabilidad-proceso-resoluciones-por-unidad</v>
      </c>
      <c r="L58" s="2" t="s">
        <v>1370</v>
      </c>
      <c r="M58" s="2" t="s">
        <v>1803</v>
      </c>
      <c r="N58" s="4" t="s">
        <v>360</v>
      </c>
      <c r="O58" s="4" t="s">
        <v>360</v>
      </c>
      <c r="P58" s="4" t="s">
        <v>360</v>
      </c>
      <c r="Q58" s="4" t="s">
        <v>360</v>
      </c>
      <c r="R58" s="4" t="s">
        <v>360</v>
      </c>
      <c r="S58" s="4" t="s">
        <v>360</v>
      </c>
      <c r="T58" s="4" t="s">
        <v>360</v>
      </c>
      <c r="U58" s="7" t="s">
        <v>360</v>
      </c>
      <c r="V58" s="2" t="str">
        <f>IF(Tabla_VMN[[#This Row],[id_padre]]=Tabla_VMN[[#This Row],[Id]],"NOK","OK")</f>
        <v>OK</v>
      </c>
      <c r="W58" s="2"/>
    </row>
    <row r="59" spans="1:23" hidden="1" x14ac:dyDescent="0.5">
      <c r="A59" s="2">
        <f>MAX(Tabla_Presupuesto[Id])</f>
        <v>403</v>
      </c>
      <c r="B59" s="2">
        <v>407</v>
      </c>
      <c r="C59" s="5">
        <f>IF(Tabla_VMN[[#This Row],[id_padre]]="",0,_xlfn.XLOOKUP(Tabla_VMN[[#This Row],[id_padre]],Tabla_VMN[Id],Tabla_VMN[Nivel],0,0,1)+1)</f>
        <v>2</v>
      </c>
      <c r="D59" s="2" t="s">
        <v>408</v>
      </c>
      <c r="E59" s="2">
        <f>IF(Tabla_VMN[[#This Row],[id_anterior]]=1,ROW()-1,SUM(ROW()-1,Tabla_VMN[[#This Row],[id_anterior]]))</f>
        <v>461</v>
      </c>
      <c r="F5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VIATICO_MONEDA_NACIONAL_CONSULTAS_TRAZABILIDAD_PROCESO_RESOLUCIONES_POR_UUII</v>
      </c>
      <c r="G59" s="2" t="str">
        <f>CLEAN(PROPER(Tabla_VMN[[#This Row],[Nombre Opción]]))</f>
        <v>Trazabilidad Del Proceso De Resoluciones Por Uu.Ii.</v>
      </c>
      <c r="H59" s="2" t="s">
        <v>1735</v>
      </c>
      <c r="I59" s="2" t="str">
        <f>_xlfn.XLOOKUP(Tabla_VMN[[#This Row],[id_padre]],Tabla_VMN[Id],Tabla_VMN[Codigo_Tecnico],"",0,1)</f>
        <v>VIATICO_MONEDA_NACIONAL_CONSULTAS</v>
      </c>
      <c r="J5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/viatico-moneda-nacional/consultas/trazabilidad-proceso-resoluciones-por-uuii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trazabilidad-proceso-resoluciones-por-uuii</v>
      </c>
      <c r="L59" s="2" t="s">
        <v>1370</v>
      </c>
      <c r="M59" s="2" t="s">
        <v>1803</v>
      </c>
      <c r="N59" s="4" t="s">
        <v>360</v>
      </c>
      <c r="O59" s="4" t="s">
        <v>360</v>
      </c>
      <c r="P59" s="4" t="s">
        <v>360</v>
      </c>
      <c r="Q59" s="4" t="s">
        <v>360</v>
      </c>
      <c r="R59" s="4" t="s">
        <v>360</v>
      </c>
      <c r="S59" s="4" t="s">
        <v>360</v>
      </c>
      <c r="T59" s="4" t="s">
        <v>360</v>
      </c>
      <c r="U59" s="7" t="s">
        <v>360</v>
      </c>
      <c r="V59" s="2" t="str">
        <f>IF(Tabla_VMN[[#This Row],[id_padre]]=Tabla_VMN[[#This Row],[Id]],"NOK","OK")</f>
        <v>OK</v>
      </c>
      <c r="W59" s="2"/>
    </row>
    <row r="60" spans="1:23" hidden="1" x14ac:dyDescent="0.5">
      <c r="A60" s="2">
        <f>MAX(Tabla_Presupuesto[Id])</f>
        <v>403</v>
      </c>
      <c r="B60" s="2">
        <v>407</v>
      </c>
      <c r="C60" s="5">
        <f>IF(Tabla_VMN[[#This Row],[id_padre]]="",0,_xlfn.XLOOKUP(Tabla_VMN[[#This Row],[id_padre]],Tabla_VMN[Id],Tabla_VMN[Nivel],0,0,1)+1)</f>
        <v>2</v>
      </c>
      <c r="D60" s="2" t="s">
        <v>409</v>
      </c>
      <c r="E60" s="2">
        <f>IF(Tabla_VMN[[#This Row],[id_anterior]]=1,ROW()-1,SUM(ROW()-1,Tabla_VMN[[#This Row],[id_anterior]]))</f>
        <v>462</v>
      </c>
      <c r="F6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VIATICO_MONEDA_NACIONAL_CONSULTAS_TRAZABILIDAD_PROCESO_RESOLUCIONES</v>
      </c>
      <c r="G60" s="2" t="str">
        <f>CLEAN(PROPER(Tabla_VMN[[#This Row],[Nombre Opción]]))</f>
        <v>Trazabilidad Del Proceso De Resoluciones</v>
      </c>
      <c r="H60" s="2" t="s">
        <v>1735</v>
      </c>
      <c r="I60" s="2" t="str">
        <f>_xlfn.XLOOKUP(Tabla_VMN[[#This Row],[id_padre]],Tabla_VMN[Id],Tabla_VMN[Codigo_Tecnico],"",0,1)</f>
        <v>VIATICO_MONEDA_NACIONAL_CONSULTAS</v>
      </c>
      <c r="J6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/viatico-moneda-nacional/consultas/trazabilidad-proceso-resoluciones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trazabilidad-proceso-resoluciones</v>
      </c>
      <c r="L60" s="2" t="s">
        <v>1524</v>
      </c>
      <c r="M60" s="2" t="s">
        <v>1803</v>
      </c>
      <c r="N60" s="4" t="s">
        <v>360</v>
      </c>
      <c r="O60" s="4" t="s">
        <v>360</v>
      </c>
      <c r="P60" s="4" t="s">
        <v>360</v>
      </c>
      <c r="Q60" s="4" t="s">
        <v>360</v>
      </c>
      <c r="R60" s="4" t="s">
        <v>360</v>
      </c>
      <c r="S60" s="4" t="s">
        <v>360</v>
      </c>
      <c r="T60" s="4" t="s">
        <v>360</v>
      </c>
      <c r="U60" s="7" t="s">
        <v>360</v>
      </c>
      <c r="V60" s="2" t="str">
        <f>IF(Tabla_VMN[[#This Row],[id_padre]]=Tabla_VMN[[#This Row],[Id]],"NOK","OK")</f>
        <v>OK</v>
      </c>
      <c r="W60" s="2"/>
    </row>
    <row r="61" spans="1:23" hidden="1" x14ac:dyDescent="0.5">
      <c r="A61" s="2">
        <f>MAX(Tabla_Presupuesto[Id])</f>
        <v>403</v>
      </c>
      <c r="B61" s="2">
        <v>462</v>
      </c>
      <c r="C61" s="5">
        <f>IF(Tabla_VMN[[#This Row],[id_padre]]="",0,_xlfn.XLOOKUP(Tabla_VMN[[#This Row],[id_padre]],Tabla_VMN[Id],Tabla_VMN[Nivel],0,0,1)+1)</f>
        <v>3</v>
      </c>
      <c r="D61" s="2" t="s">
        <v>410</v>
      </c>
      <c r="E61" s="2">
        <f>IF(Tabla_VMN[[#This Row],[id_anterior]]=1,ROW()-1,SUM(ROW()-1,Tabla_VMN[[#This Row],[id_anterior]]))</f>
        <v>463</v>
      </c>
      <c r="F6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VIATICO_MONEDA_NACIONAL_CONSULTAS_TRAZABILIDAD_PROCESO_RESOLUCIONES_QUINTERO</v>
      </c>
      <c r="G61" s="2" t="str">
        <f>CLEAN(PROPER(Tabla_VMN[[#This Row],[Nombre Opción]]))</f>
        <v>Quintero</v>
      </c>
      <c r="H61" s="2" t="s">
        <v>1735</v>
      </c>
      <c r="I61" s="2" t="str">
        <f>_xlfn.XLOOKUP(Tabla_VMN[[#This Row],[id_padre]],Tabla_VMN[Id],Tabla_VMN[Codigo_Tecnico],"",0,1)</f>
        <v>VIATICO_MONEDA_NACIONAL_CONSULTAS_TRAZABILIDAD_PROCESO_RESOLUCIONES</v>
      </c>
      <c r="J6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/viatico-moneda-nacional/consultas/trazabilidad-proceso-resoluciones/quintero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quintero</v>
      </c>
      <c r="L61" s="2" t="s">
        <v>1525</v>
      </c>
      <c r="M61" s="2" t="s">
        <v>1803</v>
      </c>
      <c r="N61" s="4" t="s">
        <v>360</v>
      </c>
      <c r="O61" s="4" t="s">
        <v>360</v>
      </c>
      <c r="P61" s="4" t="s">
        <v>360</v>
      </c>
      <c r="Q61" s="4" t="s">
        <v>360</v>
      </c>
      <c r="R61" s="4" t="s">
        <v>360</v>
      </c>
      <c r="S61" s="4" t="s">
        <v>360</v>
      </c>
      <c r="T61" s="4" t="s">
        <v>360</v>
      </c>
      <c r="U61" s="7" t="s">
        <v>360</v>
      </c>
      <c r="V61" s="2" t="str">
        <f>IF(Tabla_VMN[[#This Row],[id_padre]]=Tabla_VMN[[#This Row],[Id]],"NOK","OK")</f>
        <v>OK</v>
      </c>
      <c r="W61" s="2"/>
    </row>
    <row r="62" spans="1:23" hidden="1" x14ac:dyDescent="0.5">
      <c r="A62" s="2">
        <f>MAX(Tabla_Presupuesto[Id])</f>
        <v>403</v>
      </c>
      <c r="B62" s="2">
        <v>407</v>
      </c>
      <c r="C62" s="5">
        <f>IF(Tabla_VMN[[#This Row],[id_padre]]="",0,_xlfn.XLOOKUP(Tabla_VMN[[#This Row],[id_padre]],Tabla_VMN[Id],Tabla_VMN[Nivel],0,0,1)+1)</f>
        <v>2</v>
      </c>
      <c r="D62" s="2" t="s">
        <v>412</v>
      </c>
      <c r="E62" s="2">
        <f>IF(Tabla_VMN[[#This Row],[id_anterior]]=1,ROW()-1,SUM(ROW()-1,Tabla_VMN[[#This Row],[id_anterior]]))</f>
        <v>464</v>
      </c>
      <c r="F6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VIATICO_MONEDA_NACIONAL_CONSULTAS_CATEGORIZACION</v>
      </c>
      <c r="G62" s="2" t="str">
        <f>CLEAN(PROPER(Tabla_VMN[[#This Row],[Nombre Opción]]))</f>
        <v>Categorizacion</v>
      </c>
      <c r="H62" s="2" t="s">
        <v>1735</v>
      </c>
      <c r="I62" s="2" t="str">
        <f>_xlfn.XLOOKUP(Tabla_VMN[[#This Row],[id_padre]],Tabla_VMN[Id],Tabla_VMN[Codigo_Tecnico],"",0,1)</f>
        <v>VIATICO_MONEDA_NACIONAL_CONSULTAS</v>
      </c>
      <c r="J6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/viatico-moneda-nacional/consultas/categorizacion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</v>
      </c>
      <c r="L62" s="2" t="s">
        <v>1407</v>
      </c>
      <c r="M62" s="2" t="s">
        <v>1803</v>
      </c>
      <c r="N62" s="4" t="s">
        <v>360</v>
      </c>
      <c r="O62" s="4" t="s">
        <v>360</v>
      </c>
      <c r="P62" s="4" t="s">
        <v>360</v>
      </c>
      <c r="Q62" s="4" t="s">
        <v>360</v>
      </c>
      <c r="R62" s="4" t="s">
        <v>360</v>
      </c>
      <c r="S62" s="4" t="s">
        <v>360</v>
      </c>
      <c r="T62" s="4" t="s">
        <v>360</v>
      </c>
      <c r="U62" s="7" t="s">
        <v>360</v>
      </c>
      <c r="V62" s="2" t="str">
        <f>IF(Tabla_VMN[[#This Row],[id_padre]]=Tabla_VMN[[#This Row],[Id]],"NOK","OK")</f>
        <v>OK</v>
      </c>
      <c r="W62" s="2"/>
    </row>
    <row r="63" spans="1:23" hidden="1" x14ac:dyDescent="0.5">
      <c r="A63" s="2">
        <f>MAX(Tabla_Presupuesto[Id])</f>
        <v>403</v>
      </c>
      <c r="B63" s="2">
        <v>464</v>
      </c>
      <c r="C63" s="5">
        <f>IF(Tabla_VMN[[#This Row],[id_padre]]="",0,_xlfn.XLOOKUP(Tabla_VMN[[#This Row],[id_padre]],Tabla_VMN[Id],Tabla_VMN[Nivel],0,0,1)+1)</f>
        <v>3</v>
      </c>
      <c r="D63" s="2" t="s">
        <v>413</v>
      </c>
      <c r="E63" s="2">
        <f>IF(Tabla_VMN[[#This Row],[id_anterior]]=1,ROW()-1,SUM(ROW()-1,Tabla_VMN[[#This Row],[id_anterior]]))</f>
        <v>465</v>
      </c>
      <c r="F6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VIATICO_MONEDA_NACIONAL_CONSULTAS_CATEGORIZACION_RESOL_COMISION</v>
      </c>
      <c r="G63" s="2" t="str">
        <f>CLEAN(PROPER(Tabla_VMN[[#This Row],[Nombre Opción]]))</f>
        <v>Resol. De Comisión</v>
      </c>
      <c r="H63" s="2" t="s">
        <v>1735</v>
      </c>
      <c r="I63" s="2" t="str">
        <f>_xlfn.XLOOKUP(Tabla_VMN[[#This Row],[id_padre]],Tabla_VMN[Id],Tabla_VMN[Codigo_Tecnico],"",0,1)</f>
        <v>VIATICO_MONEDA_NACIONAL_CONSULTAS_CATEGORIZACION</v>
      </c>
      <c r="J6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/viatico-moneda-nacional/consultas/categorizacion/resol-comision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resol-comision</v>
      </c>
      <c r="L63" s="2" t="s">
        <v>1457</v>
      </c>
      <c r="M63" s="2" t="s">
        <v>1803</v>
      </c>
      <c r="N63" s="4" t="s">
        <v>360</v>
      </c>
      <c r="O63" s="4" t="s">
        <v>360</v>
      </c>
      <c r="P63" s="4" t="s">
        <v>360</v>
      </c>
      <c r="Q63" s="4" t="s">
        <v>360</v>
      </c>
      <c r="R63" s="4" t="s">
        <v>360</v>
      </c>
      <c r="S63" s="4" t="s">
        <v>360</v>
      </c>
      <c r="T63" s="4" t="s">
        <v>360</v>
      </c>
      <c r="U63" s="7" t="s">
        <v>360</v>
      </c>
      <c r="V63" s="2" t="str">
        <f>IF(Tabla_VMN[[#This Row],[id_padre]]=Tabla_VMN[[#This Row],[Id]],"NOK","OK")</f>
        <v>OK</v>
      </c>
      <c r="W63" s="2"/>
    </row>
    <row r="64" spans="1:23" hidden="1" x14ac:dyDescent="0.5">
      <c r="A64" s="2">
        <f>MAX(Tabla_Presupuesto[Id])</f>
        <v>403</v>
      </c>
      <c r="B64" s="2">
        <v>465</v>
      </c>
      <c r="C64" s="5">
        <f>IF(Tabla_VMN[[#This Row],[id_padre]]="",0,_xlfn.XLOOKUP(Tabla_VMN[[#This Row],[id_padre]],Tabla_VMN[Id],Tabla_VMN[Nivel],0,0,1)+1)</f>
        <v>4</v>
      </c>
      <c r="D64" s="2" t="s">
        <v>411</v>
      </c>
      <c r="E64" s="2">
        <f>IF(Tabla_VMN[[#This Row],[id_anterior]]=1,ROW()-1,SUM(ROW()-1,Tabla_VMN[[#This Row],[id_anterior]]))</f>
        <v>466</v>
      </c>
      <c r="F6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VIATICO_MONEDA_NACIONAL_CONSULTAS_CATEGORIZACION_RESOL_COMISION_CATEGORIZADOS_POR_ENTIDAD</v>
      </c>
      <c r="G64" s="2" t="str">
        <f>CLEAN(PROPER(Tabla_VMN[[#This Row],[Nombre Opción]]))</f>
        <v>Categorizados Por Entidad</v>
      </c>
      <c r="H64" s="2" t="s">
        <v>1735</v>
      </c>
      <c r="I64" s="2" t="str">
        <f>_xlfn.XLOOKUP(Tabla_VMN[[#This Row],[id_padre]],Tabla_VMN[Id],Tabla_VMN[Codigo_Tecnico],"",0,1)</f>
        <v>VIATICO_MONEDA_NACIONAL_CONSULTAS_CATEGORIZACION_RESOL_COMISION</v>
      </c>
      <c r="J6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/viatico-moneda-nacional/consultas/categorizacion/resol-comision/categorizados-por-entidad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categorizados-por-entidad</v>
      </c>
      <c r="L64" s="2" t="s">
        <v>1367</v>
      </c>
      <c r="M64" s="2" t="s">
        <v>1803</v>
      </c>
      <c r="N64" s="4" t="s">
        <v>360</v>
      </c>
      <c r="O64" s="4" t="s">
        <v>360</v>
      </c>
      <c r="P64" s="4" t="s">
        <v>360</v>
      </c>
      <c r="Q64" s="4" t="s">
        <v>360</v>
      </c>
      <c r="R64" s="4" t="s">
        <v>360</v>
      </c>
      <c r="S64" s="4" t="s">
        <v>360</v>
      </c>
      <c r="T64" s="4" t="s">
        <v>360</v>
      </c>
      <c r="U64" s="7" t="s">
        <v>360</v>
      </c>
      <c r="V64" s="2" t="str">
        <f>IF(Tabla_VMN[[#This Row],[id_padre]]=Tabla_VMN[[#This Row],[Id]],"NOK","OK")</f>
        <v>OK</v>
      </c>
      <c r="W64" s="2"/>
    </row>
    <row r="65" spans="1:23" hidden="1" x14ac:dyDescent="0.5">
      <c r="A65" s="2">
        <f>MAX(Tabla_Presupuesto[Id])</f>
        <v>403</v>
      </c>
      <c r="B65" s="2">
        <v>407</v>
      </c>
      <c r="C65" s="5">
        <f>IF(Tabla_VMN[[#This Row],[id_padre]]="",0,_xlfn.XLOOKUP(Tabla_VMN[[#This Row],[id_padre]],Tabla_VMN[Id],Tabla_VMN[Nivel],0,0,1)+1)</f>
        <v>2</v>
      </c>
      <c r="D65" s="2" t="s">
        <v>414</v>
      </c>
      <c r="E65" s="2">
        <f>IF(Tabla_VMN[[#This Row],[id_anterior]]=1,ROW()-1,SUM(ROW()-1,Tabla_VMN[[#This Row],[id_anterior]]))</f>
        <v>467</v>
      </c>
      <c r="F6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VIATICO_MONEDA_NACIONAL_CONSULTAS_GATEORIZACION_RESOLUCION_COMISION</v>
      </c>
      <c r="G65" s="2" t="str">
        <f>CLEAN(PROPER(Tabla_VMN[[#This Row],[Nombre Opción]]))</f>
        <v>Gateorizacion Resolucion De Comisión</v>
      </c>
      <c r="H65" s="2" t="s">
        <v>1735</v>
      </c>
      <c r="I65" s="2" t="str">
        <f>_xlfn.XLOOKUP(Tabla_VMN[[#This Row],[id_padre]],Tabla_VMN[Id],Tabla_VMN[Codigo_Tecnico],"",0,1)</f>
        <v>VIATICO_MONEDA_NACIONAL_CONSULTAS</v>
      </c>
      <c r="J6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/viatico-moneda-nacional/consultas/gateorizacion-resolucion-comision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gateorizacion-resolucion-comision</v>
      </c>
      <c r="L65" s="2" t="s">
        <v>1407</v>
      </c>
      <c r="M65" s="2" t="s">
        <v>1803</v>
      </c>
      <c r="N65" s="4" t="s">
        <v>360</v>
      </c>
      <c r="O65" s="4" t="s">
        <v>360</v>
      </c>
      <c r="P65" s="4" t="s">
        <v>360</v>
      </c>
      <c r="Q65" s="4" t="s">
        <v>360</v>
      </c>
      <c r="R65" s="4" t="s">
        <v>360</v>
      </c>
      <c r="S65" s="4" t="s">
        <v>360</v>
      </c>
      <c r="T65" s="4" t="s">
        <v>360</v>
      </c>
      <c r="U65" s="7" t="s">
        <v>360</v>
      </c>
      <c r="V65" s="2" t="str">
        <f>IF(Tabla_VMN[[#This Row],[id_padre]]=Tabla_VMN[[#This Row],[Id]],"NOK","OK")</f>
        <v>OK</v>
      </c>
      <c r="W65" s="2"/>
    </row>
    <row r="66" spans="1:23" hidden="1" x14ac:dyDescent="0.5">
      <c r="A66" s="2">
        <f>MAX(Tabla_Presupuesto[Id])</f>
        <v>403</v>
      </c>
      <c r="B66" s="2">
        <v>467</v>
      </c>
      <c r="C66" s="5">
        <f>IF(Tabla_VMN[[#This Row],[id_padre]]="",0,_xlfn.XLOOKUP(Tabla_VMN[[#This Row],[id_padre]],Tabla_VMN[Id],Tabla_VMN[Nivel],0,0,1)+1)</f>
        <v>3</v>
      </c>
      <c r="D66" s="2" t="s">
        <v>415</v>
      </c>
      <c r="E66" s="2">
        <f>IF(Tabla_VMN[[#This Row],[id_anterior]]=1,ROW()-1,SUM(ROW()-1,Tabla_VMN[[#This Row],[id_anterior]]))</f>
        <v>468</v>
      </c>
      <c r="F6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VIATICO_MONEDA_NACIONAL_CONSULTAS_GATEORIZACION_RESOLUCION_COMISION_CATEGORIZADOS_POR_UNIDAD</v>
      </c>
      <c r="G66" s="2" t="str">
        <f>CLEAN(PROPER(Tabla_VMN[[#This Row],[Nombre Opción]]))</f>
        <v>Categorizados Por Unidad</v>
      </c>
      <c r="H66" s="2" t="s">
        <v>1735</v>
      </c>
      <c r="I66" s="2" t="str">
        <f>_xlfn.XLOOKUP(Tabla_VMN[[#This Row],[id_padre]],Tabla_VMN[Id],Tabla_VMN[Codigo_Tecnico],"",0,1)</f>
        <v>VIATICO_MONEDA_NACIONAL_CONSULTAS_GATEORIZACION_RESOLUCION_COMISION</v>
      </c>
      <c r="J6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/viatico-moneda-nacional/consultas/gateorizacion-resolucion-comision/categorizados-por-unidad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categorizados-por-unidad</v>
      </c>
      <c r="L66" s="2" t="s">
        <v>1341</v>
      </c>
      <c r="M66" s="2" t="s">
        <v>1803</v>
      </c>
      <c r="N66" s="4" t="s">
        <v>360</v>
      </c>
      <c r="O66" s="4" t="s">
        <v>360</v>
      </c>
      <c r="P66" s="4" t="s">
        <v>360</v>
      </c>
      <c r="Q66" s="4" t="s">
        <v>360</v>
      </c>
      <c r="R66" s="4" t="s">
        <v>360</v>
      </c>
      <c r="S66" s="4" t="s">
        <v>360</v>
      </c>
      <c r="T66" s="4" t="s">
        <v>360</v>
      </c>
      <c r="U66" s="7" t="s">
        <v>360</v>
      </c>
      <c r="V66" s="2" t="str">
        <f>IF(Tabla_VMN[[#This Row],[id_padre]]=Tabla_VMN[[#This Row],[Id]],"NOK","OK")</f>
        <v>OK</v>
      </c>
      <c r="W66" s="2"/>
    </row>
    <row r="67" spans="1:23" hidden="1" x14ac:dyDescent="0.5">
      <c r="A67" s="2">
        <f>MAX(Tabla_Presupuesto[Id])</f>
        <v>403</v>
      </c>
      <c r="B67" s="2">
        <v>408</v>
      </c>
      <c r="C67" s="5">
        <f>IF(Tabla_VMN[[#This Row],[id_padre]]="",0,_xlfn.XLOOKUP(Tabla_VMN[[#This Row],[id_padre]],Tabla_VMN[Id],Tabla_VMN[Nivel],0,0,1)+1)</f>
        <v>2</v>
      </c>
      <c r="D67" s="2" t="s">
        <v>67</v>
      </c>
      <c r="E67" s="2">
        <f>IF(Tabla_VMN[[#This Row],[id_anterior]]=1,ROW()-1,SUM(ROW()-1,Tabla_VMN[[#This Row],[id_anterior]]))</f>
        <v>469</v>
      </c>
      <c r="F6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</v>
      </c>
      <c r="G67" s="2" t="str">
        <f>CLEAN(PROPER(Tabla_VMN[[#This Row],[Nombre Opción]]))</f>
        <v xml:space="preserve">Por Unidad </v>
      </c>
      <c r="H67" s="2" t="s">
        <v>1735</v>
      </c>
      <c r="I67" s="2" t="str">
        <f>_xlfn.XLOOKUP(Tabla_VMN[[#This Row],[id_padre]],Tabla_VMN[Id],Tabla_VMN[Codigo_Tecnico],"",0,1)</f>
        <v>VIATICO_MONEDA_NACIONAL_INFORMES</v>
      </c>
      <c r="J6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por-unidad-</v>
      </c>
      <c r="L67" s="2" t="s">
        <v>1341</v>
      </c>
      <c r="M67" s="2" t="s">
        <v>1803</v>
      </c>
      <c r="N67" s="4" t="s">
        <v>360</v>
      </c>
      <c r="O67" s="4" t="s">
        <v>360</v>
      </c>
      <c r="P67" s="4" t="s">
        <v>360</v>
      </c>
      <c r="Q67" s="4" t="s">
        <v>360</v>
      </c>
      <c r="R67" s="4" t="s">
        <v>360</v>
      </c>
      <c r="S67" s="4" t="s">
        <v>360</v>
      </c>
      <c r="T67" s="4" t="s">
        <v>360</v>
      </c>
      <c r="U67" s="7" t="s">
        <v>360</v>
      </c>
      <c r="V67" s="2" t="str">
        <f>IF(Tabla_VMN[[#This Row],[id_padre]]=Tabla_VMN[[#This Row],[Id]],"NOK","OK")</f>
        <v>OK</v>
      </c>
      <c r="W67" s="2"/>
    </row>
    <row r="68" spans="1:23" hidden="1" x14ac:dyDescent="0.5">
      <c r="A68" s="2">
        <f>MAX(Tabla_Presupuesto[Id])</f>
        <v>403</v>
      </c>
      <c r="B68" s="2">
        <v>469</v>
      </c>
      <c r="C68" s="5">
        <f>IF(Tabla_VMN[[#This Row],[id_padre]]="",0,_xlfn.XLOOKUP(Tabla_VMN[[#This Row],[id_padre]],Tabla_VMN[Id],Tabla_VMN[Nivel],0,0,1)+1)</f>
        <v>3</v>
      </c>
      <c r="D68" s="2" t="s">
        <v>416</v>
      </c>
      <c r="E68" s="2">
        <f>IF(Tabla_VMN[[#This Row],[id_anterior]]=1,ROW()-1,SUM(ROW()-1,Tabla_VMN[[#This Row],[id_anterior]]))</f>
        <v>470</v>
      </c>
      <c r="F6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VIATICO_MONEDA_NACIONAL_INFORMES_POR_UNIDAD__SALDOS_PRESUPUESTARIOS</v>
      </c>
      <c r="G68" s="2" t="str">
        <f>CLEAN(PROPER(Tabla_VMN[[#This Row],[Nombre Opción]]))</f>
        <v>Saldos Presupuestarios</v>
      </c>
      <c r="H68" s="2" t="s">
        <v>1735</v>
      </c>
      <c r="I68" s="2" t="str">
        <f>_xlfn.XLOOKUP(Tabla_VMN[[#This Row],[id_padre]],Tabla_VMN[Id],Tabla_VMN[Codigo_Tecnico],"",0,1)</f>
        <v>VIATICO_MONEDA_NACIONAL_INFORMES_POR_UNIDAD_</v>
      </c>
      <c r="J6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/viatico-moneda-nacional/informes/por-unidad-/saldos-presupuestarios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saldos-presupuestarios</v>
      </c>
      <c r="L68" s="2" t="s">
        <v>1395</v>
      </c>
      <c r="M68" s="2" t="s">
        <v>1803</v>
      </c>
      <c r="N68" s="4" t="s">
        <v>360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T68" s="4" t="s">
        <v>360</v>
      </c>
      <c r="U68" s="7" t="s">
        <v>360</v>
      </c>
      <c r="V68" s="2" t="str">
        <f>IF(Tabla_VMN[[#This Row],[id_padre]]=Tabla_VMN[[#This Row],[Id]],"NOK","OK")</f>
        <v>OK</v>
      </c>
      <c r="W68" s="2"/>
    </row>
    <row r="69" spans="1:23" hidden="1" x14ac:dyDescent="0.5">
      <c r="A69" s="2">
        <f>MAX(Tabla_Presupuesto[Id])</f>
        <v>403</v>
      </c>
      <c r="B69" s="2">
        <v>469</v>
      </c>
      <c r="C69" s="5">
        <f>IF(Tabla_VMN[[#This Row],[id_padre]]="",0,_xlfn.XLOOKUP(Tabla_VMN[[#This Row],[id_padre]],Tabla_VMN[Id],Tabla_VMN[Nivel],0,0,1)+1)</f>
        <v>3</v>
      </c>
      <c r="D69" s="2" t="s">
        <v>417</v>
      </c>
      <c r="E69" s="2">
        <f>IF(Tabla_VMN[[#This Row],[id_anterior]]=1,ROW()-1,SUM(ROW()-1,Tabla_VMN[[#This Row],[id_anterior]]))</f>
        <v>471</v>
      </c>
      <c r="F6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VIATICO_MONEDA_NACIONAL_INFORMES_POR_UNIDAD__RELACION_RESOLUCIONES_COMISION</v>
      </c>
      <c r="G69" s="2" t="str">
        <f>CLEAN(PROPER(Tabla_VMN[[#This Row],[Nombre Opción]]))</f>
        <v>Relacion De Resoluciones De Comision</v>
      </c>
      <c r="H69" s="2" t="s">
        <v>1735</v>
      </c>
      <c r="I69" s="2" t="str">
        <f>_xlfn.XLOOKUP(Tabla_VMN[[#This Row],[id_padre]],Tabla_VMN[Id],Tabla_VMN[Codigo_Tecnico],"",0,1)</f>
        <v>VIATICO_MONEDA_NACIONAL_INFORMES_POR_UNIDAD_</v>
      </c>
      <c r="J6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/viatico-moneda-nacional/informes/por-unidad-/relacion-resoluciones-comision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relacion-resoluciones-comision</v>
      </c>
      <c r="L69" s="2" t="s">
        <v>1392</v>
      </c>
      <c r="M69" s="2" t="s">
        <v>1803</v>
      </c>
      <c r="N69" s="4" t="s">
        <v>360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T69" s="4" t="s">
        <v>360</v>
      </c>
      <c r="U69" s="7" t="s">
        <v>360</v>
      </c>
      <c r="V69" s="2" t="str">
        <f>IF(Tabla_VMN[[#This Row],[id_padre]]=Tabla_VMN[[#This Row],[Id]],"NOK","OK")</f>
        <v>OK</v>
      </c>
      <c r="W69" s="2"/>
    </row>
    <row r="70" spans="1:23" hidden="1" x14ac:dyDescent="0.5">
      <c r="A70" s="2">
        <f>MAX(Tabla_Presupuesto[Id])</f>
        <v>403</v>
      </c>
      <c r="B70" s="2">
        <v>469</v>
      </c>
      <c r="C70" s="5">
        <f>IF(Tabla_VMN[[#This Row],[id_padre]]="",0,_xlfn.XLOOKUP(Tabla_VMN[[#This Row],[id_padre]],Tabla_VMN[Id],Tabla_VMN[Nivel],0,0,1)+1)</f>
        <v>3</v>
      </c>
      <c r="D70" s="2" t="s">
        <v>418</v>
      </c>
      <c r="E70" s="2">
        <f>IF(Tabla_VMN[[#This Row],[id_anterior]]=1,ROW()-1,SUM(ROW()-1,Tabla_VMN[[#This Row],[id_anterior]]))</f>
        <v>472</v>
      </c>
      <c r="F7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VIATICO_MONEDA_NACIONAL_INFORMES_POR_UNIDAD__RESOLUCIONES_COMISION_EMITIDOS</v>
      </c>
      <c r="G70" s="2" t="str">
        <f>CLEAN(PROPER(Tabla_VMN[[#This Row],[Nombre Opción]]))</f>
        <v>Resoluciones De Comision Emitidos</v>
      </c>
      <c r="H70" s="2" t="s">
        <v>1735</v>
      </c>
      <c r="I70" s="2" t="str">
        <f>_xlfn.XLOOKUP(Tabla_VMN[[#This Row],[id_padre]],Tabla_VMN[Id],Tabla_VMN[Codigo_Tecnico],"",0,1)</f>
        <v>VIATICO_MONEDA_NACIONAL_INFORMES_POR_UNIDAD_</v>
      </c>
      <c r="J7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/viatico-moneda-nacional/informes/por-unidad-/resoluciones-comision-emitidos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resoluciones-comision-emitidos</v>
      </c>
      <c r="L70" s="2" t="s">
        <v>1376</v>
      </c>
      <c r="M70" s="2" t="s">
        <v>1803</v>
      </c>
      <c r="N70" s="4" t="s">
        <v>360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T70" s="4" t="s">
        <v>360</v>
      </c>
      <c r="U70" s="7" t="s">
        <v>360</v>
      </c>
      <c r="V70" s="2" t="str">
        <f>IF(Tabla_VMN[[#This Row],[id_padre]]=Tabla_VMN[[#This Row],[Id]],"NOK","OK")</f>
        <v>OK</v>
      </c>
      <c r="W70" s="2"/>
    </row>
    <row r="71" spans="1:23" hidden="1" x14ac:dyDescent="0.5">
      <c r="A71" s="2">
        <f>MAX(Tabla_Presupuesto[Id])</f>
        <v>403</v>
      </c>
      <c r="B71" s="2">
        <v>469</v>
      </c>
      <c r="C71" s="5">
        <f>IF(Tabla_VMN[[#This Row],[id_padre]]="",0,_xlfn.XLOOKUP(Tabla_VMN[[#This Row],[id_padre]],Tabla_VMN[Id],Tabla_VMN[Nivel],0,0,1)+1)</f>
        <v>3</v>
      </c>
      <c r="D71" s="2" t="s">
        <v>419</v>
      </c>
      <c r="E71" s="2">
        <f>IF(Tabla_VMN[[#This Row],[id_anterior]]=1,ROW()-1,SUM(ROW()-1,Tabla_VMN[[#This Row],[id_anterior]]))</f>
        <v>473</v>
      </c>
      <c r="F7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VIATICO_MONEDA_NACIONAL_INFORMES_POR_UNIDAD__RESOLUCIONES_COMISION_POR_ESTADO</v>
      </c>
      <c r="G71" s="2" t="str">
        <f>CLEAN(PROPER(Tabla_VMN[[#This Row],[Nombre Opción]]))</f>
        <v>Resoluciones De Comision Por Estado</v>
      </c>
      <c r="H71" s="2" t="s">
        <v>1735</v>
      </c>
      <c r="I71" s="2" t="str">
        <f>_xlfn.XLOOKUP(Tabla_VMN[[#This Row],[id_padre]],Tabla_VMN[Id],Tabla_VMN[Codigo_Tecnico],"",0,1)</f>
        <v>VIATICO_MONEDA_NACIONAL_INFORMES_POR_UNIDAD_</v>
      </c>
      <c r="J7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/viatico-moneda-nacional/informes/por-unidad-/resoluciones-comision-por-estado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resoluciones-comision-por-estado</v>
      </c>
      <c r="L71" s="2" t="s">
        <v>1411</v>
      </c>
      <c r="M71" s="2" t="s">
        <v>1803</v>
      </c>
      <c r="N71" s="4" t="s">
        <v>360</v>
      </c>
      <c r="O71" s="4" t="s">
        <v>360</v>
      </c>
      <c r="P71" s="4" t="s">
        <v>360</v>
      </c>
      <c r="Q71" s="4" t="s">
        <v>360</v>
      </c>
      <c r="R71" s="4" t="s">
        <v>360</v>
      </c>
      <c r="S71" s="4" t="s">
        <v>360</v>
      </c>
      <c r="T71" s="4" t="s">
        <v>360</v>
      </c>
      <c r="U71" s="7" t="s">
        <v>360</v>
      </c>
      <c r="V71" s="2" t="str">
        <f>IF(Tabla_VMN[[#This Row],[id_padre]]=Tabla_VMN[[#This Row],[Id]],"NOK","OK")</f>
        <v>OK</v>
      </c>
      <c r="W71" s="2"/>
    </row>
    <row r="72" spans="1:23" hidden="1" x14ac:dyDescent="0.5">
      <c r="A72" s="2">
        <f>MAX(Tabla_Presupuesto[Id])</f>
        <v>403</v>
      </c>
      <c r="B72" s="2">
        <v>469</v>
      </c>
      <c r="C72" s="5">
        <f>IF(Tabla_VMN[[#This Row],[id_padre]]="",0,_xlfn.XLOOKUP(Tabla_VMN[[#This Row],[id_padre]],Tabla_VMN[Id],Tabla_VMN[Nivel],0,0,1)+1)</f>
        <v>3</v>
      </c>
      <c r="D72" s="2" t="s">
        <v>420</v>
      </c>
      <c r="E72" s="2">
        <f>IF(Tabla_VMN[[#This Row],[id_anterior]]=1,ROW()-1,SUM(ROW()-1,Tabla_VMN[[#This Row],[id_anterior]]))</f>
        <v>474</v>
      </c>
      <c r="F7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VIATICO_MONEDA_NACIONAL_INFORMES_POR_UNIDAD__RESOLUCIONES_COMSION_POR_TIPO_ANTICIPO</v>
      </c>
      <c r="G72" s="2" t="str">
        <f>CLEAN(PROPER(Tabla_VMN[[#This Row],[Nombre Opción]]))</f>
        <v>Resoluciones De Comsion Por Tipo De Anticipo</v>
      </c>
      <c r="H72" s="2" t="s">
        <v>1735</v>
      </c>
      <c r="I72" s="2" t="str">
        <f>_xlfn.XLOOKUP(Tabla_VMN[[#This Row],[id_padre]],Tabla_VMN[Id],Tabla_VMN[Codigo_Tecnico],"",0,1)</f>
        <v>VIATICO_MONEDA_NACIONAL_INFORMES_POR_UNIDAD_</v>
      </c>
      <c r="J7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/viatico-moneda-nacional/informes/por-unidad-/resoluciones-comsion-por-tipo-anticipo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resoluciones-comsion-por-tipo-anticipo</v>
      </c>
      <c r="L72" s="2" t="s">
        <v>1353</v>
      </c>
      <c r="M72" s="2" t="s">
        <v>1803</v>
      </c>
      <c r="N72" s="4" t="s">
        <v>360</v>
      </c>
      <c r="O72" s="4" t="s">
        <v>360</v>
      </c>
      <c r="P72" s="4" t="s">
        <v>360</v>
      </c>
      <c r="Q72" s="4" t="s">
        <v>360</v>
      </c>
      <c r="R72" s="4" t="s">
        <v>360</v>
      </c>
      <c r="S72" s="4" t="s">
        <v>360</v>
      </c>
      <c r="T72" s="4" t="s">
        <v>360</v>
      </c>
      <c r="U72" s="7" t="s">
        <v>360</v>
      </c>
      <c r="V72" s="2" t="str">
        <f>IF(Tabla_VMN[[#This Row],[id_padre]]=Tabla_VMN[[#This Row],[Id]],"NOK","OK")</f>
        <v>OK</v>
      </c>
      <c r="W72" s="2"/>
    </row>
    <row r="73" spans="1:23" hidden="1" x14ac:dyDescent="0.5">
      <c r="A73" s="2">
        <f>MAX(Tabla_Presupuesto[Id])</f>
        <v>403</v>
      </c>
      <c r="B73" s="2">
        <v>469</v>
      </c>
      <c r="C73" s="5">
        <f>IF(Tabla_VMN[[#This Row],[id_padre]]="",0,_xlfn.XLOOKUP(Tabla_VMN[[#This Row],[id_padre]],Tabla_VMN[Id],Tabla_VMN[Nivel],0,0,1)+1)</f>
        <v>3</v>
      </c>
      <c r="D73" s="2" t="s">
        <v>421</v>
      </c>
      <c r="E73" s="2">
        <f>IF(Tabla_VMN[[#This Row],[id_anterior]]=1,ROW()-1,SUM(ROW()-1,Tabla_VMN[[#This Row],[id_anterior]]))</f>
        <v>475</v>
      </c>
      <c r="F7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VIATICO_MONEDA_NACIONAL_INFORMES_POR_UNIDAD__RESOLUCIONES_COMISIONES_CON_INF_CUMPLIMIENTO</v>
      </c>
      <c r="G73" s="2" t="str">
        <f>CLEAN(PROPER(Tabla_VMN[[#This Row],[Nombre Opción]]))</f>
        <v>Resoluciones De Comisiones Con Inf. De Cumplimiento</v>
      </c>
      <c r="H73" s="2" t="s">
        <v>1735</v>
      </c>
      <c r="I73" s="2" t="str">
        <f>_xlfn.XLOOKUP(Tabla_VMN[[#This Row],[id_padre]],Tabla_VMN[Id],Tabla_VMN[Codigo_Tecnico],"",0,1)</f>
        <v>VIATICO_MONEDA_NACIONAL_INFORMES_POR_UNIDAD_</v>
      </c>
      <c r="J7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/viatico-moneda-nacional/informes/por-unidad-/resoluciones-comisiones-con-inf-cumplimiento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resoluciones-comisiones-con-inf-cumplimiento</v>
      </c>
      <c r="L73" s="2" t="s">
        <v>1519</v>
      </c>
      <c r="M73" s="2" t="s">
        <v>1803</v>
      </c>
      <c r="N73" s="4" t="s">
        <v>360</v>
      </c>
      <c r="O73" s="4" t="s">
        <v>360</v>
      </c>
      <c r="P73" s="4" t="s">
        <v>360</v>
      </c>
      <c r="Q73" s="4" t="s">
        <v>360</v>
      </c>
      <c r="R73" s="4" t="s">
        <v>360</v>
      </c>
      <c r="S73" s="4" t="s">
        <v>360</v>
      </c>
      <c r="T73" s="4" t="s">
        <v>360</v>
      </c>
      <c r="U73" s="7" t="s">
        <v>360</v>
      </c>
      <c r="V73" s="2" t="str">
        <f>IF(Tabla_VMN[[#This Row],[id_padre]]=Tabla_VMN[[#This Row],[Id]],"NOK","OK")</f>
        <v>OK</v>
      </c>
      <c r="W73" s="2"/>
    </row>
    <row r="74" spans="1:23" hidden="1" x14ac:dyDescent="0.5">
      <c r="A74" s="2">
        <f>MAX(Tabla_Presupuesto[Id])</f>
        <v>403</v>
      </c>
      <c r="B74" s="2">
        <v>469</v>
      </c>
      <c r="C74" s="5">
        <f>IF(Tabla_VMN[[#This Row],[id_padre]]="",0,_xlfn.XLOOKUP(Tabla_VMN[[#This Row],[id_padre]],Tabla_VMN[Id],Tabla_VMN[Nivel],0,0,1)+1)</f>
        <v>3</v>
      </c>
      <c r="D74" s="2" t="s">
        <v>422</v>
      </c>
      <c r="E74" s="2">
        <f>IF(Tabla_VMN[[#This Row],[id_anterior]]=1,ROW()-1,SUM(ROW()-1,Tabla_VMN[[#This Row],[id_anterior]]))</f>
        <v>476</v>
      </c>
      <c r="F7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VIATICO_MONEDA_NACIONAL_INFORMES_POR_UNIDAD__RESOLUCIONES_COMISIONES_PENDIENTE_POR_LIQUIDAR</v>
      </c>
      <c r="G74" s="2" t="str">
        <f>CLEAN(PROPER(Tabla_VMN[[#This Row],[Nombre Opción]]))</f>
        <v>Resoluciones De Comisiones Pendiente Por Liquidar</v>
      </c>
      <c r="H74" s="2" t="s">
        <v>1735</v>
      </c>
      <c r="I74" s="2" t="str">
        <f>_xlfn.XLOOKUP(Tabla_VMN[[#This Row],[id_padre]],Tabla_VMN[Id],Tabla_VMN[Codigo_Tecnico],"",0,1)</f>
        <v>VIATICO_MONEDA_NACIONAL_INFORMES_POR_UNIDAD_</v>
      </c>
      <c r="J7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/viatico-moneda-nacional/informes/por-unidad-/resoluciones-comisiones-pendiente-por-liquidar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resoluciones-comisiones-pendiente-por-liquidar</v>
      </c>
      <c r="L74" s="2" t="s">
        <v>1501</v>
      </c>
      <c r="M74" s="2" t="s">
        <v>1803</v>
      </c>
      <c r="N74" s="4" t="s">
        <v>360</v>
      </c>
      <c r="O74" s="4" t="s">
        <v>360</v>
      </c>
      <c r="P74" s="4" t="s">
        <v>360</v>
      </c>
      <c r="Q74" s="4" t="s">
        <v>360</v>
      </c>
      <c r="R74" s="4" t="s">
        <v>360</v>
      </c>
      <c r="S74" s="4" t="s">
        <v>360</v>
      </c>
      <c r="T74" s="4" t="s">
        <v>360</v>
      </c>
      <c r="U74" s="7" t="s">
        <v>360</v>
      </c>
      <c r="V74" s="2" t="str">
        <f>IF(Tabla_VMN[[#This Row],[id_padre]]=Tabla_VMN[[#This Row],[Id]],"NOK","OK")</f>
        <v>OK</v>
      </c>
      <c r="W74" s="2"/>
    </row>
    <row r="75" spans="1:23" hidden="1" x14ac:dyDescent="0.5">
      <c r="A75" s="2">
        <f>MAX(Tabla_Presupuesto[Id])</f>
        <v>403</v>
      </c>
      <c r="B75" s="2">
        <v>469</v>
      </c>
      <c r="C75" s="5">
        <f>IF(Tabla_VMN[[#This Row],[id_padre]]="",0,_xlfn.XLOOKUP(Tabla_VMN[[#This Row],[id_padre]],Tabla_VMN[Id],Tabla_VMN[Nivel],0,0,1)+1)</f>
        <v>3</v>
      </c>
      <c r="D75" s="2" t="s">
        <v>423</v>
      </c>
      <c r="E75" s="2">
        <f>IF(Tabla_VMN[[#This Row],[id_anterior]]=1,ROW()-1,SUM(ROW()-1,Tabla_VMN[[#This Row],[id_anterior]]))</f>
        <v>477</v>
      </c>
      <c r="F7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VIATICO_MONEDA_NACIONAL_INFORMES_POR_UNIDAD__INFORMES_CUMPLIMIENTO</v>
      </c>
      <c r="G75" s="2" t="str">
        <f>CLEAN(PROPER(Tabla_VMN[[#This Row],[Nombre Opción]]))</f>
        <v>Informes De Cumplimiento</v>
      </c>
      <c r="H75" s="2" t="s">
        <v>1735</v>
      </c>
      <c r="I75" s="2" t="str">
        <f>_xlfn.XLOOKUP(Tabla_VMN[[#This Row],[id_padre]],Tabla_VMN[Id],Tabla_VMN[Codigo_Tecnico],"",0,1)</f>
        <v>VIATICO_MONEDA_NACIONAL_INFORMES_POR_UNIDAD_</v>
      </c>
      <c r="J7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/viatico-moneda-nacional/informes/por-unidad-/informes-cumplimiento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informes-cumplimiento</v>
      </c>
      <c r="L75" s="2" t="s">
        <v>1386</v>
      </c>
      <c r="M75" s="2" t="s">
        <v>1803</v>
      </c>
      <c r="N75" s="4" t="s">
        <v>360</v>
      </c>
      <c r="O75" s="4" t="s">
        <v>360</v>
      </c>
      <c r="P75" s="4" t="s">
        <v>360</v>
      </c>
      <c r="Q75" s="4" t="s">
        <v>360</v>
      </c>
      <c r="R75" s="4" t="s">
        <v>360</v>
      </c>
      <c r="S75" s="4" t="s">
        <v>360</v>
      </c>
      <c r="T75" s="4" t="s">
        <v>360</v>
      </c>
      <c r="U75" s="7" t="s">
        <v>360</v>
      </c>
      <c r="V75" s="2" t="str">
        <f>IF(Tabla_VMN[[#This Row],[id_padre]]=Tabla_VMN[[#This Row],[Id]],"NOK","OK")</f>
        <v>OK</v>
      </c>
      <c r="W75" s="2"/>
    </row>
    <row r="76" spans="1:23" hidden="1" x14ac:dyDescent="0.5">
      <c r="A76" s="2">
        <f>MAX(Tabla_Presupuesto[Id])</f>
        <v>403</v>
      </c>
      <c r="B76" s="2">
        <v>469</v>
      </c>
      <c r="C76" s="5">
        <f>IF(Tabla_VMN[[#This Row],[id_padre]]="",0,_xlfn.XLOOKUP(Tabla_VMN[[#This Row],[id_padre]],Tabla_VMN[Id],Tabla_VMN[Nivel],0,0,1)+1)</f>
        <v>3</v>
      </c>
      <c r="D76" s="2" t="s">
        <v>424</v>
      </c>
      <c r="E76" s="2">
        <f>IF(Tabla_VMN[[#This Row],[id_anterior]]=1,ROW()-1,SUM(ROW()-1,Tabla_VMN[[#This Row],[id_anterior]]))</f>
        <v>478</v>
      </c>
      <c r="F7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VIATICO_MONEDA_NACIONAL_INFORMES_POR_UNIDAD__INFORMES_CUMPLIMIENTO_POR_ESTADO</v>
      </c>
      <c r="G76" s="2" t="str">
        <f>CLEAN(PROPER(Tabla_VMN[[#This Row],[Nombre Opción]]))</f>
        <v>Informes De Cumplimiento Por Estado</v>
      </c>
      <c r="H76" s="2" t="s">
        <v>1735</v>
      </c>
      <c r="I76" s="2" t="str">
        <f>_xlfn.XLOOKUP(Tabla_VMN[[#This Row],[id_padre]],Tabla_VMN[Id],Tabla_VMN[Codigo_Tecnico],"",0,1)</f>
        <v>VIATICO_MONEDA_NACIONAL_INFORMES_POR_UNIDAD_</v>
      </c>
      <c r="J7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/viatico-moneda-nacional/informes/por-unidad-/informes-cumplimiento-por-estado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informes-cumplimiento-por-estado</v>
      </c>
      <c r="L76" s="2" t="s">
        <v>1510</v>
      </c>
      <c r="M76" s="2" t="s">
        <v>1803</v>
      </c>
      <c r="N76" s="4" t="s">
        <v>360</v>
      </c>
      <c r="O76" s="4" t="s">
        <v>360</v>
      </c>
      <c r="P76" s="4" t="s">
        <v>360</v>
      </c>
      <c r="Q76" s="4" t="s">
        <v>360</v>
      </c>
      <c r="R76" s="4" t="s">
        <v>360</v>
      </c>
      <c r="S76" s="4" t="s">
        <v>360</v>
      </c>
      <c r="T76" s="4" t="s">
        <v>360</v>
      </c>
      <c r="U76" s="7" t="s">
        <v>360</v>
      </c>
      <c r="V76" s="2" t="str">
        <f>IF(Tabla_VMN[[#This Row],[id_padre]]=Tabla_VMN[[#This Row],[Id]],"NOK","OK")</f>
        <v>OK</v>
      </c>
      <c r="W76" s="2"/>
    </row>
    <row r="77" spans="1:23" hidden="1" x14ac:dyDescent="0.5">
      <c r="A77" s="2">
        <f>MAX(Tabla_Presupuesto[Id])</f>
        <v>403</v>
      </c>
      <c r="B77" s="2">
        <v>408</v>
      </c>
      <c r="C77" s="5">
        <f>IF(Tabla_VMN[[#This Row],[id_padre]]="",0,_xlfn.XLOOKUP(Tabla_VMN[[#This Row],[id_padre]],Tabla_VMN[Id],Tabla_VMN[Nivel],0,0,1)+1)</f>
        <v>2</v>
      </c>
      <c r="D77" s="2" t="s">
        <v>129</v>
      </c>
      <c r="E77" s="2">
        <f>IF(Tabla_VMN[[#This Row],[id_anterior]]=1,ROW()-1,SUM(ROW()-1,Tabla_VMN[[#This Row],[id_anterior]]))</f>
        <v>479</v>
      </c>
      <c r="F7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</v>
      </c>
      <c r="G77" s="2" t="str">
        <f>CLEAN(PROPER(Tabla_VMN[[#This Row],[Nombre Opción]]))</f>
        <v>Por Unidad Interna</v>
      </c>
      <c r="H77" s="2" t="s">
        <v>1735</v>
      </c>
      <c r="I77" s="2" t="str">
        <f>_xlfn.XLOOKUP(Tabla_VMN[[#This Row],[id_padre]],Tabla_VMN[Id],Tabla_VMN[Codigo_Tecnico],"",0,1)</f>
        <v>VIATICO_MONEDA_NACIONAL_INFORMES</v>
      </c>
      <c r="J7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por-unidad-interna</v>
      </c>
      <c r="L77" s="2" t="s">
        <v>1389</v>
      </c>
      <c r="M77" s="2" t="s">
        <v>1803</v>
      </c>
      <c r="N77" s="4" t="s">
        <v>360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T77" s="4" t="s">
        <v>360</v>
      </c>
      <c r="U77" s="7" t="s">
        <v>360</v>
      </c>
      <c r="V77" s="2" t="str">
        <f>IF(Tabla_VMN[[#This Row],[id_padre]]=Tabla_VMN[[#This Row],[Id]],"NOK","OK")</f>
        <v>OK</v>
      </c>
      <c r="W77" s="2"/>
    </row>
    <row r="78" spans="1:23" hidden="1" x14ac:dyDescent="0.5">
      <c r="A78" s="2">
        <f>MAX(Tabla_Presupuesto[Id])</f>
        <v>403</v>
      </c>
      <c r="B78" s="2">
        <v>479</v>
      </c>
      <c r="C78" s="5">
        <f>IF(Tabla_VMN[[#This Row],[id_padre]]="",0,_xlfn.XLOOKUP(Tabla_VMN[[#This Row],[id_padre]],Tabla_VMN[Id],Tabla_VMN[Nivel],0,0,1)+1)</f>
        <v>3</v>
      </c>
      <c r="D78" s="2" t="s">
        <v>416</v>
      </c>
      <c r="E78" s="2">
        <f>IF(Tabla_VMN[[#This Row],[id_anterior]]=1,ROW()-1,SUM(ROW()-1,Tabla_VMN[[#This Row],[id_anterior]]))</f>
        <v>480</v>
      </c>
      <c r="F7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VIATICO_MONEDA_NACIONAL_INFORMES_POR_UNIDAD_INTERNA_SALDOS_PRESUPUESTARIOS</v>
      </c>
      <c r="G78" s="2" t="str">
        <f>CLEAN(PROPER(Tabla_VMN[[#This Row],[Nombre Opción]]))</f>
        <v>Saldos Presupuestarios</v>
      </c>
      <c r="H78" s="2" t="s">
        <v>1735</v>
      </c>
      <c r="I78" s="2" t="str">
        <f>_xlfn.XLOOKUP(Tabla_VMN[[#This Row],[id_padre]],Tabla_VMN[Id],Tabla_VMN[Codigo_Tecnico],"",0,1)</f>
        <v>VIATICO_MONEDA_NACIONAL_INFORMES_POR_UNIDAD_INTERNA</v>
      </c>
      <c r="J7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/viatico-moneda-nacional/informes/por-unidad-interna/saldos-presupuestarios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saldos-presupuestarios</v>
      </c>
      <c r="L78" s="2" t="s">
        <v>1395</v>
      </c>
      <c r="M78" s="2" t="s">
        <v>1803</v>
      </c>
      <c r="N78" s="4" t="s">
        <v>360</v>
      </c>
      <c r="O78" s="4" t="s">
        <v>360</v>
      </c>
      <c r="P78" s="4" t="s">
        <v>360</v>
      </c>
      <c r="Q78" s="4" t="s">
        <v>360</v>
      </c>
      <c r="R78" s="4" t="s">
        <v>360</v>
      </c>
      <c r="S78" s="4" t="s">
        <v>360</v>
      </c>
      <c r="T78" s="4" t="s">
        <v>360</v>
      </c>
      <c r="U78" s="7" t="s">
        <v>360</v>
      </c>
      <c r="V78" s="2" t="str">
        <f>IF(Tabla_VMN[[#This Row],[id_padre]]=Tabla_VMN[[#This Row],[Id]],"NOK","OK")</f>
        <v>OK</v>
      </c>
      <c r="W78" s="2"/>
    </row>
    <row r="79" spans="1:23" hidden="1" x14ac:dyDescent="0.5">
      <c r="A79" s="2">
        <f>MAX(Tabla_Presupuesto[Id])</f>
        <v>403</v>
      </c>
      <c r="B79" s="2">
        <v>479</v>
      </c>
      <c r="C79" s="5">
        <f>IF(Tabla_VMN[[#This Row],[id_padre]]="",0,_xlfn.XLOOKUP(Tabla_VMN[[#This Row],[id_padre]],Tabla_VMN[Id],Tabla_VMN[Nivel],0,0,1)+1)</f>
        <v>3</v>
      </c>
      <c r="D79" s="2" t="s">
        <v>417</v>
      </c>
      <c r="E79" s="2">
        <f>IF(Tabla_VMN[[#This Row],[id_anterior]]=1,ROW()-1,SUM(ROW()-1,Tabla_VMN[[#This Row],[id_anterior]]))</f>
        <v>481</v>
      </c>
      <c r="F7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VIATICO_MONEDA_NACIONAL_INFORMES_POR_UNIDAD_INTERNA_RELACION_RESOLUCIONES_COMISION</v>
      </c>
      <c r="G79" s="2" t="str">
        <f>CLEAN(PROPER(Tabla_VMN[[#This Row],[Nombre Opción]]))</f>
        <v>Relacion De Resoluciones De Comision</v>
      </c>
      <c r="H79" s="2" t="s">
        <v>1735</v>
      </c>
      <c r="I79" s="2" t="str">
        <f>_xlfn.XLOOKUP(Tabla_VMN[[#This Row],[id_padre]],Tabla_VMN[Id],Tabla_VMN[Codigo_Tecnico],"",0,1)</f>
        <v>VIATICO_MONEDA_NACIONAL_INFORMES_POR_UNIDAD_INTERNA</v>
      </c>
      <c r="J7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/viatico-moneda-nacional/informes/por-unidad-interna/relacion-resoluciones-comision</v>
      </c>
      <c r="K7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relacion-resoluciones-comision</v>
      </c>
      <c r="L79" s="2" t="s">
        <v>1392</v>
      </c>
      <c r="M79" s="2" t="s">
        <v>1803</v>
      </c>
      <c r="N79" s="4" t="s">
        <v>360</v>
      </c>
      <c r="O79" s="4" t="s">
        <v>360</v>
      </c>
      <c r="P79" s="4" t="s">
        <v>360</v>
      </c>
      <c r="Q79" s="4" t="s">
        <v>360</v>
      </c>
      <c r="R79" s="4" t="s">
        <v>360</v>
      </c>
      <c r="S79" s="4" t="s">
        <v>360</v>
      </c>
      <c r="T79" s="4" t="s">
        <v>360</v>
      </c>
      <c r="U79" s="7" t="s">
        <v>360</v>
      </c>
      <c r="V79" s="2" t="str">
        <f>IF(Tabla_VMN[[#This Row],[id_padre]]=Tabla_VMN[[#This Row],[Id]],"NOK","OK")</f>
        <v>OK</v>
      </c>
      <c r="W79" s="2"/>
    </row>
    <row r="80" spans="1:23" hidden="1" x14ac:dyDescent="0.5">
      <c r="A80" s="2">
        <f>MAX(Tabla_Presupuesto[Id])</f>
        <v>403</v>
      </c>
      <c r="B80" s="2">
        <v>479</v>
      </c>
      <c r="C80" s="5">
        <f>IF(Tabla_VMN[[#This Row],[id_padre]]="",0,_xlfn.XLOOKUP(Tabla_VMN[[#This Row],[id_padre]],Tabla_VMN[Id],Tabla_VMN[Nivel],0,0,1)+1)</f>
        <v>3</v>
      </c>
      <c r="D80" s="2" t="s">
        <v>418</v>
      </c>
      <c r="E80" s="2">
        <f>IF(Tabla_VMN[[#This Row],[id_anterior]]=1,ROW()-1,SUM(ROW()-1,Tabla_VMN[[#This Row],[id_anterior]]))</f>
        <v>482</v>
      </c>
      <c r="F8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VIATICO_MONEDA_NACIONAL_INFORMES_POR_UNIDAD_INTERNA_RESOLUCIONES_COMISION_EMITIDOS</v>
      </c>
      <c r="G80" s="2" t="str">
        <f>CLEAN(PROPER(Tabla_VMN[[#This Row],[Nombre Opción]]))</f>
        <v>Resoluciones De Comision Emitidos</v>
      </c>
      <c r="H80" s="2" t="s">
        <v>1735</v>
      </c>
      <c r="I80" s="2" t="str">
        <f>_xlfn.XLOOKUP(Tabla_VMN[[#This Row],[id_padre]],Tabla_VMN[Id],Tabla_VMN[Codigo_Tecnico],"",0,1)</f>
        <v>VIATICO_MONEDA_NACIONAL_INFORMES_POR_UNIDAD_INTERNA</v>
      </c>
      <c r="J8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/viatico-moneda-nacional/informes/por-unidad-interna/resoluciones-comision-emitidos</v>
      </c>
      <c r="K8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resoluciones-comision-emitidos</v>
      </c>
      <c r="L80" s="2" t="s">
        <v>1376</v>
      </c>
      <c r="M80" s="2" t="s">
        <v>1803</v>
      </c>
      <c r="N80" s="4" t="s">
        <v>360</v>
      </c>
      <c r="O80" s="4" t="s">
        <v>360</v>
      </c>
      <c r="P80" s="4" t="s">
        <v>360</v>
      </c>
      <c r="Q80" s="4" t="s">
        <v>360</v>
      </c>
      <c r="R80" s="4" t="s">
        <v>360</v>
      </c>
      <c r="S80" s="4" t="s">
        <v>360</v>
      </c>
      <c r="T80" s="4" t="s">
        <v>360</v>
      </c>
      <c r="U80" s="7" t="s">
        <v>360</v>
      </c>
      <c r="V80" s="2" t="str">
        <f>IF(Tabla_VMN[[#This Row],[id_padre]]=Tabla_VMN[[#This Row],[Id]],"NOK","OK")</f>
        <v>OK</v>
      </c>
      <c r="W80" s="2"/>
    </row>
    <row r="81" spans="1:23" hidden="1" x14ac:dyDescent="0.5">
      <c r="A81" s="2">
        <f>MAX(Tabla_Presupuesto[Id])</f>
        <v>403</v>
      </c>
      <c r="B81" s="2">
        <v>479</v>
      </c>
      <c r="C81" s="5">
        <f>IF(Tabla_VMN[[#This Row],[id_padre]]="",0,_xlfn.XLOOKUP(Tabla_VMN[[#This Row],[id_padre]],Tabla_VMN[Id],Tabla_VMN[Nivel],0,0,1)+1)</f>
        <v>3</v>
      </c>
      <c r="D81" s="2" t="s">
        <v>419</v>
      </c>
      <c r="E81" s="2">
        <f>IF(Tabla_VMN[[#This Row],[id_anterior]]=1,ROW()-1,SUM(ROW()-1,Tabla_VMN[[#This Row],[id_anterior]]))</f>
        <v>483</v>
      </c>
      <c r="F8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VIATICO_MONEDA_NACIONAL_INFORMES_POR_UNIDAD_INTERNA_RESOLUCIONES_COMISION_POR_ESTADO</v>
      </c>
      <c r="G81" s="2" t="str">
        <f>CLEAN(PROPER(Tabla_VMN[[#This Row],[Nombre Opción]]))</f>
        <v>Resoluciones De Comision Por Estado</v>
      </c>
      <c r="H81" s="2" t="s">
        <v>1735</v>
      </c>
      <c r="I81" s="2" t="str">
        <f>_xlfn.XLOOKUP(Tabla_VMN[[#This Row],[id_padre]],Tabla_VMN[Id],Tabla_VMN[Codigo_Tecnico],"",0,1)</f>
        <v>VIATICO_MONEDA_NACIONAL_INFORMES_POR_UNIDAD_INTERNA</v>
      </c>
      <c r="J8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/viatico-moneda-nacional/informes/por-unidad-interna/resoluciones-comision-por-estado</v>
      </c>
      <c r="K8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resoluciones-comision-por-estado</v>
      </c>
      <c r="L81" s="2" t="s">
        <v>1411</v>
      </c>
      <c r="M81" s="2" t="s">
        <v>1803</v>
      </c>
      <c r="N81" s="4" t="s">
        <v>360</v>
      </c>
      <c r="O81" s="4" t="s">
        <v>360</v>
      </c>
      <c r="P81" s="4" t="s">
        <v>360</v>
      </c>
      <c r="Q81" s="4" t="s">
        <v>360</v>
      </c>
      <c r="R81" s="4" t="s">
        <v>360</v>
      </c>
      <c r="S81" s="4" t="s">
        <v>360</v>
      </c>
      <c r="T81" s="4" t="s">
        <v>360</v>
      </c>
      <c r="U81" s="7" t="s">
        <v>360</v>
      </c>
      <c r="V81" s="2" t="str">
        <f>IF(Tabla_VMN[[#This Row],[id_padre]]=Tabla_VMN[[#This Row],[Id]],"NOK","OK")</f>
        <v>OK</v>
      </c>
      <c r="W81" s="2"/>
    </row>
    <row r="82" spans="1:23" hidden="1" x14ac:dyDescent="0.5">
      <c r="A82" s="2">
        <f>MAX(Tabla_Presupuesto[Id])</f>
        <v>403</v>
      </c>
      <c r="B82" s="2">
        <v>479</v>
      </c>
      <c r="C82" s="5">
        <f>IF(Tabla_VMN[[#This Row],[id_padre]]="",0,_xlfn.XLOOKUP(Tabla_VMN[[#This Row],[id_padre]],Tabla_VMN[Id],Tabla_VMN[Nivel],0,0,1)+1)</f>
        <v>3</v>
      </c>
      <c r="D82" s="2" t="s">
        <v>420</v>
      </c>
      <c r="E82" s="2">
        <f>IF(Tabla_VMN[[#This Row],[id_anterior]]=1,ROW()-1,SUM(ROW()-1,Tabla_VMN[[#This Row],[id_anterior]]))</f>
        <v>484</v>
      </c>
      <c r="F8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VIATICO_MONEDA_NACIONAL_INFORMES_POR_UNIDAD_INTERNA_RESOLUCIONES_COMSION_POR_TIPO_ANTICIPO</v>
      </c>
      <c r="G82" s="2" t="str">
        <f>CLEAN(PROPER(Tabla_VMN[[#This Row],[Nombre Opción]]))</f>
        <v>Resoluciones De Comsion Por Tipo De Anticipo</v>
      </c>
      <c r="H82" s="2" t="s">
        <v>1735</v>
      </c>
      <c r="I82" s="2" t="str">
        <f>_xlfn.XLOOKUP(Tabla_VMN[[#This Row],[id_padre]],Tabla_VMN[Id],Tabla_VMN[Codigo_Tecnico],"",0,1)</f>
        <v>VIATICO_MONEDA_NACIONAL_INFORMES_POR_UNIDAD_INTERNA</v>
      </c>
      <c r="J8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/viatico-moneda-nacional/informes/por-unidad-interna/resoluciones-comsion-por-tipo-anticipo</v>
      </c>
      <c r="K8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resoluciones-comsion-por-tipo-anticipo</v>
      </c>
      <c r="L82" s="2" t="s">
        <v>1353</v>
      </c>
      <c r="M82" s="2" t="s">
        <v>1803</v>
      </c>
      <c r="N82" s="4" t="s">
        <v>360</v>
      </c>
      <c r="O82" s="4" t="s">
        <v>360</v>
      </c>
      <c r="P82" s="4" t="s">
        <v>360</v>
      </c>
      <c r="Q82" s="4" t="s">
        <v>360</v>
      </c>
      <c r="R82" s="4" t="s">
        <v>360</v>
      </c>
      <c r="S82" s="4" t="s">
        <v>360</v>
      </c>
      <c r="T82" s="4" t="s">
        <v>360</v>
      </c>
      <c r="U82" s="7" t="s">
        <v>360</v>
      </c>
      <c r="V82" s="2" t="str">
        <f>IF(Tabla_VMN[[#This Row],[id_padre]]=Tabla_VMN[[#This Row],[Id]],"NOK","OK")</f>
        <v>OK</v>
      </c>
      <c r="W82" s="2"/>
    </row>
    <row r="83" spans="1:23" hidden="1" x14ac:dyDescent="0.5">
      <c r="A83" s="2">
        <f>MAX(Tabla_Presupuesto[Id])</f>
        <v>403</v>
      </c>
      <c r="B83" s="2">
        <v>479</v>
      </c>
      <c r="C83" s="5">
        <f>IF(Tabla_VMN[[#This Row],[id_padre]]="",0,_xlfn.XLOOKUP(Tabla_VMN[[#This Row],[id_padre]],Tabla_VMN[Id],Tabla_VMN[Nivel],0,0,1)+1)</f>
        <v>3</v>
      </c>
      <c r="D83" s="2" t="s">
        <v>421</v>
      </c>
      <c r="E83" s="2">
        <f>IF(Tabla_VMN[[#This Row],[id_anterior]]=1,ROW()-1,SUM(ROW()-1,Tabla_VMN[[#This Row],[id_anterior]]))</f>
        <v>485</v>
      </c>
      <c r="F8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VIATICO_MONEDA_NACIONAL_INFORMES_POR_UNIDAD_INTERNA_RESOLUCIONES_COMISIONES_CON_INF_CUMPLIMIENTO</v>
      </c>
      <c r="G83" s="2" t="str">
        <f>CLEAN(PROPER(Tabla_VMN[[#This Row],[Nombre Opción]]))</f>
        <v>Resoluciones De Comisiones Con Inf. De Cumplimiento</v>
      </c>
      <c r="H83" s="2" t="s">
        <v>1735</v>
      </c>
      <c r="I83" s="2" t="str">
        <f>_xlfn.XLOOKUP(Tabla_VMN[[#This Row],[id_padre]],Tabla_VMN[Id],Tabla_VMN[Codigo_Tecnico],"",0,1)</f>
        <v>VIATICO_MONEDA_NACIONAL_INFORMES_POR_UNIDAD_INTERNA</v>
      </c>
      <c r="J8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/viatico-moneda-nacional/informes/por-unidad-interna/resoluciones-comisiones-con-inf-cumplimiento</v>
      </c>
      <c r="K8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resoluciones-comisiones-con-inf-cumplimiento</v>
      </c>
      <c r="L83" s="2" t="s">
        <v>1519</v>
      </c>
      <c r="M83" s="2" t="s">
        <v>1803</v>
      </c>
      <c r="N83" s="4" t="s">
        <v>360</v>
      </c>
      <c r="O83" s="4" t="s">
        <v>360</v>
      </c>
      <c r="P83" s="4" t="s">
        <v>360</v>
      </c>
      <c r="Q83" s="4" t="s">
        <v>360</v>
      </c>
      <c r="R83" s="4" t="s">
        <v>360</v>
      </c>
      <c r="S83" s="4" t="s">
        <v>360</v>
      </c>
      <c r="T83" s="4" t="s">
        <v>360</v>
      </c>
      <c r="U83" s="7" t="s">
        <v>360</v>
      </c>
      <c r="V83" s="2" t="str">
        <f>IF(Tabla_VMN[[#This Row],[id_padre]]=Tabla_VMN[[#This Row],[Id]],"NOK","OK")</f>
        <v>OK</v>
      </c>
      <c r="W83" s="2"/>
    </row>
    <row r="84" spans="1:23" hidden="1" x14ac:dyDescent="0.5">
      <c r="A84" s="2">
        <f>MAX(Tabla_Presupuesto[Id])</f>
        <v>403</v>
      </c>
      <c r="B84" s="2">
        <v>479</v>
      </c>
      <c r="C84" s="5">
        <f>IF(Tabla_VMN[[#This Row],[id_padre]]="",0,_xlfn.XLOOKUP(Tabla_VMN[[#This Row],[id_padre]],Tabla_VMN[Id],Tabla_VMN[Nivel],0,0,1)+1)</f>
        <v>3</v>
      </c>
      <c r="D84" s="2" t="s">
        <v>422</v>
      </c>
      <c r="E84" s="2">
        <f>IF(Tabla_VMN[[#This Row],[id_anterior]]=1,ROW()-1,SUM(ROW()-1,Tabla_VMN[[#This Row],[id_anterior]]))</f>
        <v>486</v>
      </c>
      <c r="F8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VIATICO_MONEDA_NACIONAL_INFORMES_POR_UNIDAD_INTERNA_RESOLUCIONES_COMISIONES_PENDIENTE_POR_LIQUIDAR</v>
      </c>
      <c r="G84" s="2" t="str">
        <f>CLEAN(PROPER(Tabla_VMN[[#This Row],[Nombre Opción]]))</f>
        <v>Resoluciones De Comisiones Pendiente Por Liquidar</v>
      </c>
      <c r="H84" s="2" t="s">
        <v>1735</v>
      </c>
      <c r="I84" s="2" t="str">
        <f>_xlfn.XLOOKUP(Tabla_VMN[[#This Row],[id_padre]],Tabla_VMN[Id],Tabla_VMN[Codigo_Tecnico],"",0,1)</f>
        <v>VIATICO_MONEDA_NACIONAL_INFORMES_POR_UNIDAD_INTERNA</v>
      </c>
      <c r="J8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/viatico-moneda-nacional/informes/por-unidad-interna/resoluciones-comisiones-pendiente-por-liquidar</v>
      </c>
      <c r="K8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resoluciones-comisiones-pendiente-por-liquidar</v>
      </c>
      <c r="L84" s="2" t="s">
        <v>1501</v>
      </c>
      <c r="M84" s="2" t="s">
        <v>1803</v>
      </c>
      <c r="N84" s="4" t="s">
        <v>360</v>
      </c>
      <c r="O84" s="4" t="s">
        <v>360</v>
      </c>
      <c r="P84" s="4" t="s">
        <v>360</v>
      </c>
      <c r="Q84" s="4" t="s">
        <v>360</v>
      </c>
      <c r="R84" s="4" t="s">
        <v>360</v>
      </c>
      <c r="S84" s="4" t="s">
        <v>360</v>
      </c>
      <c r="T84" s="4" t="s">
        <v>360</v>
      </c>
      <c r="U84" s="7" t="s">
        <v>360</v>
      </c>
      <c r="V84" s="2" t="str">
        <f>IF(Tabla_VMN[[#This Row],[id_padre]]=Tabla_VMN[[#This Row],[Id]],"NOK","OK")</f>
        <v>OK</v>
      </c>
      <c r="W84" s="2"/>
    </row>
    <row r="85" spans="1:23" hidden="1" x14ac:dyDescent="0.5">
      <c r="A85" s="2">
        <f>MAX(Tabla_Presupuesto[Id])</f>
        <v>403</v>
      </c>
      <c r="B85" s="2">
        <v>479</v>
      </c>
      <c r="C85" s="5">
        <f>IF(Tabla_VMN[[#This Row],[id_padre]]="",0,_xlfn.XLOOKUP(Tabla_VMN[[#This Row],[id_padre]],Tabla_VMN[Id],Tabla_VMN[Nivel],0,0,1)+1)</f>
        <v>3</v>
      </c>
      <c r="D85" s="2" t="s">
        <v>423</v>
      </c>
      <c r="E85" s="2">
        <f>IF(Tabla_VMN[[#This Row],[id_anterior]]=1,ROW()-1,SUM(ROW()-1,Tabla_VMN[[#This Row],[id_anterior]]))</f>
        <v>487</v>
      </c>
      <c r="F8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VIATICO_MONEDA_NACIONAL_INFORMES_POR_UNIDAD_INTERNA_INFORMES_CUMPLIMIENTO</v>
      </c>
      <c r="G85" s="2" t="str">
        <f>CLEAN(PROPER(Tabla_VMN[[#This Row],[Nombre Opción]]))</f>
        <v>Informes De Cumplimiento</v>
      </c>
      <c r="H85" s="2" t="s">
        <v>1735</v>
      </c>
      <c r="I85" s="2" t="str">
        <f>_xlfn.XLOOKUP(Tabla_VMN[[#This Row],[id_padre]],Tabla_VMN[Id],Tabla_VMN[Codigo_Tecnico],"",0,1)</f>
        <v>VIATICO_MONEDA_NACIONAL_INFORMES_POR_UNIDAD_INTERNA</v>
      </c>
      <c r="J8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/viatico-moneda-nacional/informes/por-unidad-interna/informes-cumplimiento</v>
      </c>
      <c r="K8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informes-cumplimiento</v>
      </c>
      <c r="L85" s="2" t="s">
        <v>1386</v>
      </c>
      <c r="M85" s="2" t="s">
        <v>1803</v>
      </c>
      <c r="N85" s="4" t="s">
        <v>360</v>
      </c>
      <c r="O85" s="4" t="s">
        <v>360</v>
      </c>
      <c r="P85" s="4" t="s">
        <v>360</v>
      </c>
      <c r="Q85" s="4" t="s">
        <v>360</v>
      </c>
      <c r="R85" s="4" t="s">
        <v>360</v>
      </c>
      <c r="S85" s="4" t="s">
        <v>360</v>
      </c>
      <c r="T85" s="4" t="s">
        <v>360</v>
      </c>
      <c r="U85" s="7" t="s">
        <v>360</v>
      </c>
      <c r="V85" s="2" t="str">
        <f>IF(Tabla_VMN[[#This Row],[id_padre]]=Tabla_VMN[[#This Row],[Id]],"NOK","OK")</f>
        <v>OK</v>
      </c>
      <c r="W85" s="2"/>
    </row>
    <row r="86" spans="1:23" hidden="1" x14ac:dyDescent="0.5">
      <c r="A86" s="2">
        <f>MAX(Tabla_Presupuesto[Id])</f>
        <v>403</v>
      </c>
      <c r="B86" s="2">
        <v>479</v>
      </c>
      <c r="C86" s="5">
        <f>IF(Tabla_VMN[[#This Row],[id_padre]]="",0,_xlfn.XLOOKUP(Tabla_VMN[[#This Row],[id_padre]],Tabla_VMN[Id],Tabla_VMN[Nivel],0,0,1)+1)</f>
        <v>3</v>
      </c>
      <c r="D86" s="2" t="s">
        <v>424</v>
      </c>
      <c r="E86" s="2">
        <f>IF(Tabla_VMN[[#This Row],[id_anterior]]=1,ROW()-1,SUM(ROW()-1,Tabla_VMN[[#This Row],[id_anterior]]))</f>
        <v>488</v>
      </c>
      <c r="F8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VIATICO_MONEDA_NACIONAL_INFORMES_POR_UNIDAD_INTERNA_INFORMES_CUMPLIMIENTO_POR_ESTADO</v>
      </c>
      <c r="G86" s="2" t="str">
        <f>CLEAN(PROPER(Tabla_VMN[[#This Row],[Nombre Opción]]))</f>
        <v>Informes De Cumplimiento Por Estado</v>
      </c>
      <c r="H86" s="2" t="s">
        <v>1735</v>
      </c>
      <c r="I86" s="2" t="str">
        <f>_xlfn.XLOOKUP(Tabla_VMN[[#This Row],[id_padre]],Tabla_VMN[Id],Tabla_VMN[Codigo_Tecnico],"",0,1)</f>
        <v>VIATICO_MONEDA_NACIONAL_INFORMES_POR_UNIDAD_INTERNA</v>
      </c>
      <c r="J8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/viatico-moneda-nacional/informes/por-unidad-interna/informes-cumplimiento-por-estado</v>
      </c>
      <c r="K8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informes-cumplimiento-por-estado</v>
      </c>
      <c r="L86" s="2" t="s">
        <v>1510</v>
      </c>
      <c r="M86" s="2" t="s">
        <v>1803</v>
      </c>
      <c r="N86" s="4" t="s">
        <v>360</v>
      </c>
      <c r="O86" s="4" t="s">
        <v>360</v>
      </c>
      <c r="P86" s="4" t="s">
        <v>360</v>
      </c>
      <c r="Q86" s="4" t="s">
        <v>360</v>
      </c>
      <c r="R86" s="4" t="s">
        <v>360</v>
      </c>
      <c r="S86" s="4" t="s">
        <v>360</v>
      </c>
      <c r="T86" s="4" t="s">
        <v>360</v>
      </c>
      <c r="U86" s="7" t="s">
        <v>360</v>
      </c>
      <c r="V86" s="2" t="str">
        <f>IF(Tabla_VMN[[#This Row],[id_padre]]=Tabla_VMN[[#This Row],[Id]],"NOK","OK")</f>
        <v>OK</v>
      </c>
      <c r="W86" s="2"/>
    </row>
    <row r="87" spans="1:23" hidden="1" x14ac:dyDescent="0.5">
      <c r="A87" s="2">
        <f>MAX(Tabla_Presupuesto[Id])</f>
        <v>403</v>
      </c>
      <c r="B87" s="2">
        <v>408</v>
      </c>
      <c r="C87" s="5">
        <f>IF(Tabla_VMN[[#This Row],[id_padre]]="",0,_xlfn.XLOOKUP(Tabla_VMN[[#This Row],[id_padre]],Tabla_VMN[Id],Tabla_VMN[Nivel],0,0,1)+1)</f>
        <v>2</v>
      </c>
      <c r="D87" s="2" t="s">
        <v>425</v>
      </c>
      <c r="E87" s="2">
        <f>IF(Tabla_VMN[[#This Row],[id_anterior]]=1,ROW()-1,SUM(ROW()-1,Tabla_VMN[[#This Row],[id_anterior]]))</f>
        <v>489</v>
      </c>
      <c r="F8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VIATICO_MONEDA_NACIONAL_INFORMES_RESOLUCION_COMISION</v>
      </c>
      <c r="G87" s="2" t="str">
        <f>CLEAN(PROPER(Tabla_VMN[[#This Row],[Nombre Opción]]))</f>
        <v>Resolucion De Comision</v>
      </c>
      <c r="H87" s="2" t="s">
        <v>1735</v>
      </c>
      <c r="I87" s="2" t="str">
        <f>_xlfn.XLOOKUP(Tabla_VMN[[#This Row],[id_padre]],Tabla_VMN[Id],Tabla_VMN[Codigo_Tecnico],"",0,1)</f>
        <v>VIATICO_MONEDA_NACIONAL_INFORMES</v>
      </c>
      <c r="J8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/viatico-moneda-nacional/informes/resolucion-comision</v>
      </c>
      <c r="K8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resolucion-comision</v>
      </c>
      <c r="L87" s="2" t="s">
        <v>1343</v>
      </c>
      <c r="M87" s="2" t="s">
        <v>1803</v>
      </c>
      <c r="N87" s="4" t="s">
        <v>360</v>
      </c>
      <c r="O87" s="4" t="s">
        <v>360</v>
      </c>
      <c r="P87" s="4" t="s">
        <v>360</v>
      </c>
      <c r="Q87" s="4" t="s">
        <v>360</v>
      </c>
      <c r="R87" s="4" t="s">
        <v>360</v>
      </c>
      <c r="S87" s="4" t="s">
        <v>360</v>
      </c>
      <c r="T87" s="4" t="s">
        <v>360</v>
      </c>
      <c r="U87" s="7" t="s">
        <v>360</v>
      </c>
      <c r="V87" s="2" t="str">
        <f>IF(Tabla_VMN[[#This Row],[id_padre]]=Tabla_VMN[[#This Row],[Id]],"NOK","OK")</f>
        <v>OK</v>
      </c>
      <c r="W87" s="2"/>
    </row>
    <row r="88" spans="1:23" hidden="1" x14ac:dyDescent="0.5">
      <c r="A88" s="2">
        <f>MAX(Tabla_Presupuesto[Id])</f>
        <v>403</v>
      </c>
      <c r="B88" s="2">
        <v>408</v>
      </c>
      <c r="C88" s="5">
        <f>IF(Tabla_VMN[[#This Row],[id_padre]]="",0,_xlfn.XLOOKUP(Tabla_VMN[[#This Row],[id_padre]],Tabla_VMN[Id],Tabla_VMN[Nivel],0,0,1)+1)</f>
        <v>2</v>
      </c>
      <c r="D88" s="2" t="s">
        <v>426</v>
      </c>
      <c r="E88" s="2">
        <f>IF(Tabla_VMN[[#This Row],[id_anterior]]=1,ROW()-1,SUM(ROW()-1,Tabla_VMN[[#This Row],[id_anterior]]))</f>
        <v>490</v>
      </c>
      <c r="F8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VIATICO_MONEDA_NACIONAL_INFORMES_INFORME_ED_CUMPLIMIENTO_COMISION</v>
      </c>
      <c r="G88" s="2" t="str">
        <f>CLEAN(PROPER(Tabla_VMN[[#This Row],[Nombre Opción]]))</f>
        <v>Informe Ed Cumplimiento De Comision</v>
      </c>
      <c r="H88" s="2" t="s">
        <v>1735</v>
      </c>
      <c r="I88" s="2" t="str">
        <f>_xlfn.XLOOKUP(Tabla_VMN[[#This Row],[id_padre]],Tabla_VMN[Id],Tabla_VMN[Codigo_Tecnico],"",0,1)</f>
        <v>VIATICO_MONEDA_NACIONAL_INFORMES</v>
      </c>
      <c r="J8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/viatico-moneda-nacional/informes/informe-ed-cumplimiento-comision</v>
      </c>
      <c r="K8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informe-ed-cumplimiento-comision</v>
      </c>
      <c r="L88" s="2" t="s">
        <v>1519</v>
      </c>
      <c r="M88" s="2" t="s">
        <v>1803</v>
      </c>
      <c r="N88" s="4" t="s">
        <v>360</v>
      </c>
      <c r="O88" s="4" t="s">
        <v>360</v>
      </c>
      <c r="P88" s="4" t="s">
        <v>360</v>
      </c>
      <c r="Q88" s="4" t="s">
        <v>360</v>
      </c>
      <c r="R88" s="4" t="s">
        <v>360</v>
      </c>
      <c r="S88" s="4" t="s">
        <v>360</v>
      </c>
      <c r="T88" s="4" t="s">
        <v>360</v>
      </c>
      <c r="U88" s="7" t="s">
        <v>360</v>
      </c>
      <c r="V88" s="2" t="str">
        <f>IF(Tabla_VMN[[#This Row],[id_padre]]=Tabla_VMN[[#This Row],[Id]],"NOK","OK")</f>
        <v>OK</v>
      </c>
      <c r="W88" s="2"/>
    </row>
    <row r="89" spans="1:23" hidden="1" x14ac:dyDescent="0.5">
      <c r="A89" s="2">
        <f>MAX(Tabla_Presupuesto[Id])</f>
        <v>403</v>
      </c>
      <c r="B89" s="2">
        <v>408</v>
      </c>
      <c r="C89" s="5">
        <f>IF(Tabla_VMN[[#This Row],[id_padre]]="",0,_xlfn.XLOOKUP(Tabla_VMN[[#This Row],[id_padre]],Tabla_VMN[Id],Tabla_VMN[Nivel],0,0,1)+1)</f>
        <v>2</v>
      </c>
      <c r="D89" s="2" t="s">
        <v>427</v>
      </c>
      <c r="E89" s="2">
        <f>IF(Tabla_VMN[[#This Row],[id_anterior]]=1,ROW()-1,SUM(ROW()-1,Tabla_VMN[[#This Row],[id_anterior]]))</f>
        <v>491</v>
      </c>
      <c r="F8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VIATICO_MONEDA_NACIONAL_INFORMES_CARTOLA_RESOLUCIONES__POR_FUNCIONARIO</v>
      </c>
      <c r="G89" s="2" t="str">
        <f>CLEAN(PROPER(Tabla_VMN[[#This Row],[Nombre Opción]]))</f>
        <v>Cartola De Resoluciones  Por Funcionario</v>
      </c>
      <c r="H89" s="2" t="s">
        <v>1735</v>
      </c>
      <c r="I89" s="2" t="str">
        <f>_xlfn.XLOOKUP(Tabla_VMN[[#This Row],[id_padre]],Tabla_VMN[Id],Tabla_VMN[Codigo_Tecnico],"",0,1)</f>
        <v>VIATICO_MONEDA_NACIONAL_INFORMES</v>
      </c>
      <c r="J8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/viatico-moneda-nacional/informes/cartola-resoluciones--por-funcionario</v>
      </c>
      <c r="K8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cartola-resoluciones--por-funcionario</v>
      </c>
      <c r="L89" s="2" t="s">
        <v>1349</v>
      </c>
      <c r="M89" s="2" t="s">
        <v>1803</v>
      </c>
      <c r="N89" s="4" t="s">
        <v>360</v>
      </c>
      <c r="O89" s="4" t="s">
        <v>360</v>
      </c>
      <c r="P89" s="4" t="s">
        <v>360</v>
      </c>
      <c r="Q89" s="4" t="s">
        <v>360</v>
      </c>
      <c r="R89" s="4" t="s">
        <v>360</v>
      </c>
      <c r="S89" s="4" t="s">
        <v>360</v>
      </c>
      <c r="T89" s="4" t="s">
        <v>360</v>
      </c>
      <c r="U89" s="7" t="s">
        <v>360</v>
      </c>
      <c r="V89" s="2" t="str">
        <f>IF(Tabla_VMN[[#This Row],[id_padre]]=Tabla_VMN[[#This Row],[Id]],"NOK","OK")</f>
        <v>OK</v>
      </c>
      <c r="W89" s="2"/>
    </row>
    <row r="90" spans="1:23" hidden="1" x14ac:dyDescent="0.5">
      <c r="A90" s="2">
        <f>MAX(Tabla_Presupuesto[Id])</f>
        <v>403</v>
      </c>
      <c r="B90" s="2">
        <v>408</v>
      </c>
      <c r="C90" s="5">
        <f>IF(Tabla_VMN[[#This Row],[id_padre]]="",0,_xlfn.XLOOKUP(Tabla_VMN[[#This Row],[id_padre]],Tabla_VMN[Id],Tabla_VMN[Nivel],0,0,1)+1)</f>
        <v>2</v>
      </c>
      <c r="D90" s="2" t="s">
        <v>428</v>
      </c>
      <c r="E90" s="2">
        <f>IF(Tabla_VMN[[#This Row],[id_anterior]]=1,ROW()-1,SUM(ROW()-1,Tabla_VMN[[#This Row],[id_anterior]]))</f>
        <v>492</v>
      </c>
      <c r="F9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VIATICO_MONEDA_NACIONAL_INFORMES_INFORMES_SIAPER</v>
      </c>
      <c r="G90" s="2" t="str">
        <f>CLEAN(PROPER(Tabla_VMN[[#This Row],[Nombre Opción]]))</f>
        <v>Informes Siaper</v>
      </c>
      <c r="H90" s="2" t="s">
        <v>1735</v>
      </c>
      <c r="I90" s="2" t="str">
        <f>_xlfn.XLOOKUP(Tabla_VMN[[#This Row],[id_padre]],Tabla_VMN[Id],Tabla_VMN[Codigo_Tecnico],"",0,1)</f>
        <v>VIATICO_MONEDA_NACIONAL_INFORMES</v>
      </c>
      <c r="J9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/viatico-moneda-nacional/informes/informes-siaper</v>
      </c>
      <c r="K9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informes-siaper</v>
      </c>
      <c r="L90" s="2" t="s">
        <v>1521</v>
      </c>
      <c r="M90" s="2" t="s">
        <v>1803</v>
      </c>
      <c r="N90" s="4" t="s">
        <v>360</v>
      </c>
      <c r="P90" s="4"/>
      <c r="Q90" s="4" t="s">
        <v>360</v>
      </c>
      <c r="R90" s="4"/>
      <c r="S90" s="4"/>
      <c r="T90" s="4" t="s">
        <v>360</v>
      </c>
      <c r="U90" s="7" t="s">
        <v>360</v>
      </c>
      <c r="V90" s="2" t="str">
        <f>IF(Tabla_VMN[[#This Row],[id_padre]]=Tabla_VMN[[#This Row],[Id]],"NOK","OK")</f>
        <v>OK</v>
      </c>
      <c r="W90" s="2"/>
    </row>
    <row r="91" spans="1:23" hidden="1" x14ac:dyDescent="0.5">
      <c r="A91" s="2">
        <f>MAX(Tabla_Presupuesto[Id])</f>
        <v>403</v>
      </c>
      <c r="B91" s="2">
        <v>492</v>
      </c>
      <c r="C91" s="5">
        <f>IF(Tabla_VMN[[#This Row],[id_padre]]="",0,_xlfn.XLOOKUP(Tabla_VMN[[#This Row],[id_padre]],Tabla_VMN[Id],Tabla_VMN[Nivel],0,0,1)+1)</f>
        <v>3</v>
      </c>
      <c r="D91" s="2" t="s">
        <v>429</v>
      </c>
      <c r="E91" s="2">
        <f>IF(Tabla_VMN[[#This Row],[id_anterior]]=1,ROW()-1,SUM(ROW()-1,Tabla_VMN[[#This Row],[id_anterior]]))</f>
        <v>493</v>
      </c>
      <c r="F9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VIATICO_MONEDA_NACIONAL_INFORMES_INFORMES_SIAPER_RESOLUCIONES_COMISION_ENVIADAS_POR_RENGO_FECHAS</v>
      </c>
      <c r="G91" s="2" t="str">
        <f>CLEAN(PROPER(Tabla_VMN[[#This Row],[Nombre Opción]]))</f>
        <v>Resoluciones De Comision Enviadas Por Rengo De Fechas</v>
      </c>
      <c r="H91" s="2" t="s">
        <v>1735</v>
      </c>
      <c r="I91" s="2" t="str">
        <f>_xlfn.XLOOKUP(Tabla_VMN[[#This Row],[id_padre]],Tabla_VMN[Id],Tabla_VMN[Codigo_Tecnico],"",0,1)</f>
        <v>VIATICO_MONEDA_NACIONAL_INFORMES_INFORMES_SIAPER</v>
      </c>
      <c r="J9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/viatico-moneda-nacional/informes/informes-siaper/resoluciones-comision-enviadas-por-rengo-fechas</v>
      </c>
      <c r="K9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resoluciones-comision-enviadas-por-rengo-fechas</v>
      </c>
      <c r="L91" s="2" t="s">
        <v>1436</v>
      </c>
      <c r="M91" s="2" t="s">
        <v>1803</v>
      </c>
      <c r="N91" s="4" t="s">
        <v>360</v>
      </c>
      <c r="P91" s="4"/>
      <c r="Q91" s="4" t="s">
        <v>360</v>
      </c>
      <c r="R91" s="4"/>
      <c r="S91" s="4"/>
      <c r="T91" s="4" t="s">
        <v>360</v>
      </c>
      <c r="U91" s="7" t="s">
        <v>360</v>
      </c>
      <c r="V91" s="2" t="str">
        <f>IF(Tabla_VMN[[#This Row],[id_padre]]=Tabla_VMN[[#This Row],[Id]],"NOK","OK")</f>
        <v>OK</v>
      </c>
      <c r="W91" s="2"/>
    </row>
    <row r="92" spans="1:23" hidden="1" x14ac:dyDescent="0.5">
      <c r="A92" s="2">
        <f>MAX(Tabla_Presupuesto[Id])</f>
        <v>403</v>
      </c>
      <c r="B92" s="2">
        <v>492</v>
      </c>
      <c r="C92" s="5">
        <f>IF(Tabla_VMN[[#This Row],[id_padre]]="",0,_xlfn.XLOOKUP(Tabla_VMN[[#This Row],[id_padre]],Tabla_VMN[Id],Tabla_VMN[Nivel],0,0,1)+1)</f>
        <v>3</v>
      </c>
      <c r="D92" s="2" t="s">
        <v>430</v>
      </c>
      <c r="E92" s="2">
        <f>IF(Tabla_VMN[[#This Row],[id_anterior]]=1,ROW()-1,SUM(ROW()-1,Tabla_VMN[[#This Row],[id_anterior]]))</f>
        <v>494</v>
      </c>
      <c r="F9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VIATICO_MONEDA_NACIONAL_INFORMES_INFORMES_SIAPER_RESOLUCIONES_COMISION_ENVIADAS_POR_RENGO_FUNCIONARIO</v>
      </c>
      <c r="G92" s="2" t="str">
        <f>CLEAN(PROPER(Tabla_VMN[[#This Row],[Nombre Opción]]))</f>
        <v>Resoluciones De Comision Enviadas Por Rengo Funcionario</v>
      </c>
      <c r="H92" s="2" t="s">
        <v>1735</v>
      </c>
      <c r="I92" s="2" t="str">
        <f>_xlfn.XLOOKUP(Tabla_VMN[[#This Row],[id_padre]],Tabla_VMN[Id],Tabla_VMN[Codigo_Tecnico],"",0,1)</f>
        <v>VIATICO_MONEDA_NACIONAL_INFORMES_INFORMES_SIAPER</v>
      </c>
      <c r="J9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/viatico-moneda-nacional/informes/informes-siaper/resoluciones-comision-enviadas-por-rengo-funcionario</v>
      </c>
      <c r="K9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resoluciones-comision-enviadas-por-rengo-funcionario</v>
      </c>
      <c r="L92" s="2" t="s">
        <v>1461</v>
      </c>
      <c r="M92" s="2" t="s">
        <v>1803</v>
      </c>
      <c r="N92" s="4" t="s">
        <v>360</v>
      </c>
      <c r="P92" s="4"/>
      <c r="Q92" s="4" t="s">
        <v>360</v>
      </c>
      <c r="R92" s="4"/>
      <c r="S92" s="4"/>
      <c r="T92" s="4" t="s">
        <v>360</v>
      </c>
      <c r="U92" s="7" t="s">
        <v>360</v>
      </c>
      <c r="V92" s="2" t="str">
        <f>IF(Tabla_VMN[[#This Row],[id_padre]]=Tabla_VMN[[#This Row],[Id]],"NOK","OK")</f>
        <v>OK</v>
      </c>
      <c r="W92" s="2"/>
    </row>
    <row r="93" spans="1:23" hidden="1" x14ac:dyDescent="0.5">
      <c r="A93" s="2">
        <f>MAX(Tabla_Presupuesto[Id])</f>
        <v>403</v>
      </c>
      <c r="B93" s="2">
        <v>492</v>
      </c>
      <c r="C93" s="5">
        <f>IF(Tabla_VMN[[#This Row],[id_padre]]="",0,_xlfn.XLOOKUP(Tabla_VMN[[#This Row],[id_padre]],Tabla_VMN[Id],Tabla_VMN[Nivel],0,0,1)+1)</f>
        <v>3</v>
      </c>
      <c r="D93" s="2" t="s">
        <v>431</v>
      </c>
      <c r="E93" s="2">
        <f>IF(Tabla_VMN[[#This Row],[id_anterior]]=1,ROW()-1,SUM(ROW()-1,Tabla_VMN[[#This Row],[id_anterior]]))</f>
        <v>495</v>
      </c>
      <c r="F9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VIATICO_MONEDA_NACIONAL_INFORMES_INFORMES_SIAPER_RESOLUCIONES_COMISION_ENVIADAS_POR_SERVICIO_EMISOR</v>
      </c>
      <c r="G93" s="2" t="str">
        <f>CLEAN(PROPER(Tabla_VMN[[#This Row],[Nombre Opción]]))</f>
        <v>Resoluciones De Comision Enviadas Por Servicio Emisor</v>
      </c>
      <c r="H93" s="2" t="s">
        <v>1735</v>
      </c>
      <c r="I93" s="2" t="str">
        <f>_xlfn.XLOOKUP(Tabla_VMN[[#This Row],[id_padre]],Tabla_VMN[Id],Tabla_VMN[Codigo_Tecnico],"",0,1)</f>
        <v>VIATICO_MONEDA_NACIONAL_INFORMES_INFORMES_SIAPER</v>
      </c>
      <c r="J9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/viatico-moneda-nacional/informes/informes-siaper/resoluciones-comision-enviadas-por-servicio-emisor</v>
      </c>
      <c r="K9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resoluciones-comision-enviadas-por-servicio-emisor</v>
      </c>
      <c r="L93" s="2" t="s">
        <v>1399</v>
      </c>
      <c r="M93" s="2" t="s">
        <v>1803</v>
      </c>
      <c r="N93" s="4" t="s">
        <v>360</v>
      </c>
      <c r="P93" s="4"/>
      <c r="Q93" s="4" t="s">
        <v>360</v>
      </c>
      <c r="R93" s="4"/>
      <c r="S93" s="4"/>
      <c r="T93" s="4" t="s">
        <v>360</v>
      </c>
      <c r="U93" s="7" t="s">
        <v>360</v>
      </c>
      <c r="V93" s="2" t="str">
        <f>IF(Tabla_VMN[[#This Row],[id_padre]]=Tabla_VMN[[#This Row],[Id]],"NOK","OK")</f>
        <v>OK</v>
      </c>
      <c r="W93" s="2"/>
    </row>
    <row r="94" spans="1:23" hidden="1" x14ac:dyDescent="0.5">
      <c r="A94" s="2">
        <f>MAX(Tabla_Presupuesto[Id])</f>
        <v>403</v>
      </c>
      <c r="B94" s="2">
        <v>408</v>
      </c>
      <c r="C94" s="5">
        <f>IF(Tabla_VMN[[#This Row],[id_padre]]="",0,_xlfn.XLOOKUP(Tabla_VMN[[#This Row],[id_padre]],Tabla_VMN[Id],Tabla_VMN[Nivel],0,0,1)+1)</f>
        <v>2</v>
      </c>
      <c r="D94" s="2" t="s">
        <v>412</v>
      </c>
      <c r="E94" s="2">
        <f>IF(Tabla_VMN[[#This Row],[id_anterior]]=1,ROW()-1,SUM(ROW()-1,Tabla_VMN[[#This Row],[id_anterior]]))</f>
        <v>496</v>
      </c>
      <c r="F9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</v>
      </c>
      <c r="G94" s="2" t="str">
        <f>CLEAN(PROPER(Tabla_VMN[[#This Row],[Nombre Opción]]))</f>
        <v>Categorizacion</v>
      </c>
      <c r="H94" s="2" t="s">
        <v>1735</v>
      </c>
      <c r="I94" s="2" t="str">
        <f>_xlfn.XLOOKUP(Tabla_VMN[[#This Row],[id_padre]],Tabla_VMN[Id],Tabla_VMN[Codigo_Tecnico],"",0,1)</f>
        <v>VIATICO_MONEDA_NACIONAL_INFORMES</v>
      </c>
      <c r="J9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</v>
      </c>
      <c r="K9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</v>
      </c>
      <c r="L94" s="2" t="s">
        <v>1407</v>
      </c>
      <c r="M94" s="2" t="s">
        <v>1803</v>
      </c>
      <c r="N94" s="4" t="s">
        <v>360</v>
      </c>
      <c r="O94" s="4" t="s">
        <v>360</v>
      </c>
      <c r="P94" s="4" t="s">
        <v>360</v>
      </c>
      <c r="Q94" s="4" t="s">
        <v>360</v>
      </c>
      <c r="R94" s="4" t="s">
        <v>360</v>
      </c>
      <c r="S94" s="4" t="s">
        <v>360</v>
      </c>
      <c r="T94" s="4" t="s">
        <v>360</v>
      </c>
      <c r="U94" s="7" t="s">
        <v>360</v>
      </c>
      <c r="V94" s="2" t="str">
        <f>IF(Tabla_VMN[[#This Row],[id_padre]]=Tabla_VMN[[#This Row],[Id]],"NOK","OK")</f>
        <v>OK</v>
      </c>
      <c r="W94" s="2"/>
    </row>
    <row r="95" spans="1:23" hidden="1" x14ac:dyDescent="0.5">
      <c r="A95" s="2">
        <f>MAX(Tabla_Presupuesto[Id])</f>
        <v>403</v>
      </c>
      <c r="B95" s="2">
        <v>496</v>
      </c>
      <c r="C95" s="5">
        <f>IF(Tabla_VMN[[#This Row],[id_padre]]="",0,_xlfn.XLOOKUP(Tabla_VMN[[#This Row],[id_padre]],Tabla_VMN[Id],Tabla_VMN[Nivel],0,0,1)+1)</f>
        <v>3</v>
      </c>
      <c r="D95" s="2" t="s">
        <v>26</v>
      </c>
      <c r="E95" s="2">
        <f>IF(Tabla_VMN[[#This Row],[id_anterior]]=1,ROW()-1,SUM(ROW()-1,Tabla_VMN[[#This Row],[id_anterior]]))</f>
        <v>497</v>
      </c>
      <c r="F9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VIATICO_MONEDA_NACIONAL_INFORMES_CATEGORIZACION_UNIDAD</v>
      </c>
      <c r="G95" s="2" t="str">
        <f>CLEAN(PROPER(Tabla_VMN[[#This Row],[Nombre Opción]]))</f>
        <v>Unidad</v>
      </c>
      <c r="H95" s="2" t="s">
        <v>1735</v>
      </c>
      <c r="I95" s="2" t="str">
        <f>_xlfn.XLOOKUP(Tabla_VMN[[#This Row],[id_padre]],Tabla_VMN[Id],Tabla_VMN[Codigo_Tecnico],"",0,1)</f>
        <v>VIATICO_MONEDA_NACIONAL_INFORMES_CATEGORIZACION</v>
      </c>
      <c r="J9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/viatico-moneda-nacional/informes/categorizacion/unidad</v>
      </c>
      <c r="K9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</v>
      </c>
      <c r="L95" s="2" t="s">
        <v>1341</v>
      </c>
      <c r="M95" s="2" t="s">
        <v>1803</v>
      </c>
      <c r="N95" s="4" t="s">
        <v>360</v>
      </c>
      <c r="O95" s="4" t="s">
        <v>360</v>
      </c>
      <c r="P95" s="4" t="s">
        <v>360</v>
      </c>
      <c r="Q95" s="4" t="s">
        <v>360</v>
      </c>
      <c r="R95" s="4" t="s">
        <v>360</v>
      </c>
      <c r="S95" s="4" t="s">
        <v>360</v>
      </c>
      <c r="T95" s="4" t="s">
        <v>360</v>
      </c>
      <c r="U95" s="7" t="s">
        <v>360</v>
      </c>
      <c r="V95" s="2" t="str">
        <f>IF(Tabla_VMN[[#This Row],[id_padre]]=Tabla_VMN[[#This Row],[Id]],"NOK","OK")</f>
        <v>OK</v>
      </c>
      <c r="W95" s="2"/>
    </row>
    <row r="96" spans="1:23" hidden="1" x14ac:dyDescent="0.5">
      <c r="A96" s="2">
        <f>MAX(Tabla_Presupuesto[Id])</f>
        <v>403</v>
      </c>
      <c r="B96" s="2">
        <v>497</v>
      </c>
      <c r="C96" s="5">
        <f>IF(Tabla_VMN[[#This Row],[id_padre]]="",0,_xlfn.XLOOKUP(Tabla_VMN[[#This Row],[id_padre]],Tabla_VMN[Id],Tabla_VMN[Nivel],0,0,1)+1)</f>
        <v>4</v>
      </c>
      <c r="D96" s="2" t="s">
        <v>432</v>
      </c>
      <c r="E96" s="2">
        <f>IF(Tabla_VMN[[#This Row],[id_anterior]]=1,ROW()-1,SUM(ROW()-1,Tabla_VMN[[#This Row],[id_anterior]]))</f>
        <v>498</v>
      </c>
      <c r="F96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VIATICO_MONEDA_NACIONAL_INFORMES_CATEGORIZACION_UNIDAD__CATEGORIZACION_RESOL_COMISIONES</v>
      </c>
      <c r="G96" s="2" t="str">
        <f>CLEAN(PROPER(Tabla_VMN[[#This Row],[Nombre Opción]]))</f>
        <v xml:space="preserve"> Categorizacion Resol. Comisiones</v>
      </c>
      <c r="H96" s="2" t="s">
        <v>1735</v>
      </c>
      <c r="I96" s="2" t="str">
        <f>_xlfn.XLOOKUP(Tabla_VMN[[#This Row],[id_padre]],Tabla_VMN[Id],Tabla_VMN[Codigo_Tecnico],"",0,1)</f>
        <v>VIATICO_MONEDA_NACIONAL_INFORMES_CATEGORIZACION_UNIDAD</v>
      </c>
      <c r="J96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/viatico-moneda-nacional/informes/categorizacion/unidad/-categorizacion-resol-comisiones</v>
      </c>
      <c r="K96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-categorizacion-resol-comisiones</v>
      </c>
      <c r="L96" s="2" t="s">
        <v>1457</v>
      </c>
      <c r="M96" s="2" t="s">
        <v>1803</v>
      </c>
      <c r="N96" s="4" t="s">
        <v>360</v>
      </c>
      <c r="O96" s="4" t="s">
        <v>360</v>
      </c>
      <c r="P96" s="4" t="s">
        <v>360</v>
      </c>
      <c r="Q96" s="4" t="s">
        <v>360</v>
      </c>
      <c r="R96" s="4" t="s">
        <v>360</v>
      </c>
      <c r="S96" s="4" t="s">
        <v>360</v>
      </c>
      <c r="T96" s="4" t="s">
        <v>360</v>
      </c>
      <c r="U96" s="7" t="s">
        <v>360</v>
      </c>
      <c r="V96" s="2" t="str">
        <f>IF(Tabla_VMN[[#This Row],[id_padre]]=Tabla_VMN[[#This Row],[Id]],"NOK","OK")</f>
        <v>OK</v>
      </c>
      <c r="W96" s="2"/>
    </row>
    <row r="97" spans="1:23" hidden="1" x14ac:dyDescent="0.5">
      <c r="A97" s="2">
        <f>MAX(Tabla_Presupuesto[Id])</f>
        <v>403</v>
      </c>
      <c r="B97" s="2">
        <v>498</v>
      </c>
      <c r="C97" s="5">
        <f>IF(Tabla_VMN[[#This Row],[id_padre]]="",0,_xlfn.XLOOKUP(Tabla_VMN[[#This Row],[id_padre]],Tabla_VMN[Id],Tabla_VMN[Nivel],0,0,1)+1)</f>
        <v>5</v>
      </c>
      <c r="D97" s="2" t="s">
        <v>26</v>
      </c>
      <c r="E97" s="2">
        <f>IF(Tabla_VMN[[#This Row],[id_anterior]]=1,ROW()-1,SUM(ROW()-1,Tabla_VMN[[#This Row],[id_anterior]]))</f>
        <v>499</v>
      </c>
      <c r="F97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VIATICO_MONEDA_NACIONAL_INFORMES_CATEGORIZACION_UNIDAD__CATEGORIZACION_RESOL_COMISIONES_UNIDAD</v>
      </c>
      <c r="G97" s="2" t="str">
        <f>CLEAN(PROPER(Tabla_VMN[[#This Row],[Nombre Opción]]))</f>
        <v>Unidad</v>
      </c>
      <c r="H97" s="2" t="s">
        <v>1735</v>
      </c>
      <c r="I97" s="2" t="str">
        <f>_xlfn.XLOOKUP(Tabla_VMN[[#This Row],[id_padre]],Tabla_VMN[Id],Tabla_VMN[Codigo_Tecnico],"",0,1)</f>
        <v>VIATICO_MONEDA_NACIONAL_INFORMES_CATEGORIZACION_UNIDAD__CATEGORIZACION_RESOL_COMISIONES</v>
      </c>
      <c r="J97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/viatico-moneda-nacional/informes/categorizacion/unidad/-categorizacion-resol-comisiones/unidad</v>
      </c>
      <c r="K97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</v>
      </c>
      <c r="L97" s="2" t="s">
        <v>1341</v>
      </c>
      <c r="M97" s="2" t="s">
        <v>1803</v>
      </c>
      <c r="N97" s="4" t="s">
        <v>360</v>
      </c>
      <c r="O97" s="4" t="s">
        <v>360</v>
      </c>
      <c r="P97" s="4" t="s">
        <v>360</v>
      </c>
      <c r="Q97" s="4" t="s">
        <v>360</v>
      </c>
      <c r="R97" s="4" t="s">
        <v>360</v>
      </c>
      <c r="S97" s="4" t="s">
        <v>360</v>
      </c>
      <c r="T97" s="4" t="s">
        <v>360</v>
      </c>
      <c r="U97" s="7" t="s">
        <v>360</v>
      </c>
      <c r="V97" s="2" t="str">
        <f>IF(Tabla_VMN[[#This Row],[id_padre]]=Tabla_VMN[[#This Row],[Id]],"NOK","OK")</f>
        <v>OK</v>
      </c>
      <c r="W97" s="2"/>
    </row>
    <row r="98" spans="1:23" hidden="1" x14ac:dyDescent="0.5">
      <c r="A98" s="2">
        <f>MAX(Tabla_Presupuesto[Id])</f>
        <v>403</v>
      </c>
      <c r="B98" s="2">
        <v>498</v>
      </c>
      <c r="C98" s="5">
        <f>IF(Tabla_VMN[[#This Row],[id_padre]]="",0,_xlfn.XLOOKUP(Tabla_VMN[[#This Row],[id_padre]],Tabla_VMN[Id],Tabla_VMN[Nivel],0,0,1)+1)</f>
        <v>5</v>
      </c>
      <c r="D98" s="2" t="s">
        <v>433</v>
      </c>
      <c r="E98" s="2">
        <f>IF(Tabla_VMN[[#This Row],[id_anterior]]=1,ROW()-1,SUM(ROW()-1,Tabla_VMN[[#This Row],[id_anterior]]))</f>
        <v>500</v>
      </c>
      <c r="F98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VIATICO_MONEDA_NACIONAL_INFORMES_CATEGORIZACION_UNIDAD__CATEGORIZACION_RESOL_COMISIONES_UNIDAD_U_II</v>
      </c>
      <c r="G98" s="2" t="str">
        <f>CLEAN(PROPER(Tabla_VMN[[#This Row],[Nombre Opción]]))</f>
        <v>Unidad / U. Ii.</v>
      </c>
      <c r="H98" s="2" t="s">
        <v>1735</v>
      </c>
      <c r="I98" s="2" t="str">
        <f>_xlfn.XLOOKUP(Tabla_VMN[[#This Row],[id_padre]],Tabla_VMN[Id],Tabla_VMN[Codigo_Tecnico],"",0,1)</f>
        <v>VIATICO_MONEDA_NACIONAL_INFORMES_CATEGORIZACION_UNIDAD__CATEGORIZACION_RESOL_COMISIONES</v>
      </c>
      <c r="J98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/viatico-moneda-nacional/informes/categorizacion/unidad/-categorizacion-resol-comisiones/unidad-u-ii</v>
      </c>
      <c r="K98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unidad-u-ii</v>
      </c>
      <c r="L98" s="2" t="s">
        <v>1389</v>
      </c>
      <c r="M98" s="2" t="s">
        <v>1803</v>
      </c>
      <c r="N98" s="4" t="s">
        <v>360</v>
      </c>
      <c r="O98" s="4" t="s">
        <v>360</v>
      </c>
      <c r="P98" s="4" t="s">
        <v>360</v>
      </c>
      <c r="Q98" s="4" t="s">
        <v>360</v>
      </c>
      <c r="R98" s="4" t="s">
        <v>360</v>
      </c>
      <c r="S98" s="4" t="s">
        <v>360</v>
      </c>
      <c r="T98" s="4" t="s">
        <v>360</v>
      </c>
      <c r="U98" s="7" t="s">
        <v>360</v>
      </c>
      <c r="V98" s="2" t="str">
        <f>IF(Tabla_VMN[[#This Row],[id_padre]]=Tabla_VMN[[#This Row],[Id]],"NOK","OK")</f>
        <v>OK</v>
      </c>
      <c r="W98" s="2"/>
    </row>
    <row r="99" spans="1:23" hidden="1" x14ac:dyDescent="0.5">
      <c r="A99" s="2">
        <f>MAX(Tabla_Presupuesto[Id])</f>
        <v>403</v>
      </c>
      <c r="B99" s="2">
        <v>498</v>
      </c>
      <c r="C99" s="5">
        <f>IF(Tabla_VMN[[#This Row],[id_padre]]="",0,_xlfn.XLOOKUP(Tabla_VMN[[#This Row],[id_padre]],Tabla_VMN[Id],Tabla_VMN[Nivel],0,0,1)+1)</f>
        <v>5</v>
      </c>
      <c r="D99" s="2" t="s">
        <v>434</v>
      </c>
      <c r="E99" s="2">
        <f>IF(Tabla_VMN[[#This Row],[id_anterior]]=1,ROW()-1,SUM(ROW()-1,Tabla_VMN[[#This Row],[id_anterior]]))</f>
        <v>501</v>
      </c>
      <c r="F99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VIATICO_MONEDA_NACIONAL_INFORMES_CATEGORIZACION_UNIDAD__CATEGORIZACION_RESOL_COMISIONES_UNIDAD_INTERNA</v>
      </c>
      <c r="G99" s="2" t="str">
        <f>CLEAN(PROPER(Tabla_VMN[[#This Row],[Nombre Opción]]))</f>
        <v>Unidad Interna</v>
      </c>
      <c r="H99" s="2" t="s">
        <v>1735</v>
      </c>
      <c r="I99" s="2" t="str">
        <f>_xlfn.XLOOKUP(Tabla_VMN[[#This Row],[id_padre]],Tabla_VMN[Id],Tabla_VMN[Codigo_Tecnico],"",0,1)</f>
        <v>VIATICO_MONEDA_NACIONAL_INFORMES_CATEGORIZACION_UNIDAD__CATEGORIZACION_RESOL_COMISIONES</v>
      </c>
      <c r="J99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/viatico-moneda-nacional/informes/categorizacion/unidad/-categorizacion-resol-comisiones/unidad-interna</v>
      </c>
      <c r="K99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unidad-interna</v>
      </c>
      <c r="L99" s="2" t="s">
        <v>1389</v>
      </c>
      <c r="M99" s="2" t="s">
        <v>1803</v>
      </c>
      <c r="N99" s="4" t="s">
        <v>360</v>
      </c>
      <c r="O99" s="4" t="s">
        <v>360</v>
      </c>
      <c r="P99" s="4" t="s">
        <v>360</v>
      </c>
      <c r="Q99" s="4" t="s">
        <v>360</v>
      </c>
      <c r="R99" s="4" t="s">
        <v>360</v>
      </c>
      <c r="S99" s="4" t="s">
        <v>360</v>
      </c>
      <c r="T99" s="4" t="s">
        <v>360</v>
      </c>
      <c r="U99" s="7" t="s">
        <v>360</v>
      </c>
      <c r="V99" s="2" t="str">
        <f>IF(Tabla_VMN[[#This Row],[id_padre]]=Tabla_VMN[[#This Row],[Id]],"NOK","OK")</f>
        <v>OK</v>
      </c>
      <c r="W99" s="2"/>
    </row>
    <row r="100" spans="1:23" hidden="1" x14ac:dyDescent="0.5">
      <c r="A100" s="2">
        <f>MAX(Tabla_Presupuesto[Id])</f>
        <v>403</v>
      </c>
      <c r="B100" s="2">
        <v>496</v>
      </c>
      <c r="C100" s="5">
        <f>IF(Tabla_VMN[[#This Row],[id_padre]]="",0,_xlfn.XLOOKUP(Tabla_VMN[[#This Row],[id_padre]],Tabla_VMN[Id],Tabla_VMN[Nivel],0,0,1)+1)</f>
        <v>3</v>
      </c>
      <c r="D100" s="2" t="s">
        <v>435</v>
      </c>
      <c r="E100" s="2">
        <f>IF(Tabla_VMN[[#This Row],[id_anterior]]=1,ROW()-1,SUM(ROW()-1,Tabla_VMN[[#This Row],[id_anterior]]))</f>
        <v>502</v>
      </c>
      <c r="F100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VIATICO_MONEDA_NACIONAL_INFORMES_CATEGORIZACION_RESOL_COMISIONES_CATEGORIZADOS_POR_UNIDAD</v>
      </c>
      <c r="G100" s="2" t="str">
        <f>CLEAN(PROPER(Tabla_VMN[[#This Row],[Nombre Opción]]))</f>
        <v>Resol. Comisiones Categorizados Por Unidad</v>
      </c>
      <c r="H100" s="2" t="s">
        <v>1735</v>
      </c>
      <c r="I100" s="2" t="str">
        <f>_xlfn.XLOOKUP(Tabla_VMN[[#This Row],[id_padre]],Tabla_VMN[Id],Tabla_VMN[Codigo_Tecnico],"",0,1)</f>
        <v>VIATICO_MONEDA_NACIONAL_INFORMES_CATEGORIZACION</v>
      </c>
      <c r="J100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/viatico-moneda-nacional/informes/categorizacion/resol-comisiones-categorizados-por-unidad</v>
      </c>
      <c r="K100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resol-comisiones-categorizados-por-unidad</v>
      </c>
      <c r="L100" s="2" t="s">
        <v>1341</v>
      </c>
      <c r="M100" s="2" t="s">
        <v>1803</v>
      </c>
      <c r="N100" s="4" t="s">
        <v>360</v>
      </c>
      <c r="O100" s="4" t="s">
        <v>360</v>
      </c>
      <c r="P100" s="4" t="s">
        <v>360</v>
      </c>
      <c r="Q100" s="4" t="s">
        <v>360</v>
      </c>
      <c r="R100" s="4" t="s">
        <v>360</v>
      </c>
      <c r="S100" s="4" t="s">
        <v>360</v>
      </c>
      <c r="T100" s="4" t="s">
        <v>360</v>
      </c>
      <c r="U100" s="7" t="s">
        <v>360</v>
      </c>
      <c r="V100" s="2" t="str">
        <f>IF(Tabla_VMN[[#This Row],[id_padre]]=Tabla_VMN[[#This Row],[Id]],"NOK","OK")</f>
        <v>OK</v>
      </c>
      <c r="W100" s="2"/>
    </row>
    <row r="101" spans="1:23" hidden="1" x14ac:dyDescent="0.5">
      <c r="A101" s="2">
        <f>MAX(Tabla_Presupuesto[Id])</f>
        <v>403</v>
      </c>
      <c r="B101" s="2">
        <v>496</v>
      </c>
      <c r="C101" s="5">
        <f>IF(Tabla_VMN[[#This Row],[id_padre]]="",0,_xlfn.XLOOKUP(Tabla_VMN[[#This Row],[id_padre]],Tabla_VMN[Id],Tabla_VMN[Nivel],0,0,1)+1)</f>
        <v>3</v>
      </c>
      <c r="D101" s="2" t="s">
        <v>436</v>
      </c>
      <c r="E101" s="2">
        <f>IF(Tabla_VMN[[#This Row],[id_anterior]]=1,ROW()-1,SUM(ROW()-1,Tabla_VMN[[#This Row],[id_anterior]]))</f>
        <v>503</v>
      </c>
      <c r="F101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VIATICO_MONEDA_NACIONAL_INFORMES_CATEGORIZACION_CONSOLIDADOS</v>
      </c>
      <c r="G101" s="2" t="str">
        <f>CLEAN(PROPER(Tabla_VMN[[#This Row],[Nombre Opción]]))</f>
        <v>Consolidados</v>
      </c>
      <c r="H101" s="2" t="s">
        <v>1735</v>
      </c>
      <c r="I101" s="2" t="str">
        <f>_xlfn.XLOOKUP(Tabla_VMN[[#This Row],[id_padre]],Tabla_VMN[Id],Tabla_VMN[Codigo_Tecnico],"",0,1)</f>
        <v>VIATICO_MONEDA_NACIONAL_INFORMES_CATEGORIZACION</v>
      </c>
      <c r="J101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/viatico-moneda-nacional/informes/categorizacion/consolidados</v>
      </c>
      <c r="K101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consolidados</v>
      </c>
      <c r="L101" s="2" t="s">
        <v>1412</v>
      </c>
      <c r="M101" s="2" t="s">
        <v>1803</v>
      </c>
      <c r="N101" s="4" t="s">
        <v>360</v>
      </c>
      <c r="O101" s="4" t="s">
        <v>360</v>
      </c>
      <c r="P101" s="4" t="s">
        <v>360</v>
      </c>
      <c r="Q101" s="4" t="s">
        <v>360</v>
      </c>
      <c r="R101" s="4" t="s">
        <v>360</v>
      </c>
      <c r="S101" s="4" t="s">
        <v>360</v>
      </c>
      <c r="T101" s="4" t="s">
        <v>360</v>
      </c>
      <c r="U101" s="7" t="s">
        <v>360</v>
      </c>
      <c r="V101" s="2" t="str">
        <f>IF(Tabla_VMN[[#This Row],[id_padre]]=Tabla_VMN[[#This Row],[Id]],"NOK","OK")</f>
        <v>OK</v>
      </c>
      <c r="W101" s="2"/>
    </row>
    <row r="102" spans="1:23" hidden="1" x14ac:dyDescent="0.5">
      <c r="A102" s="2">
        <f>MAX(Tabla_Presupuesto[Id])</f>
        <v>403</v>
      </c>
      <c r="B102" s="2">
        <v>503</v>
      </c>
      <c r="C102" s="5">
        <f>IF(Tabla_VMN[[#This Row],[id_padre]]="",0,_xlfn.XLOOKUP(Tabla_VMN[[#This Row],[id_padre]],Tabla_VMN[Id],Tabla_VMN[Nivel],0,0,1)+1)</f>
        <v>4</v>
      </c>
      <c r="D102" s="2" t="s">
        <v>437</v>
      </c>
      <c r="E102" s="2">
        <f>IF(Tabla_VMN[[#This Row],[id_anterior]]=1,ROW()-1,SUM(ROW()-1,Tabla_VMN[[#This Row],[id_anterior]]))</f>
        <v>504</v>
      </c>
      <c r="F102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VIATICO_MONEDA_NACIONAL_INFORMES_CATEGORIZACION_CONSOLIDADOS_CATEGORIZACION_RESOL_COMISIONES</v>
      </c>
      <c r="G102" s="2" t="str">
        <f>CLEAN(PROPER(Tabla_VMN[[#This Row],[Nombre Opción]]))</f>
        <v>Categorizacion Resol Comisiones</v>
      </c>
      <c r="H102" s="2" t="s">
        <v>1735</v>
      </c>
      <c r="I102" s="2" t="str">
        <f>_xlfn.XLOOKUP(Tabla_VMN[[#This Row],[id_padre]],Tabla_VMN[Id],Tabla_VMN[Codigo_Tecnico],"",0,1)</f>
        <v>VIATICO_MONEDA_NACIONAL_INFORMES_CATEGORIZACION_CONSOLIDADOS</v>
      </c>
      <c r="J102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/viatico-moneda-nacional/informes/categorizacion/consolidados/categorizacion-resol-comisiones</v>
      </c>
      <c r="K102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categorizacion-resol-comisiones</v>
      </c>
      <c r="L102" s="2" t="s">
        <v>1407</v>
      </c>
      <c r="M102" s="2" t="s">
        <v>1803</v>
      </c>
      <c r="N102" s="4" t="s">
        <v>360</v>
      </c>
      <c r="O102" s="4" t="s">
        <v>360</v>
      </c>
      <c r="P102" s="4" t="s">
        <v>360</v>
      </c>
      <c r="Q102" s="4" t="s">
        <v>360</v>
      </c>
      <c r="R102" s="4" t="s">
        <v>360</v>
      </c>
      <c r="S102" s="4" t="s">
        <v>360</v>
      </c>
      <c r="T102" s="4" t="s">
        <v>360</v>
      </c>
      <c r="U102" s="7" t="s">
        <v>360</v>
      </c>
      <c r="V102" s="2" t="str">
        <f>IF(Tabla_VMN[[#This Row],[id_padre]]=Tabla_VMN[[#This Row],[Id]],"NOK","OK")</f>
        <v>OK</v>
      </c>
      <c r="W102" s="2"/>
    </row>
    <row r="103" spans="1:23" hidden="1" x14ac:dyDescent="0.5">
      <c r="A103" s="2">
        <f>MAX(Tabla_Presupuesto[Id])</f>
        <v>403</v>
      </c>
      <c r="B103" s="2">
        <v>504</v>
      </c>
      <c r="C103" s="5">
        <f>IF(Tabla_VMN[[#This Row],[id_padre]]="",0,_xlfn.XLOOKUP(Tabla_VMN[[#This Row],[id_padre]],Tabla_VMN[Id],Tabla_VMN[Nivel],0,0,1)+1)</f>
        <v>5</v>
      </c>
      <c r="D103" s="2" t="s">
        <v>436</v>
      </c>
      <c r="E103" s="2">
        <f>IF(Tabla_VMN[[#This Row],[id_anterior]]=1,ROW()-1,SUM(ROW()-1,Tabla_VMN[[#This Row],[id_anterior]]))</f>
        <v>505</v>
      </c>
      <c r="F103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VIATICO_MONEDA_NACIONAL_INFORMES_CATEGORIZACION_CONSOLIDADOS_CATEGORIZACION_RESOL_COMISIONES_CONSOLIDADOS</v>
      </c>
      <c r="G103" s="2" t="str">
        <f>CLEAN(PROPER(Tabla_VMN[[#This Row],[Nombre Opción]]))</f>
        <v>Consolidados</v>
      </c>
      <c r="H103" s="2" t="s">
        <v>1735</v>
      </c>
      <c r="I103" s="2" t="str">
        <f>_xlfn.XLOOKUP(Tabla_VMN[[#This Row],[id_padre]],Tabla_VMN[Id],Tabla_VMN[Codigo_Tecnico],"",0,1)</f>
        <v>VIATICO_MONEDA_NACIONAL_INFORMES_CATEGORIZACION_CONSOLIDADOS_CATEGORIZACION_RESOL_COMISIONES</v>
      </c>
      <c r="J103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/viatico-moneda-nacional/informes/categorizacion/consolidados/categorizacion-resol-comisiones/consolidados</v>
      </c>
      <c r="K103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consolidados</v>
      </c>
      <c r="L103" s="2" t="s">
        <v>1412</v>
      </c>
      <c r="M103" s="2" t="s">
        <v>1803</v>
      </c>
      <c r="N103" s="4" t="s">
        <v>360</v>
      </c>
      <c r="O103" s="4" t="s">
        <v>360</v>
      </c>
      <c r="P103" s="4" t="s">
        <v>360</v>
      </c>
      <c r="Q103" s="4" t="s">
        <v>360</v>
      </c>
      <c r="R103" s="4" t="s">
        <v>360</v>
      </c>
      <c r="S103" s="4" t="s">
        <v>360</v>
      </c>
      <c r="T103" s="4" t="s">
        <v>360</v>
      </c>
      <c r="U103" s="7" t="s">
        <v>360</v>
      </c>
      <c r="V103" s="2" t="str">
        <f>IF(Tabla_VMN[[#This Row],[id_padre]]=Tabla_VMN[[#This Row],[Id]],"NOK","OK")</f>
        <v>OK</v>
      </c>
      <c r="W103" s="2"/>
    </row>
    <row r="104" spans="1:23" hidden="1" x14ac:dyDescent="0.5">
      <c r="A104" s="2">
        <f>MAX(Tabla_Presupuesto[Id])</f>
        <v>403</v>
      </c>
      <c r="B104" s="2">
        <v>408</v>
      </c>
      <c r="C104" s="5">
        <f>IF(Tabla_VMN[[#This Row],[id_padre]]="",0,_xlfn.XLOOKUP(Tabla_VMN[[#This Row],[id_padre]],Tabla_VMN[Id],Tabla_VMN[Nivel],0,0,1)+1)</f>
        <v>2</v>
      </c>
      <c r="D104" s="2" t="s">
        <v>438</v>
      </c>
      <c r="E104" s="2">
        <f>IF(Tabla_VMN[[#This Row],[id_anterior]]=1,ROW()-1,SUM(ROW()-1,Tabla_VMN[[#This Row],[id_anterior]]))</f>
        <v>506</v>
      </c>
      <c r="F104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VIATICO_MONEDA_NACIONAL_INFORMES_MAYOR_GASTO_POR_CAMBIO_ESCALA_VIATICOS</v>
      </c>
      <c r="G104" s="2" t="str">
        <f>CLEAN(PROPER(Tabla_VMN[[#This Row],[Nombre Opción]]))</f>
        <v>Mayor Gasto Por Cambio De Escala De Viaticos</v>
      </c>
      <c r="H104" s="2" t="s">
        <v>1735</v>
      </c>
      <c r="I104" s="2" t="str">
        <f>_xlfn.XLOOKUP(Tabla_VMN[[#This Row],[id_padre]],Tabla_VMN[Id],Tabla_VMN[Codigo_Tecnico],"",0,1)</f>
        <v>VIATICO_MONEDA_NACIONAL_INFORMES</v>
      </c>
      <c r="J104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/viatico-moneda-nacional/informes/mayor-gasto-por-cambio-escala-viaticos</v>
      </c>
      <c r="K104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mayor-gasto-por-cambio-escala-viaticos</v>
      </c>
      <c r="L104" s="2" t="s">
        <v>1413</v>
      </c>
      <c r="M104" s="2" t="s">
        <v>1803</v>
      </c>
      <c r="N104" s="4" t="s">
        <v>360</v>
      </c>
      <c r="O104" s="4" t="s">
        <v>360</v>
      </c>
      <c r="P104" s="4" t="s">
        <v>360</v>
      </c>
      <c r="Q104" s="4" t="s">
        <v>360</v>
      </c>
      <c r="R104" s="4" t="s">
        <v>360</v>
      </c>
      <c r="S104" s="4" t="s">
        <v>360</v>
      </c>
      <c r="U104" s="7" t="s">
        <v>360</v>
      </c>
      <c r="V104" s="2" t="str">
        <f>IF(Tabla_VMN[[#This Row],[id_padre]]=Tabla_VMN[[#This Row],[Id]],"NOK","OK")</f>
        <v>OK</v>
      </c>
      <c r="W104" s="2"/>
    </row>
    <row r="105" spans="1:23" hidden="1" x14ac:dyDescent="0.5">
      <c r="A105" s="2">
        <f>MAX(Tabla_Presupuesto[Id])</f>
        <v>403</v>
      </c>
      <c r="B105" s="2">
        <v>408</v>
      </c>
      <c r="C105" s="5">
        <f>IF(Tabla_VMN[[#This Row],[id_padre]]="",0,_xlfn.XLOOKUP(Tabla_VMN[[#This Row],[id_padre]],Tabla_VMN[Id],Tabla_VMN[Nivel],0,0,1)+1)</f>
        <v>2</v>
      </c>
      <c r="D105" s="2" t="s">
        <v>439</v>
      </c>
      <c r="E105" s="2">
        <f>IF(Tabla_VMN[[#This Row],[id_anterior]]=1,ROW()-1,SUM(ROW()-1,Tabla_VMN[[#This Row],[id_anterior]]))</f>
        <v>507</v>
      </c>
      <c r="F105" s="2" t="str">
        <f>IF(Tabla_VMN[[#This Row],[id_padre]]="",SUBSTITUTE(UPPER(Tabla_VMN[[#This Row],[Slug]]),"-","_"),CONCATENATE(_xlfn.XLOOKUP(Tabla_VMN[[#This Row],[id_padre]],Tabla_VMN[Id],Tabla_VMN[Codigo_Tecnico],"",0,1),"_",SUBSTITUTE(UPPER(Tabla_VMN[[#This Row],[Slug]]),"-","_")))</f>
        <v>VIATICO_MONEDA_NACIONAL_INFORMES_INFORME_RESOLUCION_PARA_INFORMES_CAIGG</v>
      </c>
      <c r="G105" s="2" t="str">
        <f>CLEAN(PROPER(Tabla_VMN[[#This Row],[Nombre Opción]]))</f>
        <v>Informe Resolucion Para Informes C.A.I.G.G</v>
      </c>
      <c r="H105" s="2" t="s">
        <v>1735</v>
      </c>
      <c r="I105" s="2" t="str">
        <f>_xlfn.XLOOKUP(Tabla_VMN[[#This Row],[id_padre]],Tabla_VMN[Id],Tabla_VMN[Codigo_Tecnico],"",0,1)</f>
        <v>VIATICO_MONEDA_NACIONAL_INFORMES</v>
      </c>
      <c r="J105" s="2" t="str">
        <f>IF(Tabla_VMN[[#This Row],[Nivel]]=0,CONCATENATE("/",Tabla_VMN[[#This Row],[Slug]]),CONCATENATE(_xlfn.XLOOKUP(Tabla_VMN[[#This Row],[id_padre]],Tabla_VMN[Id],Tabla_VMN[Ruta_Web],"",0,1),"/",Tabla_VMN[[#This Row],[Slug]]))</f>
        <v>/viatico-moneda-nacional/informes/informe-resolucion-para-informes-caigg</v>
      </c>
      <c r="K105" s="2" t="str">
        <f>SUBSTITUTE(SUBSTITUTE(SUBSTITUTE(SUBSTITUTE(SUBSTITUTE(SUBSTITUTE(SUBSTITUTE(SUBSTITUTE(SUBSTITUTE(SUBSTITUTE(SUBSTITUTE(SUBSTITUTE(SUBSTITUTE(SUBSTITUTE(SUBSTITUTE(SUBSTITUTE(SUBSTITUTE(SUBSTITUTE(SUBSTITUTE(SUBSTITUTE(SUBSTITUTE(LOWER(Tabla_VMN[[#This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informe-resolucion-para-informes-caigg</v>
      </c>
      <c r="L105" s="2" t="s">
        <v>1387</v>
      </c>
      <c r="M105" s="2" t="s">
        <v>1803</v>
      </c>
      <c r="N105" s="4" t="s">
        <v>360</v>
      </c>
      <c r="P105" s="4"/>
      <c r="Q105" s="4" t="s">
        <v>360</v>
      </c>
      <c r="R105" s="4"/>
      <c r="S105" s="4"/>
      <c r="U105" s="7" t="s">
        <v>360</v>
      </c>
      <c r="V105" s="2" t="str">
        <f>IF(Tabla_VMN[[#This Row],[id_padre]]=Tabla_VMN[[#This Row],[Id]],"NOK","OK")</f>
        <v>OK</v>
      </c>
      <c r="W105" s="2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D3F5F5C-8B00-41D4-B0E9-2C9483812EC7}">
          <x14:formula1>
            <xm:f>Modulos!$C$2:$C$15</xm:f>
          </x14:formula1>
          <xm:sqref>M2:M105</xm:sqref>
        </x14:dataValidation>
        <x14:dataValidation type="list" allowBlank="1" showInputMessage="1" showErrorMessage="1" xr:uid="{CB35AD88-B6EC-4A80-9A27-44191CD59920}">
          <x14:formula1>
            <xm:f>Lista!$A$2:$A$3</xm:f>
          </x14:formula1>
          <xm:sqref>N2:U105</xm:sqref>
        </x14:dataValidation>
        <x14:dataValidation type="list" allowBlank="1" showInputMessage="1" showErrorMessage="1" xr:uid="{3FBE2A54-5263-4586-937B-9E32543BE8E6}">
          <x14:formula1>
            <xm:f>Equipo!$B$2:$B$7</xm:f>
          </x14:formula1>
          <xm:sqref>W2:W105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448D-1792-44AC-BADD-FA8A776BE2C8}">
  <sheetPr codeName="Hoja10"/>
  <dimension ref="A1:AA47"/>
  <sheetViews>
    <sheetView zoomScale="70" zoomScaleNormal="70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V1" sqref="V1"/>
    </sheetView>
  </sheetViews>
  <sheetFormatPr baseColWidth="10" defaultColWidth="11.41015625" defaultRowHeight="14.35" x14ac:dyDescent="0.5"/>
  <cols>
    <col min="1" max="1" width="10.46875" hidden="1" customWidth="1"/>
    <col min="2" max="2" width="10.46875" bestFit="1" customWidth="1"/>
    <col min="3" max="3" width="10.46875" style="2" hidden="1" customWidth="1"/>
    <col min="4" max="4" width="38.29296875" hidden="1" customWidth="1"/>
    <col min="5" max="5" width="10.46875" bestFit="1" customWidth="1"/>
    <col min="6" max="6" width="122.5859375" style="2" hidden="1" customWidth="1"/>
    <col min="7" max="7" width="33.87890625" bestFit="1" customWidth="1"/>
    <col min="8" max="12" width="10.64453125" style="2" customWidth="1"/>
    <col min="13" max="13" width="10.46875" style="2" customWidth="1"/>
    <col min="14" max="14" width="5.64453125" style="2" customWidth="1"/>
    <col min="15" max="15" width="5.64453125" customWidth="1"/>
    <col min="16" max="18" width="5.64453125" style="2" customWidth="1"/>
    <col min="19" max="19" width="5.64453125" style="5" customWidth="1"/>
    <col min="20" max="25" width="5.64453125" style="4" customWidth="1"/>
    <col min="26" max="26" width="10.46875" customWidth="1"/>
    <col min="27" max="27" width="5.64453125" customWidth="1"/>
    <col min="28" max="16384" width="11.41015625" style="2"/>
  </cols>
  <sheetData>
    <row r="1" spans="1:27" s="3" customFormat="1" ht="101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441</v>
      </c>
      <c r="O1" s="3" t="s">
        <v>442</v>
      </c>
      <c r="P1" s="3" t="s">
        <v>443</v>
      </c>
      <c r="Q1" s="3" t="s">
        <v>444</v>
      </c>
      <c r="R1" s="3" t="s">
        <v>445</v>
      </c>
      <c r="S1" s="3" t="s">
        <v>446</v>
      </c>
      <c r="T1" s="3" t="s">
        <v>447</v>
      </c>
      <c r="U1" s="3" t="s">
        <v>448</v>
      </c>
      <c r="V1" s="3" t="s">
        <v>449</v>
      </c>
      <c r="W1" s="3" t="s">
        <v>450</v>
      </c>
      <c r="X1" s="3" t="s">
        <v>451</v>
      </c>
      <c r="Y1" s="3" t="s">
        <v>1932</v>
      </c>
      <c r="Z1" s="3" t="s">
        <v>2029</v>
      </c>
      <c r="AA1" s="3" t="s">
        <v>2023</v>
      </c>
    </row>
    <row r="2" spans="1:27" x14ac:dyDescent="0.5">
      <c r="A2" s="2">
        <f>MAX(Tabla_VMN[Id])</f>
        <v>507</v>
      </c>
      <c r="B2" s="2" t="s">
        <v>98</v>
      </c>
      <c r="C2" s="5">
        <f>IF(Tabla_CKS[[#This Row],[id_padre]]="",0,_xlfn.XLOOKUP(Tabla_CKS[[#This Row],[id_padre]],Tabla_CKS[Id],Tabla_CKS[Nivel],0,0,1)+1)</f>
        <v>0</v>
      </c>
      <c r="D2" s="2" t="s">
        <v>440</v>
      </c>
      <c r="E2" s="2">
        <f>IF(Tabla_CKS[[#This Row],[Id_anterior]]=1,ROW()-1,SUM(ROW()-1,Tabla_CKS[[#This Row],[Id_anterior]]))</f>
        <v>508</v>
      </c>
      <c r="F2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</v>
      </c>
      <c r="G2" s="2" t="str">
        <f>CLEAN(PROPER(Tabla_CKS[[#This Row],[Nombre Opción]]))</f>
        <v>Conciliación Cks</v>
      </c>
      <c r="H2" s="2" t="s">
        <v>1735</v>
      </c>
      <c r="I2" s="2" t="str">
        <f>_xlfn.XLOOKUP(Tabla_CKS[[#This Row],[id_padre]],Tabla_CKS[Id],Tabla_CKS[Codigo_Tecnico],"",0,1)</f>
        <v/>
      </c>
      <c r="J2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conciliacion-cks</v>
      </c>
      <c r="L2" s="2" t="s">
        <v>1374</v>
      </c>
      <c r="M2" s="2" t="s">
        <v>1797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4" t="s">
        <v>360</v>
      </c>
      <c r="X2" s="4" t="s">
        <v>360</v>
      </c>
      <c r="Y2" s="4" t="s">
        <v>360</v>
      </c>
      <c r="Z2" s="2" t="str">
        <f>IF(Tabla_CKS[[#This Row],[id_padre]]=Tabla_CKS[[#This Row],[Id]],"NOK","OK")</f>
        <v>OK</v>
      </c>
      <c r="AA2" s="2"/>
    </row>
    <row r="3" spans="1:27" x14ac:dyDescent="0.5">
      <c r="A3" s="2">
        <f>MAX(Tabla_VMN[Id])</f>
        <v>507</v>
      </c>
      <c r="B3">
        <v>508</v>
      </c>
      <c r="C3" s="5">
        <f>IF(Tabla_CKS[[#This Row],[id_padre]]="",0,_xlfn.XLOOKUP(Tabla_CKS[[#This Row],[id_padre]],Tabla_CKS[Id],Tabla_CKS[Nivel],0,0,1)+1)</f>
        <v>1</v>
      </c>
      <c r="D3" s="2" t="s">
        <v>18</v>
      </c>
      <c r="E3">
        <f>IF(Tabla_CKS[[#This Row],[Id_anterior]]=1,ROW()-1,SUM(ROW()-1,Tabla_CKS[[#This Row],[Id_anterior]]))</f>
        <v>509</v>
      </c>
      <c r="F3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</v>
      </c>
      <c r="G3" s="2" t="str">
        <f>CLEAN(PROPER(Tabla_CKS[[#This Row],[Nombre Opción]]))</f>
        <v>Parámetros</v>
      </c>
      <c r="H3" s="2" t="s">
        <v>1735</v>
      </c>
      <c r="I3" s="2" t="str">
        <f>_xlfn.XLOOKUP(Tabla_CKS[[#This Row],[id_padre]],Tabla_CKS[Id],Tabla_CKS[Codigo_Tecnico],"",0,1)</f>
        <v>CONCILIACION_CKS</v>
      </c>
      <c r="J3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2" t="s">
        <v>1797</v>
      </c>
      <c r="N3" s="4" t="s">
        <v>360</v>
      </c>
      <c r="O3" s="4"/>
      <c r="P3" s="4"/>
      <c r="Q3" s="4"/>
      <c r="R3" s="4"/>
      <c r="S3" s="4" t="s">
        <v>360</v>
      </c>
      <c r="U3" s="5"/>
      <c r="V3" s="5" t="s">
        <v>360</v>
      </c>
      <c r="W3" s="5"/>
      <c r="X3" s="5"/>
      <c r="Y3" s="4" t="s">
        <v>360</v>
      </c>
      <c r="Z3" s="2" t="str">
        <f>IF(Tabla_CKS[[#This Row],[id_padre]]=Tabla_CKS[[#This Row],[Id]],"NOK","OK")</f>
        <v>OK</v>
      </c>
      <c r="AA3" s="2"/>
    </row>
    <row r="4" spans="1:27" x14ac:dyDescent="0.5">
      <c r="A4" s="2">
        <f>MAX(Tabla_VMN[Id])</f>
        <v>507</v>
      </c>
      <c r="B4">
        <v>508</v>
      </c>
      <c r="C4" s="5">
        <f>IF(Tabla_CKS[[#This Row],[id_padre]]="",0,_xlfn.XLOOKUP(Tabla_CKS[[#This Row],[id_padre]],Tabla_CKS[Id],Tabla_CKS[Nivel],0,0,1)+1)</f>
        <v>1</v>
      </c>
      <c r="D4" s="2" t="s">
        <v>19</v>
      </c>
      <c r="E4">
        <f>IF(Tabla_CKS[[#This Row],[Id_anterior]]=1,ROW()-1,SUM(ROW()-1,Tabla_CKS[[#This Row],[Id_anterior]]))</f>
        <v>510</v>
      </c>
      <c r="F4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</v>
      </c>
      <c r="G4" s="2" t="str">
        <f>CLEAN(PROPER(Tabla_CKS[[#This Row],[Nombre Opción]]))</f>
        <v>Procesos</v>
      </c>
      <c r="H4" s="2" t="s">
        <v>1735</v>
      </c>
      <c r="I4" s="2" t="str">
        <f>_xlfn.XLOOKUP(Tabla_CKS[[#This Row],[id_padre]],Tabla_CKS[Id],Tabla_CKS[Codigo_Tecnico],"",0,1)</f>
        <v>CONCILIACION_CKS</v>
      </c>
      <c r="J4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2" t="s">
        <v>1338</v>
      </c>
      <c r="M4" s="2" t="s">
        <v>1797</v>
      </c>
      <c r="N4" s="4" t="s">
        <v>360</v>
      </c>
      <c r="O4" s="4" t="s">
        <v>360</v>
      </c>
      <c r="P4" s="4"/>
      <c r="Q4" s="4"/>
      <c r="R4" s="4"/>
      <c r="S4" s="4" t="s">
        <v>360</v>
      </c>
      <c r="U4" s="5"/>
      <c r="V4" s="5" t="s">
        <v>360</v>
      </c>
      <c r="W4" s="5"/>
      <c r="X4" s="5"/>
      <c r="Y4" s="4" t="s">
        <v>360</v>
      </c>
      <c r="Z4" s="2" t="str">
        <f>IF(Tabla_CKS[[#This Row],[id_padre]]=Tabla_CKS[[#This Row],[Id]],"NOK","OK")</f>
        <v>OK</v>
      </c>
      <c r="AA4" s="2"/>
    </row>
    <row r="5" spans="1:27" x14ac:dyDescent="0.5">
      <c r="A5" s="2">
        <f>MAX(Tabla_VMN[Id])</f>
        <v>507</v>
      </c>
      <c r="B5">
        <v>508</v>
      </c>
      <c r="C5" s="5">
        <f>IF(Tabla_CKS[[#This Row],[id_padre]]="",0,_xlfn.XLOOKUP(Tabla_CKS[[#This Row],[id_padre]],Tabla_CKS[Id],Tabla_CKS[Nivel],0,0,1)+1)</f>
        <v>1</v>
      </c>
      <c r="D5" s="2" t="s">
        <v>20</v>
      </c>
      <c r="E5">
        <f>IF(Tabla_CKS[[#This Row],[Id_anterior]]=1,ROW()-1,SUM(ROW()-1,Tabla_CKS[[#This Row],[Id_anterior]]))</f>
        <v>511</v>
      </c>
      <c r="F5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</v>
      </c>
      <c r="G5" s="2" t="str">
        <f>CLEAN(PROPER(Tabla_CKS[[#This Row],[Nombre Opción]]))</f>
        <v>Consultas</v>
      </c>
      <c r="H5" s="2" t="s">
        <v>1735</v>
      </c>
      <c r="I5" s="2" t="str">
        <f>_xlfn.XLOOKUP(Tabla_CKS[[#This Row],[id_padre]],Tabla_CKS[Id],Tabla_CKS[Codigo_Tecnico],"",0,1)</f>
        <v>CONCILIACION_CKS</v>
      </c>
      <c r="J5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2" t="s">
        <v>1339</v>
      </c>
      <c r="M5" s="2" t="s">
        <v>1797</v>
      </c>
      <c r="N5" s="4" t="s">
        <v>360</v>
      </c>
      <c r="O5" s="4" t="s">
        <v>360</v>
      </c>
      <c r="P5" s="4" t="s">
        <v>360</v>
      </c>
      <c r="Q5" s="4"/>
      <c r="R5" s="4"/>
      <c r="S5" s="4" t="s">
        <v>360</v>
      </c>
      <c r="U5" s="5"/>
      <c r="V5" s="5" t="s">
        <v>360</v>
      </c>
      <c r="W5" s="5"/>
      <c r="X5" s="5"/>
      <c r="Y5" s="4" t="s">
        <v>360</v>
      </c>
      <c r="Z5" s="2" t="str">
        <f>IF(Tabla_CKS[[#This Row],[id_padre]]=Tabla_CKS[[#This Row],[Id]],"NOK","OK")</f>
        <v>OK</v>
      </c>
      <c r="AA5" s="2"/>
    </row>
    <row r="6" spans="1:27" x14ac:dyDescent="0.5">
      <c r="A6" s="2">
        <f>MAX(Tabla_VMN[Id])</f>
        <v>507</v>
      </c>
      <c r="B6">
        <v>508</v>
      </c>
      <c r="C6" s="5">
        <f>IF(Tabla_CKS[[#This Row],[id_padre]]="",0,_xlfn.XLOOKUP(Tabla_CKS[[#This Row],[id_padre]],Tabla_CKS[Id],Tabla_CKS[Nivel],0,0,1)+1)</f>
        <v>1</v>
      </c>
      <c r="D6" s="2" t="s">
        <v>21</v>
      </c>
      <c r="E6">
        <f>IF(Tabla_CKS[[#This Row],[Id_anterior]]=1,ROW()-1,SUM(ROW()-1,Tabla_CKS[[#This Row],[Id_anterior]]))</f>
        <v>512</v>
      </c>
      <c r="F6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</v>
      </c>
      <c r="G6" s="2" t="str">
        <f>CLEAN(PROPER(Tabla_CKS[[#This Row],[Nombre Opción]]))</f>
        <v>Informes</v>
      </c>
      <c r="H6" s="2" t="s">
        <v>1735</v>
      </c>
      <c r="I6" s="2" t="str">
        <f>_xlfn.XLOOKUP(Tabla_CKS[[#This Row],[id_padre]],Tabla_CKS[Id],Tabla_CKS[Codigo_Tecnico],"",0,1)</f>
        <v>CONCILIACION_CKS</v>
      </c>
      <c r="J6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2" t="s">
        <v>1340</v>
      </c>
      <c r="M6" s="2" t="s">
        <v>1797</v>
      </c>
      <c r="N6" s="4" t="s">
        <v>360</v>
      </c>
      <c r="O6" s="4" t="s">
        <v>360</v>
      </c>
      <c r="P6" s="4" t="s">
        <v>360</v>
      </c>
      <c r="Q6" s="4"/>
      <c r="R6" s="4"/>
      <c r="S6" s="4" t="s">
        <v>360</v>
      </c>
      <c r="U6" s="5"/>
      <c r="V6" s="5" t="s">
        <v>360</v>
      </c>
      <c r="W6" s="5"/>
      <c r="X6" s="5"/>
      <c r="Y6" s="4" t="s">
        <v>360</v>
      </c>
      <c r="Z6" s="2" t="str">
        <f>IF(Tabla_CKS[[#This Row],[id_padre]]=Tabla_CKS[[#This Row],[Id]],"NOK","OK")</f>
        <v>OK</v>
      </c>
      <c r="AA6" s="2"/>
    </row>
    <row r="7" spans="1:27" x14ac:dyDescent="0.5">
      <c r="A7" s="2">
        <f>MAX(Tabla_VMN[Id])</f>
        <v>507</v>
      </c>
      <c r="B7">
        <v>509</v>
      </c>
      <c r="C7" s="5">
        <f>IF(Tabla_CKS[[#This Row],[id_padre]]="",0,_xlfn.XLOOKUP(Tabla_CKS[[#This Row],[id_padre]],Tabla_CKS[Id],Tabla_CKS[Nivel],0,0,1)+1)</f>
        <v>2</v>
      </c>
      <c r="D7" s="2" t="s">
        <v>452</v>
      </c>
      <c r="E7">
        <f>IF(Tabla_CKS[[#This Row],[Id_anterior]]=1,ROW()-1,SUM(ROW()-1,Tabla_CKS[[#This Row],[Id_anterior]]))</f>
        <v>513</v>
      </c>
      <c r="F7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CONCILIACION_CKS_PARAMETROS_INGRESO_CHEQUERA</v>
      </c>
      <c r="G7" s="2" t="str">
        <f>CLEAN(PROPER(Tabla_CKS[[#This Row],[Nombre Opción]]))</f>
        <v>Ingreso Chequera</v>
      </c>
      <c r="H7" s="2" t="s">
        <v>1735</v>
      </c>
      <c r="I7" s="2" t="str">
        <f>_xlfn.XLOOKUP(Tabla_CKS[[#This Row],[id_padre]],Tabla_CKS[Id],Tabla_CKS[Codigo_Tecnico],"",0,1)</f>
        <v>CONCILIACION_CKS_PARAMETROS</v>
      </c>
      <c r="J7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/conciliacion-cks/parametros/ingreso-chequera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ingreso-chequera</v>
      </c>
      <c r="L7" s="2" t="s">
        <v>1432</v>
      </c>
      <c r="M7" s="2" t="s">
        <v>1797</v>
      </c>
      <c r="N7" s="4" t="s">
        <v>360</v>
      </c>
      <c r="O7" s="4"/>
      <c r="P7" s="4"/>
      <c r="Q7" s="4"/>
      <c r="R7" s="4"/>
      <c r="S7" s="4" t="s">
        <v>360</v>
      </c>
      <c r="U7" s="5"/>
      <c r="V7" s="4" t="s">
        <v>360</v>
      </c>
      <c r="W7" s="5"/>
      <c r="X7" s="5"/>
      <c r="Y7" s="4" t="s">
        <v>360</v>
      </c>
      <c r="Z7" s="2" t="str">
        <f>IF(Tabla_CKS[[#This Row],[id_padre]]=Tabla_CKS[[#This Row],[Id]],"NOK","OK")</f>
        <v>OK</v>
      </c>
      <c r="AA7" s="2" t="s">
        <v>2009</v>
      </c>
    </row>
    <row r="8" spans="1:27" x14ac:dyDescent="0.5">
      <c r="A8" s="2">
        <f>MAX(Tabla_VMN[Id])</f>
        <v>507</v>
      </c>
      <c r="B8">
        <v>509</v>
      </c>
      <c r="C8" s="5">
        <f>IF(Tabla_CKS[[#This Row],[id_padre]]="",0,_xlfn.XLOOKUP(Tabla_CKS[[#This Row],[id_padre]],Tabla_CKS[Id],Tabla_CKS[Nivel],0,0,1)+1)</f>
        <v>2</v>
      </c>
      <c r="D8" s="2" t="s">
        <v>453</v>
      </c>
      <c r="E8">
        <f>IF(Tabla_CKS[[#This Row],[Id_anterior]]=1,ROW()-1,SUM(ROW()-1,Tabla_CKS[[#This Row],[Id_anterior]]))</f>
        <v>514</v>
      </c>
      <c r="F8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CONCILIACION_CKS_PARAMETROS_ASIGNACION_CHEQUES</v>
      </c>
      <c r="G8" s="2" t="str">
        <f>CLEAN(PROPER(Tabla_CKS[[#This Row],[Nombre Opción]]))</f>
        <v>Asignacion De Cheques</v>
      </c>
      <c r="H8" s="2" t="s">
        <v>1735</v>
      </c>
      <c r="I8" s="2" t="str">
        <f>_xlfn.XLOOKUP(Tabla_CKS[[#This Row],[id_padre]],Tabla_CKS[Id],Tabla_CKS[Codigo_Tecnico],"",0,1)</f>
        <v>CONCILIACION_CKS_PARAMETROS</v>
      </c>
      <c r="J8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/conciliacion-cks/parametros/asignacion-cheques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asignacion-cheques</v>
      </c>
      <c r="L8" s="2" t="s">
        <v>1526</v>
      </c>
      <c r="M8" s="2" t="s">
        <v>1797</v>
      </c>
      <c r="N8" s="4" t="s">
        <v>360</v>
      </c>
      <c r="O8" s="4"/>
      <c r="P8" s="4"/>
      <c r="Q8" s="4"/>
      <c r="R8" s="4"/>
      <c r="S8" s="4" t="s">
        <v>360</v>
      </c>
      <c r="U8" s="5"/>
      <c r="V8" s="4" t="s">
        <v>360</v>
      </c>
      <c r="W8" s="5"/>
      <c r="X8" s="5"/>
      <c r="Y8" s="4" t="s">
        <v>360</v>
      </c>
      <c r="Z8" s="2" t="str">
        <f>IF(Tabla_CKS[[#This Row],[id_padre]]=Tabla_CKS[[#This Row],[Id]],"NOK","OK")</f>
        <v>OK</v>
      </c>
      <c r="AA8" s="2"/>
    </row>
    <row r="9" spans="1:27" x14ac:dyDescent="0.5">
      <c r="A9" s="2">
        <f>MAX(Tabla_VMN[Id])</f>
        <v>507</v>
      </c>
      <c r="B9">
        <v>509</v>
      </c>
      <c r="C9" s="5">
        <f>IF(Tabla_CKS[[#This Row],[id_padre]]="",0,_xlfn.XLOOKUP(Tabla_CKS[[#This Row],[id_padre]],Tabla_CKS[Id],Tabla_CKS[Nivel],0,0,1)+1)</f>
        <v>2</v>
      </c>
      <c r="D9" s="2" t="s">
        <v>454</v>
      </c>
      <c r="E9">
        <f>IF(Tabla_CKS[[#This Row],[Id_anterior]]=1,ROW()-1,SUM(ROW()-1,Tabla_CKS[[#This Row],[Id_anterior]]))</f>
        <v>515</v>
      </c>
      <c r="F9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CONCILIACION_CKS_PARAMETROS_TIPOS_DOCUMENTOS</v>
      </c>
      <c r="G9" s="2" t="str">
        <f>CLEAN(PROPER(Tabla_CKS[[#This Row],[Nombre Opción]]))</f>
        <v>Tipos De Documentos</v>
      </c>
      <c r="H9" s="2" t="s">
        <v>1735</v>
      </c>
      <c r="I9" s="2" t="str">
        <f>_xlfn.XLOOKUP(Tabla_CKS[[#This Row],[id_padre]],Tabla_CKS[Id],Tabla_CKS[Codigo_Tecnico],"",0,1)</f>
        <v>CONCILIACION_CKS_PARAMETROS</v>
      </c>
      <c r="J9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/conciliacion-cks/parametros/tipos-documentos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tipos-documentos</v>
      </c>
      <c r="L9" s="2" t="s">
        <v>1343</v>
      </c>
      <c r="M9" s="2" t="s">
        <v>1797</v>
      </c>
      <c r="N9" s="4" t="s">
        <v>360</v>
      </c>
      <c r="O9" s="4"/>
      <c r="P9" s="4"/>
      <c r="Q9" s="4"/>
      <c r="R9" s="4"/>
      <c r="S9" s="4" t="s">
        <v>360</v>
      </c>
      <c r="U9" s="5"/>
      <c r="V9" s="4" t="s">
        <v>360</v>
      </c>
      <c r="W9" s="5"/>
      <c r="X9" s="5"/>
      <c r="Y9" s="4" t="s">
        <v>360</v>
      </c>
      <c r="Z9" s="2" t="str">
        <f>IF(Tabla_CKS[[#This Row],[id_padre]]=Tabla_CKS[[#This Row],[Id]],"NOK","OK")</f>
        <v>OK</v>
      </c>
      <c r="AA9" s="2"/>
    </row>
    <row r="10" spans="1:27" x14ac:dyDescent="0.5">
      <c r="A10" s="2">
        <f>MAX(Tabla_VMN[Id])</f>
        <v>507</v>
      </c>
      <c r="B10">
        <v>509</v>
      </c>
      <c r="C10" s="5">
        <f>IF(Tabla_CKS[[#This Row],[id_padre]]="",0,_xlfn.XLOOKUP(Tabla_CKS[[#This Row],[id_padre]],Tabla_CKS[Id],Tabla_CKS[Nivel],0,0,1)+1)</f>
        <v>2</v>
      </c>
      <c r="D10" s="2" t="s">
        <v>455</v>
      </c>
      <c r="E10">
        <f>IF(Tabla_CKS[[#This Row],[Id_anterior]]=1,ROW()-1,SUM(ROW()-1,Tabla_CKS[[#This Row],[Id_anterior]]))</f>
        <v>516</v>
      </c>
      <c r="F10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CONCILIACION_CKS_PARAMETROS_BANCOS</v>
      </c>
      <c r="G10" s="2" t="str">
        <f>CLEAN(PROPER(Tabla_CKS[[#This Row],[Nombre Opción]]))</f>
        <v>Bancos</v>
      </c>
      <c r="H10" s="2" t="s">
        <v>1735</v>
      </c>
      <c r="I10" s="2" t="str">
        <f>_xlfn.XLOOKUP(Tabla_CKS[[#This Row],[id_padre]],Tabla_CKS[Id],Tabla_CKS[Codigo_Tecnico],"",0,1)</f>
        <v>CONCILIACION_CKS_PARAMETROS</v>
      </c>
      <c r="J10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/conciliacion-cks/parametros/bancos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bancos</v>
      </c>
      <c r="L10" s="2" t="s">
        <v>1367</v>
      </c>
      <c r="M10" s="2" t="s">
        <v>1797</v>
      </c>
      <c r="N10" s="4" t="s">
        <v>360</v>
      </c>
      <c r="O10" s="4"/>
      <c r="P10" s="4"/>
      <c r="Q10" s="4"/>
      <c r="R10" s="4"/>
      <c r="S10" s="4" t="s">
        <v>360</v>
      </c>
      <c r="U10" s="5"/>
      <c r="V10" s="4" t="s">
        <v>360</v>
      </c>
      <c r="W10" s="5"/>
      <c r="X10" s="5"/>
      <c r="Y10" s="4" t="s">
        <v>360</v>
      </c>
      <c r="Z10" s="2" t="str">
        <f>IF(Tabla_CKS[[#This Row],[id_padre]]=Tabla_CKS[[#This Row],[Id]],"NOK","OK")</f>
        <v>OK</v>
      </c>
      <c r="AA10" s="2"/>
    </row>
    <row r="11" spans="1:27" x14ac:dyDescent="0.5">
      <c r="A11" s="2">
        <f>MAX(Tabla_VMN[Id])</f>
        <v>507</v>
      </c>
      <c r="B11">
        <v>509</v>
      </c>
      <c r="C11" s="5">
        <f>IF(Tabla_CKS[[#This Row],[id_padre]]="",0,_xlfn.XLOOKUP(Tabla_CKS[[#This Row],[id_padre]],Tabla_CKS[Id],Tabla_CKS[Nivel],0,0,1)+1)</f>
        <v>2</v>
      </c>
      <c r="D11" s="2" t="s">
        <v>456</v>
      </c>
      <c r="E11">
        <f>IF(Tabla_CKS[[#This Row],[Id_anterior]]=1,ROW()-1,SUM(ROW()-1,Tabla_CKS[[#This Row],[Id_anterior]]))</f>
        <v>517</v>
      </c>
      <c r="F11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CONCILIACION_CKS_PARAMETROS_PIE_FIRMA</v>
      </c>
      <c r="G11" s="2" t="str">
        <f>CLEAN(PROPER(Tabla_CKS[[#This Row],[Nombre Opción]]))</f>
        <v>Pie De Firma</v>
      </c>
      <c r="H11" s="2" t="s">
        <v>1735</v>
      </c>
      <c r="I11" s="2" t="str">
        <f>_xlfn.XLOOKUP(Tabla_CKS[[#This Row],[id_padre]],Tabla_CKS[Id],Tabla_CKS[Codigo_Tecnico],"",0,1)</f>
        <v>CONCILIACION_CKS_PARAMETROS</v>
      </c>
      <c r="J11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/conciliacion-cks/parametros/pie-firma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pie-firma</v>
      </c>
      <c r="L11" s="2" t="s">
        <v>1471</v>
      </c>
      <c r="M11" s="2" t="s">
        <v>1797</v>
      </c>
      <c r="N11" s="4" t="s">
        <v>360</v>
      </c>
      <c r="O11" s="4"/>
      <c r="P11" s="4"/>
      <c r="Q11" s="4"/>
      <c r="R11" s="4"/>
      <c r="S11" s="4" t="s">
        <v>360</v>
      </c>
      <c r="U11" s="5"/>
      <c r="V11" s="4" t="s">
        <v>360</v>
      </c>
      <c r="W11" s="5"/>
      <c r="X11" s="5"/>
      <c r="Y11" s="4" t="s">
        <v>360</v>
      </c>
      <c r="Z11" s="2" t="str">
        <f>IF(Tabla_CKS[[#This Row],[id_padre]]=Tabla_CKS[[#This Row],[Id]],"NOK","OK")</f>
        <v>OK</v>
      </c>
      <c r="AA11" s="2"/>
    </row>
    <row r="12" spans="1:27" x14ac:dyDescent="0.5">
      <c r="A12" s="2">
        <f>MAX(Tabla_VMN[Id])</f>
        <v>507</v>
      </c>
      <c r="B12">
        <v>509</v>
      </c>
      <c r="C12" s="5">
        <f>IF(Tabla_CKS[[#This Row],[id_padre]]="",0,_xlfn.XLOOKUP(Tabla_CKS[[#This Row],[id_padre]],Tabla_CKS[Id],Tabla_CKS[Nivel],0,0,1)+1)</f>
        <v>2</v>
      </c>
      <c r="D12" s="2" t="s">
        <v>457</v>
      </c>
      <c r="E12">
        <f>IF(Tabla_CKS[[#This Row],[Id_anterior]]=1,ROW()-1,SUM(ROW()-1,Tabla_CKS[[#This Row],[Id_anterior]]))</f>
        <v>518</v>
      </c>
      <c r="F12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CONCILIACION_CKS_PARAMETROS_MANTENCION_ENTIDAD_BANCARIA</v>
      </c>
      <c r="G12" s="2" t="str">
        <f>CLEAN(PROPER(Tabla_CKS[[#This Row],[Nombre Opción]]))</f>
        <v>Mantencion Entidad Bancaria</v>
      </c>
      <c r="H12" s="2" t="s">
        <v>1735</v>
      </c>
      <c r="I12" s="2" t="str">
        <f>_xlfn.XLOOKUP(Tabla_CKS[[#This Row],[id_padre]],Tabla_CKS[Id],Tabla_CKS[Codigo_Tecnico],"",0,1)</f>
        <v>CONCILIACION_CKS_PARAMETROS</v>
      </c>
      <c r="J12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/conciliacion-cks/parametros/mantencion-entidad-bancaria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mantencion-entidad-bancaria</v>
      </c>
      <c r="L12" s="2" t="s">
        <v>1401</v>
      </c>
      <c r="M12" s="2" t="s">
        <v>1797</v>
      </c>
      <c r="N12" s="4" t="s">
        <v>360</v>
      </c>
      <c r="O12" s="4" t="s">
        <v>360</v>
      </c>
      <c r="P12" s="4" t="s">
        <v>360</v>
      </c>
      <c r="Q12" s="4" t="s">
        <v>360</v>
      </c>
      <c r="R12" s="4"/>
      <c r="S12" s="4"/>
      <c r="U12" s="5"/>
      <c r="V12" s="4" t="s">
        <v>360</v>
      </c>
      <c r="W12" s="5"/>
      <c r="X12" s="4" t="s">
        <v>360</v>
      </c>
      <c r="Y12" s="4" t="s">
        <v>360</v>
      </c>
      <c r="Z12" s="2" t="str">
        <f>IF(Tabla_CKS[[#This Row],[id_padre]]=Tabla_CKS[[#This Row],[Id]],"NOK","OK")</f>
        <v>OK</v>
      </c>
      <c r="AA12" s="2"/>
    </row>
    <row r="13" spans="1:27" x14ac:dyDescent="0.5">
      <c r="A13" s="2">
        <f>MAX(Tabla_VMN[Id])</f>
        <v>507</v>
      </c>
      <c r="B13">
        <v>518</v>
      </c>
      <c r="C13" s="5">
        <f>IF(Tabla_CKS[[#This Row],[id_padre]]="",0,_xlfn.XLOOKUP(Tabla_CKS[[#This Row],[id_padre]],Tabla_CKS[Id],Tabla_CKS[Nivel],0,0,1)+1)</f>
        <v>3</v>
      </c>
      <c r="D13" s="2" t="s">
        <v>458</v>
      </c>
      <c r="E13">
        <f>IF(Tabla_CKS[[#This Row],[Id_anterior]]=1,ROW()-1,SUM(ROW()-1,Tabla_CKS[[#This Row],[Id_anterior]]))</f>
        <v>519</v>
      </c>
      <c r="F13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CONCILIACION_CKS_PARAMETROS_MANTENCION_ENTIDAD_BANCARIA_BANCO</v>
      </c>
      <c r="G13" s="2" t="str">
        <f>CLEAN(PROPER(Tabla_CKS[[#This Row],[Nombre Opción]]))</f>
        <v>Banco</v>
      </c>
      <c r="H13" s="2" t="s">
        <v>1735</v>
      </c>
      <c r="I13" s="2" t="str">
        <f>_xlfn.XLOOKUP(Tabla_CKS[[#This Row],[id_padre]],Tabla_CKS[Id],Tabla_CKS[Codigo_Tecnico],"",0,1)</f>
        <v>CONCILIACION_CKS_PARAMETROS_MANTENCION_ENTIDAD_BANCARIA</v>
      </c>
      <c r="J13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/conciliacion-cks/parametros/mantencion-entidad-bancaria/banco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banco</v>
      </c>
      <c r="L13" s="2" t="s">
        <v>1367</v>
      </c>
      <c r="M13" s="2" t="s">
        <v>1797</v>
      </c>
      <c r="N13" s="4" t="s">
        <v>360</v>
      </c>
      <c r="O13" s="4" t="s">
        <v>360</v>
      </c>
      <c r="P13" s="4" t="s">
        <v>360</v>
      </c>
      <c r="Q13" s="4" t="s">
        <v>360</v>
      </c>
      <c r="R13" s="4"/>
      <c r="S13" s="4"/>
      <c r="U13" s="5"/>
      <c r="V13" s="4" t="s">
        <v>360</v>
      </c>
      <c r="W13" s="5"/>
      <c r="X13" s="4" t="s">
        <v>360</v>
      </c>
      <c r="Y13" s="4" t="s">
        <v>360</v>
      </c>
      <c r="Z13" s="2" t="str">
        <f>IF(Tabla_CKS[[#This Row],[id_padre]]=Tabla_CKS[[#This Row],[Id]],"NOK","OK")</f>
        <v>OK</v>
      </c>
      <c r="AA13" s="2"/>
    </row>
    <row r="14" spans="1:27" x14ac:dyDescent="0.5">
      <c r="A14" s="2">
        <f>MAX(Tabla_VMN[Id])</f>
        <v>507</v>
      </c>
      <c r="B14">
        <v>518</v>
      </c>
      <c r="C14" s="5">
        <f>IF(Tabla_CKS[[#This Row],[id_padre]]="",0,_xlfn.XLOOKUP(Tabla_CKS[[#This Row],[id_padre]],Tabla_CKS[Id],Tabla_CKS[Nivel],0,0,1)+1)</f>
        <v>3</v>
      </c>
      <c r="D14" s="2" t="s">
        <v>459</v>
      </c>
      <c r="E14">
        <f>IF(Tabla_CKS[[#This Row],[Id_anterior]]=1,ROW()-1,SUM(ROW()-1,Tabla_CKS[[#This Row],[Id_anterior]]))</f>
        <v>520</v>
      </c>
      <c r="F14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CONCILIACION_CKS_PARAMETROS_MANTENCION_ENTIDAD_BANCARIA_SUCURSAL</v>
      </c>
      <c r="G14" s="2" t="str">
        <f>CLEAN(PROPER(Tabla_CKS[[#This Row],[Nombre Opción]]))</f>
        <v>Sucursal</v>
      </c>
      <c r="H14" s="2" t="s">
        <v>1735</v>
      </c>
      <c r="I14" s="2" t="str">
        <f>_xlfn.XLOOKUP(Tabla_CKS[[#This Row],[id_padre]],Tabla_CKS[Id],Tabla_CKS[Codigo_Tecnico],"",0,1)</f>
        <v>CONCILIACION_CKS_PARAMETROS_MANTENCION_ENTIDAD_BANCARIA</v>
      </c>
      <c r="J14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/conciliacion-cks/parametros/mantencion-entidad-bancaria/sucursal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sucursal</v>
      </c>
      <c r="L14" s="2" t="s">
        <v>1527</v>
      </c>
      <c r="M14" s="2" t="s">
        <v>1797</v>
      </c>
      <c r="N14" s="4" t="s">
        <v>360</v>
      </c>
      <c r="O14" s="4" t="s">
        <v>360</v>
      </c>
      <c r="P14" s="4" t="s">
        <v>360</v>
      </c>
      <c r="Q14" s="4" t="s">
        <v>360</v>
      </c>
      <c r="R14" s="4"/>
      <c r="S14" s="4"/>
      <c r="U14" s="5"/>
      <c r="V14" s="4" t="s">
        <v>360</v>
      </c>
      <c r="W14" s="5"/>
      <c r="X14" s="4" t="s">
        <v>360</v>
      </c>
      <c r="Y14" s="4" t="s">
        <v>360</v>
      </c>
      <c r="Z14" s="2" t="str">
        <f>IF(Tabla_CKS[[#This Row],[id_padre]]=Tabla_CKS[[#This Row],[Id]],"NOK","OK")</f>
        <v>OK</v>
      </c>
      <c r="AA14" s="2"/>
    </row>
    <row r="15" spans="1:27" x14ac:dyDescent="0.5">
      <c r="A15" s="2">
        <f>MAX(Tabla_VMN[Id])</f>
        <v>507</v>
      </c>
      <c r="B15">
        <v>518</v>
      </c>
      <c r="C15" s="5">
        <f>IF(Tabla_CKS[[#This Row],[id_padre]]="",0,_xlfn.XLOOKUP(Tabla_CKS[[#This Row],[id_padre]],Tabla_CKS[Id],Tabla_CKS[Nivel],0,0,1)+1)</f>
        <v>3</v>
      </c>
      <c r="D15" s="2" t="s">
        <v>460</v>
      </c>
      <c r="E15">
        <f>IF(Tabla_CKS[[#This Row],[Id_anterior]]=1,ROW()-1,SUM(ROW()-1,Tabla_CKS[[#This Row],[Id_anterior]]))</f>
        <v>521</v>
      </c>
      <c r="F15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CONCILIACION_CKS_PARAMETROS_MANTENCION_ENTIDAD_BANCARIA_FORMAS_PAGO</v>
      </c>
      <c r="G15" s="2" t="str">
        <f>CLEAN(PROPER(Tabla_CKS[[#This Row],[Nombre Opción]]))</f>
        <v>Formas De Pago</v>
      </c>
      <c r="H15" s="2" t="s">
        <v>1735</v>
      </c>
      <c r="I15" s="2" t="str">
        <f>_xlfn.XLOOKUP(Tabla_CKS[[#This Row],[id_padre]],Tabla_CKS[Id],Tabla_CKS[Codigo_Tecnico],"",0,1)</f>
        <v>CONCILIACION_CKS_PARAMETROS_MANTENCION_ENTIDAD_BANCARIA</v>
      </c>
      <c r="J15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/conciliacion-cks/parametros/mantencion-entidad-bancaria/formas-pago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formas-pago</v>
      </c>
      <c r="L15" s="2" t="s">
        <v>1353</v>
      </c>
      <c r="M15" s="2" t="s">
        <v>1797</v>
      </c>
      <c r="N15" s="4" t="s">
        <v>360</v>
      </c>
      <c r="O15" s="4" t="s">
        <v>360</v>
      </c>
      <c r="P15" s="4" t="s">
        <v>360</v>
      </c>
      <c r="Q15" s="4" t="s">
        <v>360</v>
      </c>
      <c r="R15" s="4"/>
      <c r="S15" s="4"/>
      <c r="U15" s="5"/>
      <c r="V15" s="4" t="s">
        <v>360</v>
      </c>
      <c r="W15" s="4" t="s">
        <v>360</v>
      </c>
      <c r="Y15" s="4" t="s">
        <v>360</v>
      </c>
      <c r="Z15" s="2" t="str">
        <f>IF(Tabla_CKS[[#This Row],[id_padre]]=Tabla_CKS[[#This Row],[Id]],"NOK","OK")</f>
        <v>OK</v>
      </c>
      <c r="AA15" s="2"/>
    </row>
    <row r="16" spans="1:27" x14ac:dyDescent="0.5">
      <c r="A16" s="2">
        <f>MAX(Tabla_VMN[Id])</f>
        <v>507</v>
      </c>
      <c r="B16">
        <v>510</v>
      </c>
      <c r="C16" s="5">
        <f>IF(Tabla_CKS[[#This Row],[id_padre]]="",0,_xlfn.XLOOKUP(Tabla_CKS[[#This Row],[id_padre]],Tabla_CKS[Id],Tabla_CKS[Nivel],0,0,1)+1)</f>
        <v>2</v>
      </c>
      <c r="D16" s="2" t="s">
        <v>460</v>
      </c>
      <c r="E16">
        <f>IF(Tabla_CKS[[#This Row],[Id_anterior]]=1,ROW()-1,SUM(ROW()-1,Tabla_CKS[[#This Row],[Id_anterior]]))</f>
        <v>522</v>
      </c>
      <c r="F16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CONCILIACION_CKS_PROCESOS_FORMAS_PAGO</v>
      </c>
      <c r="G16" s="2" t="str">
        <f>CLEAN(PROPER(Tabla_CKS[[#This Row],[Nombre Opción]]))</f>
        <v>Formas De Pago</v>
      </c>
      <c r="H16" s="2" t="s">
        <v>1735</v>
      </c>
      <c r="I16" s="2" t="str">
        <f>_xlfn.XLOOKUP(Tabla_CKS[[#This Row],[id_padre]],Tabla_CKS[Id],Tabla_CKS[Codigo_Tecnico],"",0,1)</f>
        <v>CONCILIACION_CKS_PROCESOS</v>
      </c>
      <c r="J16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/conciliacion-cks/procesos/formas-pago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formas-pago</v>
      </c>
      <c r="L16" s="2" t="s">
        <v>1353</v>
      </c>
      <c r="M16" s="2" t="s">
        <v>1797</v>
      </c>
      <c r="N16" s="4" t="s">
        <v>360</v>
      </c>
      <c r="O16" s="4" t="s">
        <v>360</v>
      </c>
      <c r="P16" s="4"/>
      <c r="Q16" s="4"/>
      <c r="R16" s="4"/>
      <c r="S16" s="4" t="s">
        <v>360</v>
      </c>
      <c r="U16" s="5"/>
      <c r="V16" s="5" t="s">
        <v>360</v>
      </c>
      <c r="W16" s="5"/>
      <c r="X16" s="5"/>
      <c r="Y16" s="4" t="s">
        <v>360</v>
      </c>
      <c r="Z16" s="2" t="str">
        <f>IF(Tabla_CKS[[#This Row],[id_padre]]=Tabla_CKS[[#This Row],[Id]],"NOK","OK")</f>
        <v>OK</v>
      </c>
      <c r="AA16" s="2"/>
    </row>
    <row r="17" spans="1:27" x14ac:dyDescent="0.5">
      <c r="A17" s="2">
        <f>MAX(Tabla_VMN[Id])</f>
        <v>507</v>
      </c>
      <c r="B17">
        <v>510</v>
      </c>
      <c r="C17" s="5">
        <f>IF(Tabla_CKS[[#This Row],[id_padre]]="",0,_xlfn.XLOOKUP(Tabla_CKS[[#This Row],[id_padre]],Tabla_CKS[Id],Tabla_CKS[Nivel],0,0,1)+1)</f>
        <v>2</v>
      </c>
      <c r="D17" s="2" t="s">
        <v>461</v>
      </c>
      <c r="E17">
        <f>IF(Tabla_CKS[[#This Row],[Id_anterior]]=1,ROW()-1,SUM(ROW()-1,Tabla_CKS[[#This Row],[Id_anterior]]))</f>
        <v>523</v>
      </c>
      <c r="F17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CONCILIACION_CKS_PROCESOS_PAGOS</v>
      </c>
      <c r="G17" s="2" t="str">
        <f>CLEAN(PROPER(Tabla_CKS[[#This Row],[Nombre Opción]]))</f>
        <v>Pagos</v>
      </c>
      <c r="H17" s="2" t="s">
        <v>1735</v>
      </c>
      <c r="I17" s="2" t="str">
        <f>_xlfn.XLOOKUP(Tabla_CKS[[#This Row],[id_padre]],Tabla_CKS[Id],Tabla_CKS[Codigo_Tecnico],"",0,1)</f>
        <v>CONCILIACION_CKS_PROCESOS</v>
      </c>
      <c r="J17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/conciliacion-cks/procesos/pagos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pagos</v>
      </c>
      <c r="L17" s="2" t="s">
        <v>1417</v>
      </c>
      <c r="M17" s="2" t="s">
        <v>1797</v>
      </c>
      <c r="N17" s="4" t="s">
        <v>360</v>
      </c>
      <c r="O17" s="4" t="s">
        <v>360</v>
      </c>
      <c r="P17" s="4"/>
      <c r="Q17" s="4"/>
      <c r="R17" s="4"/>
      <c r="S17" s="4" t="s">
        <v>360</v>
      </c>
      <c r="U17" s="5"/>
      <c r="V17" s="5" t="s">
        <v>360</v>
      </c>
      <c r="W17" s="5"/>
      <c r="X17" s="5"/>
      <c r="Y17" s="4" t="s">
        <v>360</v>
      </c>
      <c r="Z17" s="2" t="str">
        <f>IF(Tabla_CKS[[#This Row],[id_padre]]=Tabla_CKS[[#This Row],[Id]],"NOK","OK")</f>
        <v>OK</v>
      </c>
      <c r="AA17" s="2"/>
    </row>
    <row r="18" spans="1:27" x14ac:dyDescent="0.5">
      <c r="A18" s="2">
        <f>MAX(Tabla_VMN[Id])</f>
        <v>507</v>
      </c>
      <c r="B18">
        <v>523</v>
      </c>
      <c r="C18" s="5">
        <f>IF(Tabla_CKS[[#This Row],[id_padre]]="",0,_xlfn.XLOOKUP(Tabla_CKS[[#This Row],[id_padre]],Tabla_CKS[Id],Tabla_CKS[Nivel],0,0,1)+1)</f>
        <v>3</v>
      </c>
      <c r="D18" s="2" t="s">
        <v>462</v>
      </c>
      <c r="E18">
        <f>IF(Tabla_CKS[[#This Row],[Id_anterior]]=1,ROW()-1,SUM(ROW()-1,Tabla_CKS[[#This Row],[Id_anterior]]))</f>
        <v>524</v>
      </c>
      <c r="F18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CONCILIACION_CKS_PROCESOS_PAGOS_IMPRESION_CHEQUES</v>
      </c>
      <c r="G18" s="2" t="str">
        <f>CLEAN(PROPER(Tabla_CKS[[#This Row],[Nombre Opción]]))</f>
        <v>Impresión De Cheques</v>
      </c>
      <c r="H18" s="2" t="s">
        <v>1735</v>
      </c>
      <c r="I18" s="2" t="str">
        <f>_xlfn.XLOOKUP(Tabla_CKS[[#This Row],[id_padre]],Tabla_CKS[Id],Tabla_CKS[Codigo_Tecnico],"",0,1)</f>
        <v>CONCILIACION_CKS_PROCESOS_PAGOS</v>
      </c>
      <c r="J18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/conciliacion-cks/procesos/pagos/impresion-cheques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impresion-cheques</v>
      </c>
      <c r="L18" s="2" t="s">
        <v>1335</v>
      </c>
      <c r="M18" s="2" t="s">
        <v>1797</v>
      </c>
      <c r="N18" s="4" t="s">
        <v>360</v>
      </c>
      <c r="O18" s="4" t="s">
        <v>360</v>
      </c>
      <c r="P18" s="4"/>
      <c r="Q18" s="4"/>
      <c r="R18" s="4"/>
      <c r="S18" s="4" t="s">
        <v>360</v>
      </c>
      <c r="U18" s="5"/>
      <c r="V18" s="5" t="s">
        <v>360</v>
      </c>
      <c r="W18" s="5"/>
      <c r="X18" s="5"/>
      <c r="Y18" s="4" t="s">
        <v>360</v>
      </c>
      <c r="Z18" s="2" t="str">
        <f>IF(Tabla_CKS[[#This Row],[id_padre]]=Tabla_CKS[[#This Row],[Id]],"NOK","OK")</f>
        <v>OK</v>
      </c>
      <c r="AA18" s="2"/>
    </row>
    <row r="19" spans="1:27" x14ac:dyDescent="0.5">
      <c r="A19" s="2">
        <f>MAX(Tabla_VMN[Id])</f>
        <v>507</v>
      </c>
      <c r="B19">
        <v>523</v>
      </c>
      <c r="C19" s="5">
        <f>IF(Tabla_CKS[[#This Row],[id_padre]]="",0,_xlfn.XLOOKUP(Tabla_CKS[[#This Row],[id_padre]],Tabla_CKS[Id],Tabla_CKS[Nivel],0,0,1)+1)</f>
        <v>3</v>
      </c>
      <c r="D19" s="2" t="s">
        <v>463</v>
      </c>
      <c r="E19">
        <f>IF(Tabla_CKS[[#This Row],[Id_anterior]]=1,ROW()-1,SUM(ROW()-1,Tabla_CKS[[#This Row],[Id_anterior]]))</f>
        <v>525</v>
      </c>
      <c r="F19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CONCILIACION_CKS_PROCESOS_PAGOS_NOMINA_TRANNSFERENCIA_ELECTRONICA</v>
      </c>
      <c r="G19" s="2" t="str">
        <f>CLEAN(PROPER(Tabla_CKS[[#This Row],[Nombre Opción]]))</f>
        <v>Nomina Trannsferencia Electronica</v>
      </c>
      <c r="H19" s="2" t="s">
        <v>1735</v>
      </c>
      <c r="I19" s="2" t="str">
        <f>_xlfn.XLOOKUP(Tabla_CKS[[#This Row],[id_padre]],Tabla_CKS[Id],Tabla_CKS[Codigo_Tecnico],"",0,1)</f>
        <v>CONCILIACION_CKS_PROCESOS_PAGOS</v>
      </c>
      <c r="J19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/conciliacion-cks/procesos/pagos/nomina-trannsferencia-electronica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nomina-trannsferencia-electronica</v>
      </c>
      <c r="L19" s="2" t="s">
        <v>1379</v>
      </c>
      <c r="M19" s="2" t="s">
        <v>1797</v>
      </c>
      <c r="N19" s="4" t="s">
        <v>360</v>
      </c>
      <c r="O19" s="4" t="s">
        <v>360</v>
      </c>
      <c r="P19" s="4"/>
      <c r="Q19" s="4"/>
      <c r="R19" s="4"/>
      <c r="S19" s="4" t="s">
        <v>360</v>
      </c>
      <c r="U19" s="5"/>
      <c r="V19" s="5" t="s">
        <v>360</v>
      </c>
      <c r="W19" s="5"/>
      <c r="X19" s="5"/>
      <c r="Y19" s="4" t="s">
        <v>360</v>
      </c>
      <c r="Z19" s="2" t="str">
        <f>IF(Tabla_CKS[[#This Row],[id_padre]]=Tabla_CKS[[#This Row],[Id]],"NOK","OK")</f>
        <v>OK</v>
      </c>
      <c r="AA19" s="2"/>
    </row>
    <row r="20" spans="1:27" x14ac:dyDescent="0.5">
      <c r="A20" s="2">
        <f>MAX(Tabla_VMN[Id])</f>
        <v>507</v>
      </c>
      <c r="B20">
        <v>510</v>
      </c>
      <c r="C20" s="5">
        <f>IF(Tabla_CKS[[#This Row],[id_padre]]="",0,_xlfn.XLOOKUP(Tabla_CKS[[#This Row],[id_padre]],Tabla_CKS[Id],Tabla_CKS[Nivel],0,0,1)+1)</f>
        <v>2</v>
      </c>
      <c r="D20" s="2" t="s">
        <v>464</v>
      </c>
      <c r="E20">
        <f>IF(Tabla_CKS[[#This Row],[Id_anterior]]=1,ROW()-1,SUM(ROW()-1,Tabla_CKS[[#This Row],[Id_anterior]]))</f>
        <v>526</v>
      </c>
      <c r="F20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CONCILIACION_CKS_PROCESOS_INGRESO_Y_MANTENIMIENTO_DOCUMENTOS</v>
      </c>
      <c r="G20" s="2" t="str">
        <f>CLEAN(PROPER(Tabla_CKS[[#This Row],[Nombre Opción]]))</f>
        <v>Ingreso Y Mantenimiento De Documentos</v>
      </c>
      <c r="H20" s="2" t="s">
        <v>1735</v>
      </c>
      <c r="I20" s="2" t="str">
        <f>_xlfn.XLOOKUP(Tabla_CKS[[#This Row],[id_padre]],Tabla_CKS[Id],Tabla_CKS[Codigo_Tecnico],"",0,1)</f>
        <v>CONCILIACION_CKS_PROCESOS</v>
      </c>
      <c r="J20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/conciliacion-cks/procesos/ingreso-y-mantenimiento-documentos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ingreso-y-mantenimiento-documentos</v>
      </c>
      <c r="L20" s="2" t="s">
        <v>1528</v>
      </c>
      <c r="M20" s="2" t="s">
        <v>1797</v>
      </c>
      <c r="N20" s="4" t="s">
        <v>360</v>
      </c>
      <c r="O20" s="4" t="s">
        <v>360</v>
      </c>
      <c r="P20" s="4"/>
      <c r="Q20" s="4"/>
      <c r="R20" s="4"/>
      <c r="S20" s="4" t="s">
        <v>360</v>
      </c>
      <c r="U20" s="5"/>
      <c r="V20" s="5" t="s">
        <v>360</v>
      </c>
      <c r="W20" s="5"/>
      <c r="X20" s="5"/>
      <c r="Y20" s="4" t="s">
        <v>360</v>
      </c>
      <c r="Z20" s="2" t="str">
        <f>IF(Tabla_CKS[[#This Row],[id_padre]]=Tabla_CKS[[#This Row],[Id]],"NOK","OK")</f>
        <v>OK</v>
      </c>
      <c r="AA20" s="2"/>
    </row>
    <row r="21" spans="1:27" x14ac:dyDescent="0.5">
      <c r="A21" s="2">
        <f>MAX(Tabla_VMN[Id])</f>
        <v>507</v>
      </c>
      <c r="B21">
        <v>526</v>
      </c>
      <c r="C21" s="5">
        <f>IF(Tabla_CKS[[#This Row],[id_padre]]="",0,_xlfn.XLOOKUP(Tabla_CKS[[#This Row],[id_padre]],Tabla_CKS[Id],Tabla_CKS[Nivel],0,0,1)+1)</f>
        <v>3</v>
      </c>
      <c r="D21" s="2" t="s">
        <v>465</v>
      </c>
      <c r="E21">
        <f>IF(Tabla_CKS[[#This Row],[Id_anterior]]=1,ROW()-1,SUM(ROW()-1,Tabla_CKS[[#This Row],[Id_anterior]]))</f>
        <v>527</v>
      </c>
      <c r="F21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CONCILIACION_CKS_PROCESOS_INGRESO_Y_MANTENIMIENTO_DOCUMENTOS_INGRESO_DOCUMENTOS</v>
      </c>
      <c r="G21" s="2" t="str">
        <f>CLEAN(PROPER(Tabla_CKS[[#This Row],[Nombre Opción]]))</f>
        <v>Ingreso De Documentos</v>
      </c>
      <c r="H21" s="2" t="s">
        <v>1735</v>
      </c>
      <c r="I21" s="2" t="str">
        <f>_xlfn.XLOOKUP(Tabla_CKS[[#This Row],[id_padre]],Tabla_CKS[Id],Tabla_CKS[Codigo_Tecnico],"",0,1)</f>
        <v>CONCILIACION_CKS_PROCESOS_INGRESO_Y_MANTENIMIENTO_DOCUMENTOS</v>
      </c>
      <c r="J21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/conciliacion-cks/procesos/ingreso-y-mantenimiento-documentos/ingreso-documentos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ingreso-documentos</v>
      </c>
      <c r="L21" s="2" t="s">
        <v>1359</v>
      </c>
      <c r="M21" s="2" t="s">
        <v>1797</v>
      </c>
      <c r="N21" s="4" t="s">
        <v>360</v>
      </c>
      <c r="O21" s="4" t="s">
        <v>360</v>
      </c>
      <c r="P21" s="4"/>
      <c r="Q21" s="4"/>
      <c r="R21" s="4"/>
      <c r="S21" s="4" t="s">
        <v>360</v>
      </c>
      <c r="U21" s="5"/>
      <c r="V21" s="5" t="s">
        <v>360</v>
      </c>
      <c r="W21" s="5"/>
      <c r="X21" s="5"/>
      <c r="Y21" s="4" t="s">
        <v>360</v>
      </c>
      <c r="Z21" s="2" t="str">
        <f>IF(Tabla_CKS[[#This Row],[id_padre]]=Tabla_CKS[[#This Row],[Id]],"NOK","OK")</f>
        <v>OK</v>
      </c>
      <c r="AA21" s="2"/>
    </row>
    <row r="22" spans="1:27" x14ac:dyDescent="0.5">
      <c r="A22" s="2">
        <f>MAX(Tabla_VMN[Id])</f>
        <v>507</v>
      </c>
      <c r="B22">
        <v>526</v>
      </c>
      <c r="C22" s="5">
        <f>IF(Tabla_CKS[[#This Row],[id_padre]]="",0,_xlfn.XLOOKUP(Tabla_CKS[[#This Row],[id_padre]],Tabla_CKS[Id],Tabla_CKS[Nivel],0,0,1)+1)</f>
        <v>3</v>
      </c>
      <c r="D22" s="2" t="s">
        <v>466</v>
      </c>
      <c r="E22">
        <f>IF(Tabla_CKS[[#This Row],[Id_anterior]]=1,ROW()-1,SUM(ROW()-1,Tabla_CKS[[#This Row],[Id_anterior]]))</f>
        <v>528</v>
      </c>
      <c r="F22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CONCILIACION_CKS_PROCESOS_INGRESO_Y_MANTENIMIENTO_DOCUMENTOS_ALTAS_O_CADUCACION_CHEQUES</v>
      </c>
      <c r="G22" s="2" t="str">
        <f>CLEAN(PROPER(Tabla_CKS[[#This Row],[Nombre Opción]]))</f>
        <v>Altas O Caducacion Cheques</v>
      </c>
      <c r="H22" s="2" t="s">
        <v>1735</v>
      </c>
      <c r="I22" s="2" t="str">
        <f>_xlfn.XLOOKUP(Tabla_CKS[[#This Row],[id_padre]],Tabla_CKS[Id],Tabla_CKS[Codigo_Tecnico],"",0,1)</f>
        <v>CONCILIACION_CKS_PROCESOS_INGRESO_Y_MANTENIMIENTO_DOCUMENTOS</v>
      </c>
      <c r="J22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/conciliacion-cks/procesos/ingreso-y-mantenimiento-documentos/altas-o-caducacion-cheques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altas-o-caducacion-cheques</v>
      </c>
      <c r="L22" s="2" t="s">
        <v>1381</v>
      </c>
      <c r="M22" s="2" t="s">
        <v>1797</v>
      </c>
      <c r="N22" s="4" t="s">
        <v>360</v>
      </c>
      <c r="O22" s="4" t="s">
        <v>360</v>
      </c>
      <c r="P22" s="4"/>
      <c r="Q22" s="4"/>
      <c r="R22" s="4"/>
      <c r="S22" s="4" t="s">
        <v>360</v>
      </c>
      <c r="U22" s="5"/>
      <c r="V22" s="5" t="s">
        <v>360</v>
      </c>
      <c r="W22" s="5"/>
      <c r="X22" s="5"/>
      <c r="Y22" s="4" t="s">
        <v>360</v>
      </c>
      <c r="Z22" s="2" t="str">
        <f>IF(Tabla_CKS[[#This Row],[id_padre]]=Tabla_CKS[[#This Row],[Id]],"NOK","OK")</f>
        <v>OK</v>
      </c>
      <c r="AA22" s="2"/>
    </row>
    <row r="23" spans="1:27" x14ac:dyDescent="0.5">
      <c r="A23" s="2">
        <f>MAX(Tabla_VMN[Id])</f>
        <v>507</v>
      </c>
      <c r="B23">
        <v>528</v>
      </c>
      <c r="C23" s="5">
        <f>IF(Tabla_CKS[[#This Row],[id_padre]]="",0,_xlfn.XLOOKUP(Tabla_CKS[[#This Row],[id_padre]],Tabla_CKS[Id],Tabla_CKS[Nivel],0,0,1)+1)</f>
        <v>4</v>
      </c>
      <c r="D23" s="2" t="s">
        <v>467</v>
      </c>
      <c r="E23">
        <f>IF(Tabla_CKS[[#This Row],[Id_anterior]]=1,ROW()-1,SUM(ROW()-1,Tabla_CKS[[#This Row],[Id_anterior]]))</f>
        <v>529</v>
      </c>
      <c r="F23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CONCILIACION_CKS_PROCESOS_INGRESO_Y_MANTENIMIENTO_DOCUMENTOS_ALTAS_O_CADUCACION_CHEQUES_TRANSFERENCIAS_ELECTRONICAS</v>
      </c>
      <c r="G23" s="2" t="str">
        <f>CLEAN(PROPER(Tabla_CKS[[#This Row],[Nombre Opción]]))</f>
        <v>Transferencias Electronicas</v>
      </c>
      <c r="H23" s="2" t="s">
        <v>1735</v>
      </c>
      <c r="I23" s="2" t="str">
        <f>_xlfn.XLOOKUP(Tabla_CKS[[#This Row],[id_padre]],Tabla_CKS[Id],Tabla_CKS[Codigo_Tecnico],"",0,1)</f>
        <v>CONCILIACION_CKS_PROCESOS_INGRESO_Y_MANTENIMIENTO_DOCUMENTOS_ALTAS_O_CADUCACION_CHEQUES</v>
      </c>
      <c r="J23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/conciliacion-cks/procesos/ingreso-y-mantenimiento-documentos/altas-o-caducacion-cheques/transferencias-electronicas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transferencias-electronicas</v>
      </c>
      <c r="L23" s="2" t="s">
        <v>1354</v>
      </c>
      <c r="M23" s="2" t="s">
        <v>1797</v>
      </c>
      <c r="N23" s="4" t="s">
        <v>360</v>
      </c>
      <c r="O23" s="4" t="s">
        <v>360</v>
      </c>
      <c r="P23" s="4"/>
      <c r="Q23" s="4"/>
      <c r="R23" s="4"/>
      <c r="S23" s="4" t="s">
        <v>360</v>
      </c>
      <c r="U23" s="5"/>
      <c r="V23" s="5" t="s">
        <v>360</v>
      </c>
      <c r="W23" s="5"/>
      <c r="X23" s="5"/>
      <c r="Y23" s="4" t="s">
        <v>360</v>
      </c>
      <c r="Z23" s="2" t="str">
        <f>IF(Tabla_CKS[[#This Row],[id_padre]]=Tabla_CKS[[#This Row],[Id]],"NOK","OK")</f>
        <v>OK</v>
      </c>
      <c r="AA23" s="2"/>
    </row>
    <row r="24" spans="1:27" x14ac:dyDescent="0.5">
      <c r="A24" s="2">
        <f>MAX(Tabla_VMN[Id])</f>
        <v>507</v>
      </c>
      <c r="B24">
        <v>526</v>
      </c>
      <c r="C24" s="5">
        <f>IF(Tabla_CKS[[#This Row],[id_padre]]="",0,_xlfn.XLOOKUP(Tabla_CKS[[#This Row],[id_padre]],Tabla_CKS[Id],Tabla_CKS[Nivel],0,0,1)+1)</f>
        <v>3</v>
      </c>
      <c r="D24" s="2" t="s">
        <v>468</v>
      </c>
      <c r="E24">
        <f>IF(Tabla_CKS[[#This Row],[Id_anterior]]=1,ROW()-1,SUM(ROW()-1,Tabla_CKS[[#This Row],[Id_anterior]]))</f>
        <v>530</v>
      </c>
      <c r="F24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CONCILIACION_CKS_PROCESOS_INGRESO_Y_MANTENIMIENTO_DOCUMENTOS_MANTENIMIENTO_DOCUMENTO</v>
      </c>
      <c r="G24" s="2" t="str">
        <f>CLEAN(PROPER(Tabla_CKS[[#This Row],[Nombre Opción]]))</f>
        <v>Mantenimiento De Documento</v>
      </c>
      <c r="H24" s="2" t="s">
        <v>1735</v>
      </c>
      <c r="I24" s="2" t="str">
        <f>_xlfn.XLOOKUP(Tabla_CKS[[#This Row],[id_padre]],Tabla_CKS[Id],Tabla_CKS[Codigo_Tecnico],"",0,1)</f>
        <v>CONCILIACION_CKS_PROCESOS_INGRESO_Y_MANTENIMIENTO_DOCUMENTOS</v>
      </c>
      <c r="J24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/conciliacion-cks/procesos/ingreso-y-mantenimiento-documentos/mantenimiento-documento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mantenimiento-documento</v>
      </c>
      <c r="L24" s="2" t="s">
        <v>1352</v>
      </c>
      <c r="M24" s="2" t="s">
        <v>1797</v>
      </c>
      <c r="N24" s="4" t="s">
        <v>360</v>
      </c>
      <c r="O24" s="4"/>
      <c r="P24" s="4"/>
      <c r="Q24" s="4"/>
      <c r="R24" s="4"/>
      <c r="S24" s="4"/>
      <c r="U24" s="5"/>
      <c r="V24" s="5" t="s">
        <v>360</v>
      </c>
      <c r="W24" s="5" t="s">
        <v>360</v>
      </c>
      <c r="X24" s="5"/>
      <c r="Y24" s="4" t="s">
        <v>360</v>
      </c>
      <c r="Z24" s="2" t="str">
        <f>IF(Tabla_CKS[[#This Row],[id_padre]]=Tabla_CKS[[#This Row],[Id]],"NOK","OK")</f>
        <v>OK</v>
      </c>
      <c r="AA24" s="2"/>
    </row>
    <row r="25" spans="1:27" x14ac:dyDescent="0.5">
      <c r="A25" s="2">
        <f>MAX(Tabla_VMN[Id])</f>
        <v>507</v>
      </c>
      <c r="B25">
        <v>526</v>
      </c>
      <c r="C25" s="5">
        <f>IF(Tabla_CKS[[#This Row],[id_padre]]="",0,_xlfn.XLOOKUP(Tabla_CKS[[#This Row],[id_padre]],Tabla_CKS[Id],Tabla_CKS[Nivel],0,0,1)+1)</f>
        <v>3</v>
      </c>
      <c r="D25" s="2" t="s">
        <v>469</v>
      </c>
      <c r="E25">
        <f>IF(Tabla_CKS[[#This Row],[Id_anterior]]=1,ROW()-1,SUM(ROW()-1,Tabla_CKS[[#This Row],[Id_anterior]]))</f>
        <v>531</v>
      </c>
      <c r="F25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CONCILIACION_CKS_PROCESOS_INGRESO_Y_MANTENIMIENTO_DOCUMENTOS_ANULACION_CHEQUES</v>
      </c>
      <c r="G25" s="2" t="str">
        <f>CLEAN(PROPER(Tabla_CKS[[#This Row],[Nombre Opción]]))</f>
        <v>Anulacion De Cheques</v>
      </c>
      <c r="H25" s="2" t="s">
        <v>1735</v>
      </c>
      <c r="I25" s="2" t="str">
        <f>_xlfn.XLOOKUP(Tabla_CKS[[#This Row],[id_padre]],Tabla_CKS[Id],Tabla_CKS[Codigo_Tecnico],"",0,1)</f>
        <v>CONCILIACION_CKS_PROCESOS_INGRESO_Y_MANTENIMIENTO_DOCUMENTOS</v>
      </c>
      <c r="J25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/conciliacion-cks/procesos/ingreso-y-mantenimiento-documentos/anulacion-cheques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anulacion-cheques</v>
      </c>
      <c r="L25" s="2" t="s">
        <v>1346</v>
      </c>
      <c r="M25" s="2" t="s">
        <v>1797</v>
      </c>
      <c r="N25" s="4" t="s">
        <v>360</v>
      </c>
      <c r="O25" s="4" t="s">
        <v>360</v>
      </c>
      <c r="P25" s="4"/>
      <c r="Q25" s="4"/>
      <c r="R25" s="4"/>
      <c r="S25" s="4"/>
      <c r="U25" s="5"/>
      <c r="V25" s="4" t="s">
        <v>360</v>
      </c>
      <c r="W25" s="4" t="s">
        <v>360</v>
      </c>
      <c r="X25" s="5"/>
      <c r="Y25" s="4" t="s">
        <v>360</v>
      </c>
      <c r="Z25" s="2" t="str">
        <f>IF(Tabla_CKS[[#This Row],[id_padre]]=Tabla_CKS[[#This Row],[Id]],"NOK","OK")</f>
        <v>OK</v>
      </c>
      <c r="AA25" s="2"/>
    </row>
    <row r="26" spans="1:27" x14ac:dyDescent="0.5">
      <c r="A26" s="2">
        <f>MAX(Tabla_VMN[Id])</f>
        <v>507</v>
      </c>
      <c r="B26">
        <v>531</v>
      </c>
      <c r="C26" s="5">
        <f>IF(Tabla_CKS[[#This Row],[id_padre]]="",0,_xlfn.XLOOKUP(Tabla_CKS[[#This Row],[id_padre]],Tabla_CKS[Id],Tabla_CKS[Nivel],0,0,1)+1)</f>
        <v>4</v>
      </c>
      <c r="D26" s="2" t="s">
        <v>470</v>
      </c>
      <c r="E26">
        <f>IF(Tabla_CKS[[#This Row],[Id_anterior]]=1,ROW()-1,SUM(ROW()-1,Tabla_CKS[[#This Row],[Id_anterior]]))</f>
        <v>532</v>
      </c>
      <c r="F26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CONCILIACION_CKS_PROCESOS_INGRESO_Y_MANTENIMIENTO_DOCUMENTOS_ANULACION_CHEQUES_DEPOSITOS</v>
      </c>
      <c r="G26" s="2" t="str">
        <f>CLEAN(PROPER(Tabla_CKS[[#This Row],[Nombre Opción]]))</f>
        <v>Depositos</v>
      </c>
      <c r="H26" s="2" t="s">
        <v>1735</v>
      </c>
      <c r="I26" s="2" t="str">
        <f>_xlfn.XLOOKUP(Tabla_CKS[[#This Row],[id_padre]],Tabla_CKS[Id],Tabla_CKS[Codigo_Tecnico],"",0,1)</f>
        <v>CONCILIACION_CKS_PROCESOS_INGRESO_Y_MANTENIMIENTO_DOCUMENTOS_ANULACION_CHEQUES</v>
      </c>
      <c r="J26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/conciliacion-cks/procesos/ingreso-y-mantenimiento-documentos/anulacion-cheques/depositos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depositos</v>
      </c>
      <c r="L26" s="2" t="s">
        <v>1371</v>
      </c>
      <c r="M26" s="2" t="s">
        <v>1797</v>
      </c>
      <c r="N26" s="4" t="s">
        <v>360</v>
      </c>
      <c r="O26" s="4" t="s">
        <v>360</v>
      </c>
      <c r="P26" s="4"/>
      <c r="Q26" s="4"/>
      <c r="R26" s="4"/>
      <c r="S26" s="4"/>
      <c r="U26" s="5"/>
      <c r="V26" s="4" t="s">
        <v>360</v>
      </c>
      <c r="W26" s="4" t="s">
        <v>360</v>
      </c>
      <c r="X26" s="5"/>
      <c r="Y26" s="4" t="s">
        <v>360</v>
      </c>
      <c r="Z26" s="2" t="str">
        <f>IF(Tabla_CKS[[#This Row],[id_padre]]=Tabla_CKS[[#This Row],[Id]],"NOK","OK")</f>
        <v>OK</v>
      </c>
      <c r="AA26" s="2"/>
    </row>
    <row r="27" spans="1:27" x14ac:dyDescent="0.5">
      <c r="A27" s="2">
        <f>MAX(Tabla_VMN[Id])</f>
        <v>507</v>
      </c>
      <c r="B27">
        <v>510</v>
      </c>
      <c r="C27" s="5">
        <f>IF(Tabla_CKS[[#This Row],[id_padre]]="",0,_xlfn.XLOOKUP(Tabla_CKS[[#This Row],[id_padre]],Tabla_CKS[Id],Tabla_CKS[Nivel],0,0,1)+1)</f>
        <v>2</v>
      </c>
      <c r="D27" s="2" t="s">
        <v>471</v>
      </c>
      <c r="E27">
        <f>IF(Tabla_CKS[[#This Row],[Id_anterior]]=1,ROW()-1,SUM(ROW()-1,Tabla_CKS[[#This Row],[Id_anterior]]))</f>
        <v>533</v>
      </c>
      <c r="F27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CONCILIACION_CKS_PROCESOS_ENVIO_CHEQUES_CAJA</v>
      </c>
      <c r="G27" s="2" t="str">
        <f>CLEAN(PROPER(Tabla_CKS[[#This Row],[Nombre Opción]]))</f>
        <v>Envio De Cheques A Caja</v>
      </c>
      <c r="H27" s="2" t="s">
        <v>1735</v>
      </c>
      <c r="I27" s="2" t="str">
        <f>_xlfn.XLOOKUP(Tabla_CKS[[#This Row],[id_padre]],Tabla_CKS[Id],Tabla_CKS[Codigo_Tecnico],"",0,1)</f>
        <v>CONCILIACION_CKS_PROCESOS</v>
      </c>
      <c r="J27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/conciliacion-cks/procesos/envio-cheques-caja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envio-cheques-caja</v>
      </c>
      <c r="L27" s="2" t="s">
        <v>1396</v>
      </c>
      <c r="M27" s="2" t="s">
        <v>1797</v>
      </c>
      <c r="N27" s="4" t="s">
        <v>360</v>
      </c>
      <c r="O27" s="4"/>
      <c r="P27" s="4"/>
      <c r="Q27" s="4"/>
      <c r="R27" s="4"/>
      <c r="S27" s="4" t="s">
        <v>360</v>
      </c>
      <c r="U27" s="5"/>
      <c r="V27" s="5" t="s">
        <v>360</v>
      </c>
      <c r="W27" s="5"/>
      <c r="X27" s="5"/>
      <c r="Y27" s="4" t="s">
        <v>360</v>
      </c>
      <c r="Z27" s="2" t="str">
        <f>IF(Tabla_CKS[[#This Row],[id_padre]]=Tabla_CKS[[#This Row],[Id]],"NOK","OK")</f>
        <v>OK</v>
      </c>
      <c r="AA27" s="2"/>
    </row>
    <row r="28" spans="1:27" x14ac:dyDescent="0.5">
      <c r="A28" s="2">
        <f>MAX(Tabla_VMN[Id])</f>
        <v>507</v>
      </c>
      <c r="B28">
        <v>510</v>
      </c>
      <c r="C28" s="5">
        <f>IF(Tabla_CKS[[#This Row],[id_padre]]="",0,_xlfn.XLOOKUP(Tabla_CKS[[#This Row],[id_padre]],Tabla_CKS[Id],Tabla_CKS[Nivel],0,0,1)+1)</f>
        <v>2</v>
      </c>
      <c r="D28" s="2" t="s">
        <v>472</v>
      </c>
      <c r="E28">
        <f>IF(Tabla_CKS[[#This Row],[Id_anterior]]=1,ROW()-1,SUM(ROW()-1,Tabla_CKS[[#This Row],[Id_anterior]]))</f>
        <v>534</v>
      </c>
      <c r="F28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CONCILIACION_CKS_PROCESOS_CUADRATURA_CUENTA_CORRIENTE</v>
      </c>
      <c r="G28" s="2" t="str">
        <f>CLEAN(PROPER(Tabla_CKS[[#This Row],[Nombre Opción]]))</f>
        <v>Cuadratura Cuenta Corriente</v>
      </c>
      <c r="H28" s="2" t="s">
        <v>1735</v>
      </c>
      <c r="I28" s="2" t="str">
        <f>_xlfn.XLOOKUP(Tabla_CKS[[#This Row],[id_padre]],Tabla_CKS[Id],Tabla_CKS[Codigo_Tecnico],"",0,1)</f>
        <v>CONCILIACION_CKS_PROCESOS</v>
      </c>
      <c r="J28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/conciliacion-cks/procesos/cuadratura-cuenta-corriente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cuadratura-cuenta-corriente</v>
      </c>
      <c r="L28" s="2" t="s">
        <v>1431</v>
      </c>
      <c r="M28" s="2" t="s">
        <v>1797</v>
      </c>
      <c r="N28" s="4" t="s">
        <v>360</v>
      </c>
      <c r="O28" s="4" t="s">
        <v>360</v>
      </c>
      <c r="P28" s="4"/>
      <c r="Q28" s="4"/>
      <c r="R28" s="4"/>
      <c r="S28" s="4" t="s">
        <v>360</v>
      </c>
      <c r="U28" s="5"/>
      <c r="V28" s="4" t="s">
        <v>360</v>
      </c>
      <c r="W28" s="5"/>
      <c r="X28" s="5"/>
      <c r="Y28" s="4" t="s">
        <v>360</v>
      </c>
      <c r="Z28" s="2" t="str">
        <f>IF(Tabla_CKS[[#This Row],[id_padre]]=Tabla_CKS[[#This Row],[Id]],"NOK","OK")</f>
        <v>OK</v>
      </c>
      <c r="AA28" s="2"/>
    </row>
    <row r="29" spans="1:27" x14ac:dyDescent="0.5">
      <c r="A29" s="2">
        <f>MAX(Tabla_VMN[Id])</f>
        <v>507</v>
      </c>
      <c r="B29">
        <v>510</v>
      </c>
      <c r="C29" s="5">
        <f>IF(Tabla_CKS[[#This Row],[id_padre]]="",0,_xlfn.XLOOKUP(Tabla_CKS[[#This Row],[id_padre]],Tabla_CKS[Id],Tabla_CKS[Nivel],0,0,1)+1)</f>
        <v>2</v>
      </c>
      <c r="D29" s="2" t="s">
        <v>473</v>
      </c>
      <c r="E29">
        <f>IF(Tabla_CKS[[#This Row],[Id_anterior]]=1,ROW()-1,SUM(ROW()-1,Tabla_CKS[[#This Row],[Id_anterior]]))</f>
        <v>535</v>
      </c>
      <c r="F29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CONCILIACION_CKS_PROCESOS_PROCESO_DIR_REMUNERACIONES</v>
      </c>
      <c r="G29" s="2" t="str">
        <f>CLEAN(PROPER(Tabla_CKS[[#This Row],[Nombre Opción]]))</f>
        <v>Proceso D.I.R. (Remuneraciones)</v>
      </c>
      <c r="H29" s="2" t="s">
        <v>1735</v>
      </c>
      <c r="I29" s="2" t="str">
        <f>_xlfn.XLOOKUP(Tabla_CKS[[#This Row],[id_padre]],Tabla_CKS[Id],Tabla_CKS[Codigo_Tecnico],"",0,1)</f>
        <v>CONCILIACION_CKS_PROCESOS</v>
      </c>
      <c r="J29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/conciliacion-cks/procesos/proceso-dir-remuneraciones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proceso-dir-remuneraciones</v>
      </c>
      <c r="L29" s="2" t="s">
        <v>1378</v>
      </c>
      <c r="M29" s="2" t="s">
        <v>1797</v>
      </c>
      <c r="N29" s="4" t="s">
        <v>360</v>
      </c>
      <c r="O29" s="4" t="s">
        <v>360</v>
      </c>
      <c r="P29" s="4"/>
      <c r="Q29" s="4"/>
      <c r="R29" s="4"/>
      <c r="S29" s="4" t="s">
        <v>360</v>
      </c>
      <c r="U29" s="5"/>
      <c r="V29" s="4" t="s">
        <v>360</v>
      </c>
      <c r="W29" s="5"/>
      <c r="X29" s="5"/>
      <c r="Y29" s="4" t="s">
        <v>360</v>
      </c>
      <c r="Z29" s="2" t="str">
        <f>IF(Tabla_CKS[[#This Row],[id_padre]]=Tabla_CKS[[#This Row],[Id]],"NOK","OK")</f>
        <v>OK</v>
      </c>
      <c r="AA29" s="2"/>
    </row>
    <row r="30" spans="1:27" x14ac:dyDescent="0.5">
      <c r="A30" s="2">
        <f>MAX(Tabla_VMN[Id])</f>
        <v>507</v>
      </c>
      <c r="B30">
        <v>511</v>
      </c>
      <c r="C30" s="5">
        <f>IF(Tabla_CKS[[#This Row],[id_padre]]="",0,_xlfn.XLOOKUP(Tabla_CKS[[#This Row],[id_padre]],Tabla_CKS[Id],Tabla_CKS[Nivel],0,0,1)+1)</f>
        <v>2</v>
      </c>
      <c r="D30" s="2" t="s">
        <v>474</v>
      </c>
      <c r="E30">
        <f>IF(Tabla_CKS[[#This Row],[Id_anterior]]=1,ROW()-1,SUM(ROW()-1,Tabla_CKS[[#This Row],[Id_anterior]]))</f>
        <v>536</v>
      </c>
      <c r="F30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CONCILIACION_CKS_CONSULTAS_DOCUMENTOS_POR_ESTADO</v>
      </c>
      <c r="G30" s="2" t="str">
        <f>CLEAN(PROPER(Tabla_CKS[[#This Row],[Nombre Opción]]))</f>
        <v>Documentos Por Estado</v>
      </c>
      <c r="H30" s="2" t="s">
        <v>1735</v>
      </c>
      <c r="I30" s="2" t="str">
        <f>_xlfn.XLOOKUP(Tabla_CKS[[#This Row],[id_padre]],Tabla_CKS[Id],Tabla_CKS[Codigo_Tecnico],"",0,1)</f>
        <v>CONCILIACION_CKS_CONSULTAS</v>
      </c>
      <c r="J30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/conciliacion-cks/consultas/documentos-por-estado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documentos-por-estado</v>
      </c>
      <c r="L30" s="2" t="s">
        <v>1386</v>
      </c>
      <c r="M30" s="2" t="s">
        <v>1797</v>
      </c>
      <c r="N30" s="4" t="s">
        <v>360</v>
      </c>
      <c r="O30" s="4" t="s">
        <v>360</v>
      </c>
      <c r="P30" s="4" t="s">
        <v>360</v>
      </c>
      <c r="Q30" s="4"/>
      <c r="R30" s="4"/>
      <c r="S30" s="4" t="s">
        <v>360</v>
      </c>
      <c r="U30" s="5"/>
      <c r="V30" s="5" t="s">
        <v>360</v>
      </c>
      <c r="W30" s="5"/>
      <c r="X30" s="5"/>
      <c r="Y30" s="4" t="s">
        <v>360</v>
      </c>
      <c r="Z30" s="2" t="str">
        <f>IF(Tabla_CKS[[#This Row],[id_padre]]=Tabla_CKS[[#This Row],[Id]],"NOK","OK")</f>
        <v>OK</v>
      </c>
      <c r="AA30" s="2"/>
    </row>
    <row r="31" spans="1:27" x14ac:dyDescent="0.5">
      <c r="A31" s="2">
        <f>MAX(Tabla_VMN[Id])</f>
        <v>507</v>
      </c>
      <c r="B31">
        <v>511</v>
      </c>
      <c r="C31" s="5">
        <f>IF(Tabla_CKS[[#This Row],[id_padre]]="",0,_xlfn.XLOOKUP(Tabla_CKS[[#This Row],[id_padre]],Tabla_CKS[Id],Tabla_CKS[Nivel],0,0,1)+1)</f>
        <v>2</v>
      </c>
      <c r="D31" s="2" t="s">
        <v>475</v>
      </c>
      <c r="E31">
        <f>IF(Tabla_CKS[[#This Row],[Id_anterior]]=1,ROW()-1,SUM(ROW()-1,Tabla_CKS[[#This Row],[Id_anterior]]))</f>
        <v>537</v>
      </c>
      <c r="F31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CONCILIACION_CKS_CONSULTAS_DOCUMENTOS_POR_ESTADO_HISTORICO</v>
      </c>
      <c r="G31" s="2" t="str">
        <f>CLEAN(PROPER(Tabla_CKS[[#This Row],[Nombre Opción]]))</f>
        <v>Documentos Por Estado Historico</v>
      </c>
      <c r="H31" s="2" t="s">
        <v>1735</v>
      </c>
      <c r="I31" s="2" t="str">
        <f>_xlfn.XLOOKUP(Tabla_CKS[[#This Row],[id_padre]],Tabla_CKS[Id],Tabla_CKS[Codigo_Tecnico],"",0,1)</f>
        <v>CONCILIACION_CKS_CONSULTAS</v>
      </c>
      <c r="J31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/conciliacion-cks/consultas/documentos-por-estado-historico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documentos-por-estado-historico</v>
      </c>
      <c r="L31" s="2" t="s">
        <v>1439</v>
      </c>
      <c r="M31" s="2" t="s">
        <v>1797</v>
      </c>
      <c r="N31" s="4" t="s">
        <v>360</v>
      </c>
      <c r="O31" s="4" t="s">
        <v>360</v>
      </c>
      <c r="P31" s="4" t="s">
        <v>360</v>
      </c>
      <c r="Q31" s="4"/>
      <c r="R31" s="4"/>
      <c r="S31" s="4" t="s">
        <v>360</v>
      </c>
      <c r="U31" s="5"/>
      <c r="V31" s="5" t="s">
        <v>360</v>
      </c>
      <c r="W31" s="5"/>
      <c r="X31" s="5"/>
      <c r="Y31" s="4" t="s">
        <v>360</v>
      </c>
      <c r="Z31" s="2" t="str">
        <f>IF(Tabla_CKS[[#This Row],[id_padre]]=Tabla_CKS[[#This Row],[Id]],"NOK","OK")</f>
        <v>OK</v>
      </c>
      <c r="AA31" s="2"/>
    </row>
    <row r="32" spans="1:27" x14ac:dyDescent="0.5">
      <c r="A32" s="2">
        <f>MAX(Tabla_VMN[Id])</f>
        <v>507</v>
      </c>
      <c r="B32">
        <v>511</v>
      </c>
      <c r="C32" s="5">
        <f>IF(Tabla_CKS[[#This Row],[id_padre]]="",0,_xlfn.XLOOKUP(Tabla_CKS[[#This Row],[id_padre]],Tabla_CKS[Id],Tabla_CKS[Nivel],0,0,1)+1)</f>
        <v>2</v>
      </c>
      <c r="D32" s="2" t="s">
        <v>476</v>
      </c>
      <c r="E32">
        <f>IF(Tabla_CKS[[#This Row],[Id_anterior]]=1,ROW()-1,SUM(ROW()-1,Tabla_CKS[[#This Row],[Id_anterior]]))</f>
        <v>538</v>
      </c>
      <c r="F32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CONCILIACION_CKS_CONSULTAS_RESUMEN_CONCILIACION</v>
      </c>
      <c r="G32" s="2" t="str">
        <f>CLEAN(PROPER(Tabla_CKS[[#This Row],[Nombre Opción]]))</f>
        <v>Resumen Conciliacion</v>
      </c>
      <c r="H32" s="2" t="s">
        <v>1735</v>
      </c>
      <c r="I32" s="2" t="str">
        <f>_xlfn.XLOOKUP(Tabla_CKS[[#This Row],[id_padre]],Tabla_CKS[Id],Tabla_CKS[Codigo_Tecnico],"",0,1)</f>
        <v>CONCILIACION_CKS_CONSULTAS</v>
      </c>
      <c r="J32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/conciliacion-cks/consultas/resumen-conciliacion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resumen-conciliacion</v>
      </c>
      <c r="L32" s="2" t="s">
        <v>1387</v>
      </c>
      <c r="M32" s="2" t="s">
        <v>1797</v>
      </c>
      <c r="N32" s="4" t="s">
        <v>360</v>
      </c>
      <c r="O32" s="4" t="s">
        <v>360</v>
      </c>
      <c r="P32" s="4" t="s">
        <v>360</v>
      </c>
      <c r="Q32" s="4"/>
      <c r="R32" s="4"/>
      <c r="S32" s="4" t="s">
        <v>360</v>
      </c>
      <c r="U32" s="5"/>
      <c r="V32" s="5" t="s">
        <v>360</v>
      </c>
      <c r="W32" s="5"/>
      <c r="X32" s="5"/>
      <c r="Y32" s="4" t="s">
        <v>360</v>
      </c>
      <c r="Z32" s="2" t="str">
        <f>IF(Tabla_CKS[[#This Row],[id_padre]]=Tabla_CKS[[#This Row],[Id]],"NOK","OK")</f>
        <v>OK</v>
      </c>
      <c r="AA32" s="2"/>
    </row>
    <row r="33" spans="1:27" x14ac:dyDescent="0.5">
      <c r="A33" s="2">
        <f>MAX(Tabla_VMN[Id])</f>
        <v>507</v>
      </c>
      <c r="B33">
        <v>511</v>
      </c>
      <c r="C33" s="5">
        <f>IF(Tabla_CKS[[#This Row],[id_padre]]="",0,_xlfn.XLOOKUP(Tabla_CKS[[#This Row],[id_padre]],Tabla_CKS[Id],Tabla_CKS[Nivel],0,0,1)+1)</f>
        <v>2</v>
      </c>
      <c r="D33" s="2" t="s">
        <v>477</v>
      </c>
      <c r="E33">
        <f>IF(Tabla_CKS[[#This Row],[Id_anterior]]=1,ROW()-1,SUM(ROW()-1,Tabla_CKS[[#This Row],[Id_anterior]]))</f>
        <v>539</v>
      </c>
      <c r="F33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CONCILIACION_CKS_CONSULTAS_RESUMEN_CONCILIACION_HISTORICA</v>
      </c>
      <c r="G33" s="2" t="str">
        <f>CLEAN(PROPER(Tabla_CKS[[#This Row],[Nombre Opción]]))</f>
        <v>Resumen Conciliacion Historica</v>
      </c>
      <c r="H33" s="2" t="s">
        <v>1735</v>
      </c>
      <c r="I33" s="2" t="str">
        <f>_xlfn.XLOOKUP(Tabla_CKS[[#This Row],[id_padre]],Tabla_CKS[Id],Tabla_CKS[Codigo_Tecnico],"",0,1)</f>
        <v>CONCILIACION_CKS_CONSULTAS</v>
      </c>
      <c r="J33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/conciliacion-cks/consultas/resumen-conciliacion-historica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resumen-conciliacion-historica</v>
      </c>
      <c r="L33" s="2" t="s">
        <v>1485</v>
      </c>
      <c r="M33" s="2" t="s">
        <v>1797</v>
      </c>
      <c r="N33" s="4" t="s">
        <v>360</v>
      </c>
      <c r="O33" s="4" t="s">
        <v>360</v>
      </c>
      <c r="P33" s="4" t="s">
        <v>360</v>
      </c>
      <c r="Q33" s="4"/>
      <c r="R33" s="4"/>
      <c r="S33" s="4" t="s">
        <v>360</v>
      </c>
      <c r="U33" s="5"/>
      <c r="V33" s="5" t="s">
        <v>360</v>
      </c>
      <c r="W33" s="5"/>
      <c r="X33" s="5"/>
      <c r="Y33" s="4" t="s">
        <v>360</v>
      </c>
      <c r="Z33" s="2" t="str">
        <f>IF(Tabla_CKS[[#This Row],[id_padre]]=Tabla_CKS[[#This Row],[Id]],"NOK","OK")</f>
        <v>OK</v>
      </c>
      <c r="AA33" s="2"/>
    </row>
    <row r="34" spans="1:27" x14ac:dyDescent="0.5">
      <c r="A34" s="2">
        <f>MAX(Tabla_VMN[Id])</f>
        <v>507</v>
      </c>
      <c r="B34">
        <v>511</v>
      </c>
      <c r="C34" s="5">
        <f>IF(Tabla_CKS[[#This Row],[id_padre]]="",0,_xlfn.XLOOKUP(Tabla_CKS[[#This Row],[id_padre]],Tabla_CKS[Id],Tabla_CKS[Nivel],0,0,1)+1)</f>
        <v>2</v>
      </c>
      <c r="D34" s="2" t="s">
        <v>478</v>
      </c>
      <c r="E34">
        <f>IF(Tabla_CKS[[#This Row],[Id_anterior]]=1,ROW()-1,SUM(ROW()-1,Tabla_CKS[[#This Row],[Id_anterior]]))</f>
        <v>540</v>
      </c>
      <c r="F34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CONCILIACION_CKS_CONSULTAS_CARTOLA_DOCUMENTOS_CONCILIADOS</v>
      </c>
      <c r="G34" s="2" t="str">
        <f>CLEAN(PROPER(Tabla_CKS[[#This Row],[Nombre Opción]]))</f>
        <v>Cartola Documentos Conciliados</v>
      </c>
      <c r="H34" s="2" t="s">
        <v>1735</v>
      </c>
      <c r="I34" s="2" t="str">
        <f>_xlfn.XLOOKUP(Tabla_CKS[[#This Row],[id_padre]],Tabla_CKS[Id],Tabla_CKS[Codigo_Tecnico],"",0,1)</f>
        <v>CONCILIACION_CKS_CONSULTAS</v>
      </c>
      <c r="J34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/conciliacion-cks/consultas/cartola-documentos-conciliados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cartola-documentos-conciliados</v>
      </c>
      <c r="L34" s="2" t="s">
        <v>1349</v>
      </c>
      <c r="M34" s="2" t="s">
        <v>1797</v>
      </c>
      <c r="N34" s="4" t="s">
        <v>360</v>
      </c>
      <c r="O34" s="4" t="s">
        <v>360</v>
      </c>
      <c r="P34" s="4" t="s">
        <v>360</v>
      </c>
      <c r="Q34" s="4"/>
      <c r="R34" s="4"/>
      <c r="S34" s="4" t="s">
        <v>360</v>
      </c>
      <c r="U34" s="5"/>
      <c r="V34" s="5" t="s">
        <v>360</v>
      </c>
      <c r="W34" s="5"/>
      <c r="X34" s="5"/>
      <c r="Y34" s="4" t="s">
        <v>360</v>
      </c>
      <c r="Z34" s="2" t="str">
        <f>IF(Tabla_CKS[[#This Row],[id_padre]]=Tabla_CKS[[#This Row],[Id]],"NOK","OK")</f>
        <v>OK</v>
      </c>
      <c r="AA34" s="2"/>
    </row>
    <row r="35" spans="1:27" x14ac:dyDescent="0.5">
      <c r="A35" s="2">
        <f>MAX(Tabla_VMN[Id])</f>
        <v>507</v>
      </c>
      <c r="B35">
        <v>511</v>
      </c>
      <c r="C35" s="5">
        <f>IF(Tabla_CKS[[#This Row],[id_padre]]="",0,_xlfn.XLOOKUP(Tabla_CKS[[#This Row],[id_padre]],Tabla_CKS[Id],Tabla_CKS[Nivel],0,0,1)+1)</f>
        <v>2</v>
      </c>
      <c r="D35" s="2" t="s">
        <v>479</v>
      </c>
      <c r="E35">
        <f>IF(Tabla_CKS[[#This Row],[Id_anterior]]=1,ROW()-1,SUM(ROW()-1,Tabla_CKS[[#This Row],[Id_anterior]]))</f>
        <v>541</v>
      </c>
      <c r="F35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CONCILIACION_CKS_CONSULTAS_LIBRO_CHEQUES</v>
      </c>
      <c r="G35" s="2" t="str">
        <f>CLEAN(PROPER(Tabla_CKS[[#This Row],[Nombre Opción]]))</f>
        <v>Libro De Cheques</v>
      </c>
      <c r="H35" s="2" t="s">
        <v>1735</v>
      </c>
      <c r="I35" s="2" t="str">
        <f>_xlfn.XLOOKUP(Tabla_CKS[[#This Row],[id_padre]],Tabla_CKS[Id],Tabla_CKS[Codigo_Tecnico],"",0,1)</f>
        <v>CONCILIACION_CKS_CONSULTAS</v>
      </c>
      <c r="J35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/conciliacion-cks/consultas/libro-cheques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libro-cheques</v>
      </c>
      <c r="L35" s="2" t="s">
        <v>1432</v>
      </c>
      <c r="M35" s="2" t="s">
        <v>1797</v>
      </c>
      <c r="N35" s="4" t="s">
        <v>360</v>
      </c>
      <c r="O35" s="4" t="s">
        <v>360</v>
      </c>
      <c r="P35" s="4" t="s">
        <v>360</v>
      </c>
      <c r="Q35" s="4"/>
      <c r="R35" s="4"/>
      <c r="S35" s="4" t="s">
        <v>360</v>
      </c>
      <c r="U35" s="5"/>
      <c r="V35" s="5" t="s">
        <v>360</v>
      </c>
      <c r="W35" s="5"/>
      <c r="X35" s="5"/>
      <c r="Y35" s="4" t="s">
        <v>360</v>
      </c>
      <c r="Z35" s="2" t="str">
        <f>IF(Tabla_CKS[[#This Row],[id_padre]]=Tabla_CKS[[#This Row],[Id]],"NOK","OK")</f>
        <v>OK</v>
      </c>
      <c r="AA35" s="2"/>
    </row>
    <row r="36" spans="1:27" x14ac:dyDescent="0.5">
      <c r="A36" s="2">
        <f>MAX(Tabla_VMN[Id])</f>
        <v>507</v>
      </c>
      <c r="B36">
        <v>511</v>
      </c>
      <c r="C36" s="5">
        <f>IF(Tabla_CKS[[#This Row],[id_padre]]="",0,_xlfn.XLOOKUP(Tabla_CKS[[#This Row],[id_padre]],Tabla_CKS[Id],Tabla_CKS[Nivel],0,0,1)+1)</f>
        <v>2</v>
      </c>
      <c r="D36" s="2" t="s">
        <v>480</v>
      </c>
      <c r="E36">
        <f>IF(Tabla_CKS[[#This Row],[Id_anterior]]=1,ROW()-1,SUM(ROW()-1,Tabla_CKS[[#This Row],[Id_anterior]]))</f>
        <v>542</v>
      </c>
      <c r="F36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CONCILIACION_CKS_CONSULTAS_PAGOS_EFECTUADOS</v>
      </c>
      <c r="G36" s="2" t="str">
        <f>CLEAN(PROPER(Tabla_CKS[[#This Row],[Nombre Opción]]))</f>
        <v>Pagos Efectuados</v>
      </c>
      <c r="H36" s="2" t="s">
        <v>1735</v>
      </c>
      <c r="I36" s="2" t="str">
        <f>_xlfn.XLOOKUP(Tabla_CKS[[#This Row],[id_padre]],Tabla_CKS[Id],Tabla_CKS[Codigo_Tecnico],"",0,1)</f>
        <v>CONCILIACION_CKS_CONSULTAS</v>
      </c>
      <c r="J36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/conciliacion-cks/consultas/pagos-efectuados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pagos-efectuados</v>
      </c>
      <c r="L36" s="2" t="s">
        <v>1398</v>
      </c>
      <c r="M36" s="2" t="s">
        <v>1797</v>
      </c>
      <c r="N36" s="4" t="s">
        <v>360</v>
      </c>
      <c r="O36" s="4" t="s">
        <v>360</v>
      </c>
      <c r="P36" s="4" t="s">
        <v>360</v>
      </c>
      <c r="Q36" s="4"/>
      <c r="R36" s="4"/>
      <c r="S36" s="4" t="s">
        <v>360</v>
      </c>
      <c r="U36" s="5"/>
      <c r="V36" s="5" t="s">
        <v>360</v>
      </c>
      <c r="W36" s="5"/>
      <c r="X36" s="5"/>
      <c r="Y36" s="4" t="s">
        <v>360</v>
      </c>
      <c r="Z36" s="2" t="str">
        <f>IF(Tabla_CKS[[#This Row],[id_padre]]=Tabla_CKS[[#This Row],[Id]],"NOK","OK")</f>
        <v>OK</v>
      </c>
      <c r="AA36" s="2"/>
    </row>
    <row r="37" spans="1:27" x14ac:dyDescent="0.5">
      <c r="A37" s="2">
        <f>MAX(Tabla_VMN[Id])</f>
        <v>507</v>
      </c>
      <c r="B37">
        <v>511</v>
      </c>
      <c r="C37" s="5">
        <f>IF(Tabla_CKS[[#This Row],[id_padre]]="",0,_xlfn.XLOOKUP(Tabla_CKS[[#This Row],[id_padre]],Tabla_CKS[Id],Tabla_CKS[Nivel],0,0,1)+1)</f>
        <v>2</v>
      </c>
      <c r="D37" s="2" t="s">
        <v>481</v>
      </c>
      <c r="E37">
        <f>IF(Tabla_CKS[[#This Row],[Id_anterior]]=1,ROW()-1,SUM(ROW()-1,Tabla_CKS[[#This Row],[Id_anterior]]))</f>
        <v>543</v>
      </c>
      <c r="F37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CONCILIACION_CKS_CONSULTAS_DETALLE_PAGOS_TRANSFER</v>
      </c>
      <c r="G37" s="2" t="str">
        <f>CLEAN(PROPER(Tabla_CKS[[#This Row],[Nombre Opción]]))</f>
        <v>Detalle De Pagos Transfer</v>
      </c>
      <c r="H37" s="2" t="s">
        <v>1735</v>
      </c>
      <c r="I37" s="2" t="str">
        <f>_xlfn.XLOOKUP(Tabla_CKS[[#This Row],[id_padre]],Tabla_CKS[Id],Tabla_CKS[Codigo_Tecnico],"",0,1)</f>
        <v>CONCILIACION_CKS_CONSULTAS</v>
      </c>
      <c r="J37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/conciliacion-cks/consultas/detalle-pagos-transfer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detalle-pagos-transfer</v>
      </c>
      <c r="L37" s="2" t="s">
        <v>1369</v>
      </c>
      <c r="M37" s="2" t="s">
        <v>1797</v>
      </c>
      <c r="N37" s="4" t="s">
        <v>360</v>
      </c>
      <c r="O37" s="4" t="s">
        <v>360</v>
      </c>
      <c r="P37" s="4" t="s">
        <v>360</v>
      </c>
      <c r="Q37" s="4"/>
      <c r="R37" s="4"/>
      <c r="S37" s="4" t="s">
        <v>360</v>
      </c>
      <c r="U37" s="5"/>
      <c r="V37" s="5" t="s">
        <v>360</v>
      </c>
      <c r="W37" s="5" t="s">
        <v>360</v>
      </c>
      <c r="X37" s="5" t="s">
        <v>360</v>
      </c>
      <c r="Y37" s="4" t="s">
        <v>360</v>
      </c>
      <c r="Z37" s="2" t="str">
        <f>IF(Tabla_CKS[[#This Row],[id_padre]]=Tabla_CKS[[#This Row],[Id]],"NOK","OK")</f>
        <v>OK</v>
      </c>
      <c r="AA37" s="2"/>
    </row>
    <row r="38" spans="1:27" x14ac:dyDescent="0.5">
      <c r="A38" s="2">
        <f>MAX(Tabla_VMN[Id])</f>
        <v>507</v>
      </c>
      <c r="B38">
        <v>512</v>
      </c>
      <c r="C38" s="5">
        <f>IF(Tabla_CKS[[#This Row],[id_padre]]="",0,_xlfn.XLOOKUP(Tabla_CKS[[#This Row],[id_padre]],Tabla_CKS[Id],Tabla_CKS[Nivel],0,0,1)+1)</f>
        <v>2</v>
      </c>
      <c r="D38" s="2" t="s">
        <v>474</v>
      </c>
      <c r="E38">
        <f>IF(Tabla_CKS[[#This Row],[Id_anterior]]=1,ROW()-1,SUM(ROW()-1,Tabla_CKS[[#This Row],[Id_anterior]]))</f>
        <v>544</v>
      </c>
      <c r="F38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CONCILIACION_CKS_INFORMES_DOCUMENTOS_POR_ESTADO</v>
      </c>
      <c r="G38" s="2" t="str">
        <f>CLEAN(PROPER(Tabla_CKS[[#This Row],[Nombre Opción]]))</f>
        <v>Documentos Por Estado</v>
      </c>
      <c r="H38" s="2" t="s">
        <v>1735</v>
      </c>
      <c r="I38" s="2" t="str">
        <f>_xlfn.XLOOKUP(Tabla_CKS[[#This Row],[id_padre]],Tabla_CKS[Id],Tabla_CKS[Codigo_Tecnico],"",0,1)</f>
        <v>CONCILIACION_CKS_INFORMES</v>
      </c>
      <c r="J38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/conciliacion-cks/informes/documentos-por-estado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documentos-por-estado</v>
      </c>
      <c r="L38" s="2" t="s">
        <v>1411</v>
      </c>
      <c r="M38" s="2" t="s">
        <v>1797</v>
      </c>
      <c r="N38" s="4" t="s">
        <v>360</v>
      </c>
      <c r="O38" s="4" t="s">
        <v>360</v>
      </c>
      <c r="P38" s="4" t="s">
        <v>360</v>
      </c>
      <c r="Q38" s="4"/>
      <c r="R38" s="4"/>
      <c r="S38" s="4" t="s">
        <v>360</v>
      </c>
      <c r="U38" s="5"/>
      <c r="V38" s="5" t="s">
        <v>360</v>
      </c>
      <c r="W38" s="5"/>
      <c r="X38" s="5"/>
      <c r="Y38" s="4" t="s">
        <v>360</v>
      </c>
      <c r="Z38" s="2" t="str">
        <f>IF(Tabla_CKS[[#This Row],[id_padre]]=Tabla_CKS[[#This Row],[Id]],"NOK","OK")</f>
        <v>OK</v>
      </c>
      <c r="AA38" s="2"/>
    </row>
    <row r="39" spans="1:27" x14ac:dyDescent="0.5">
      <c r="A39" s="2">
        <f>MAX(Tabla_VMN[Id])</f>
        <v>507</v>
      </c>
      <c r="B39">
        <v>512</v>
      </c>
      <c r="C39" s="5">
        <f>IF(Tabla_CKS[[#This Row],[id_padre]]="",0,_xlfn.XLOOKUP(Tabla_CKS[[#This Row],[id_padre]],Tabla_CKS[Id],Tabla_CKS[Nivel],0,0,1)+1)</f>
        <v>2</v>
      </c>
      <c r="D39" s="2" t="s">
        <v>475</v>
      </c>
      <c r="E39">
        <f>IF(Tabla_CKS[[#This Row],[Id_anterior]]=1,ROW()-1,SUM(ROW()-1,Tabla_CKS[[#This Row],[Id_anterior]]))</f>
        <v>545</v>
      </c>
      <c r="F39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CONCILIACION_CKS_INFORMES_DOCUMENTOS_POR_ESTADO_HISTORICO</v>
      </c>
      <c r="G39" s="2" t="str">
        <f>CLEAN(PROPER(Tabla_CKS[[#This Row],[Nombre Opción]]))</f>
        <v>Documentos Por Estado Historico</v>
      </c>
      <c r="H39" s="2" t="s">
        <v>1735</v>
      </c>
      <c r="I39" s="2" t="str">
        <f>_xlfn.XLOOKUP(Tabla_CKS[[#This Row],[id_padre]],Tabla_CKS[Id],Tabla_CKS[Codigo_Tecnico],"",0,1)</f>
        <v>CONCILIACION_CKS_INFORMES</v>
      </c>
      <c r="J39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/conciliacion-cks/informes/documentos-por-estado-historico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documentos-por-estado-historico</v>
      </c>
      <c r="L39" s="2" t="s">
        <v>1439</v>
      </c>
      <c r="M39" s="2" t="s">
        <v>1797</v>
      </c>
      <c r="N39" s="4" t="s">
        <v>360</v>
      </c>
      <c r="O39" s="4" t="s">
        <v>360</v>
      </c>
      <c r="P39" s="4" t="s">
        <v>360</v>
      </c>
      <c r="Q39" s="4"/>
      <c r="R39" s="4"/>
      <c r="S39" s="4" t="s">
        <v>360</v>
      </c>
      <c r="U39" s="5"/>
      <c r="V39" s="5" t="s">
        <v>360</v>
      </c>
      <c r="W39" s="5"/>
      <c r="X39" s="5"/>
      <c r="Y39" s="4" t="s">
        <v>360</v>
      </c>
      <c r="Z39" s="2" t="str">
        <f>IF(Tabla_CKS[[#This Row],[id_padre]]=Tabla_CKS[[#This Row],[Id]],"NOK","OK")</f>
        <v>OK</v>
      </c>
      <c r="AA39" s="2"/>
    </row>
    <row r="40" spans="1:27" x14ac:dyDescent="0.5">
      <c r="A40" s="2">
        <f>MAX(Tabla_VMN[Id])</f>
        <v>507</v>
      </c>
      <c r="B40">
        <v>512</v>
      </c>
      <c r="C40" s="5">
        <f>IF(Tabla_CKS[[#This Row],[id_padre]]="",0,_xlfn.XLOOKUP(Tabla_CKS[[#This Row],[id_padre]],Tabla_CKS[Id],Tabla_CKS[Nivel],0,0,1)+1)</f>
        <v>2</v>
      </c>
      <c r="D40" s="2" t="s">
        <v>476</v>
      </c>
      <c r="E40">
        <f>IF(Tabla_CKS[[#This Row],[Id_anterior]]=1,ROW()-1,SUM(ROW()-1,Tabla_CKS[[#This Row],[Id_anterior]]))</f>
        <v>546</v>
      </c>
      <c r="F40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CONCILIACION_CKS_INFORMES_RESUMEN_CONCILIACION</v>
      </c>
      <c r="G40" s="2" t="str">
        <f>CLEAN(PROPER(Tabla_CKS[[#This Row],[Nombre Opción]]))</f>
        <v>Resumen Conciliacion</v>
      </c>
      <c r="H40" s="2" t="s">
        <v>1735</v>
      </c>
      <c r="I40" s="2" t="str">
        <f>_xlfn.XLOOKUP(Tabla_CKS[[#This Row],[id_padre]],Tabla_CKS[Id],Tabla_CKS[Codigo_Tecnico],"",0,1)</f>
        <v>CONCILIACION_CKS_INFORMES</v>
      </c>
      <c r="J40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/conciliacion-cks/informes/resumen-conciliacion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resumen-conciliacion</v>
      </c>
      <c r="L40" s="2" t="s">
        <v>1387</v>
      </c>
      <c r="M40" s="2" t="s">
        <v>1797</v>
      </c>
      <c r="N40" s="4" t="s">
        <v>360</v>
      </c>
      <c r="O40" s="4" t="s">
        <v>360</v>
      </c>
      <c r="P40" s="4" t="s">
        <v>360</v>
      </c>
      <c r="Q40" s="4"/>
      <c r="R40" s="4"/>
      <c r="S40" s="4" t="s">
        <v>360</v>
      </c>
      <c r="U40" s="5"/>
      <c r="V40" s="5" t="s">
        <v>360</v>
      </c>
      <c r="W40" s="5"/>
      <c r="X40" s="5"/>
      <c r="Y40" s="4" t="s">
        <v>360</v>
      </c>
      <c r="Z40" s="2" t="str">
        <f>IF(Tabla_CKS[[#This Row],[id_padre]]=Tabla_CKS[[#This Row],[Id]],"NOK","OK")</f>
        <v>OK</v>
      </c>
      <c r="AA40" s="2"/>
    </row>
    <row r="41" spans="1:27" x14ac:dyDescent="0.5">
      <c r="A41" s="2">
        <f>MAX(Tabla_VMN[Id])</f>
        <v>507</v>
      </c>
      <c r="B41">
        <v>512</v>
      </c>
      <c r="C41" s="5">
        <f>IF(Tabla_CKS[[#This Row],[id_padre]]="",0,_xlfn.XLOOKUP(Tabla_CKS[[#This Row],[id_padre]],Tabla_CKS[Id],Tabla_CKS[Nivel],0,0,1)+1)</f>
        <v>2</v>
      </c>
      <c r="D41" s="2" t="s">
        <v>477</v>
      </c>
      <c r="E41">
        <f>IF(Tabla_CKS[[#This Row],[Id_anterior]]=1,ROW()-1,SUM(ROW()-1,Tabla_CKS[[#This Row],[Id_anterior]]))</f>
        <v>547</v>
      </c>
      <c r="F41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CONCILIACION_CKS_INFORMES_RESUMEN_CONCILIACION_HISTORICA</v>
      </c>
      <c r="G41" s="2" t="str">
        <f>CLEAN(PROPER(Tabla_CKS[[#This Row],[Nombre Opción]]))</f>
        <v>Resumen Conciliacion Historica</v>
      </c>
      <c r="H41" s="2" t="s">
        <v>1735</v>
      </c>
      <c r="I41" s="2" t="str">
        <f>_xlfn.XLOOKUP(Tabla_CKS[[#This Row],[id_padre]],Tabla_CKS[Id],Tabla_CKS[Codigo_Tecnico],"",0,1)</f>
        <v>CONCILIACION_CKS_INFORMES</v>
      </c>
      <c r="J41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/conciliacion-cks/informes/resumen-conciliacion-historica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resumen-conciliacion-historica</v>
      </c>
      <c r="L41" s="2" t="s">
        <v>1485</v>
      </c>
      <c r="M41" s="2" t="s">
        <v>1797</v>
      </c>
      <c r="N41" s="4" t="s">
        <v>360</v>
      </c>
      <c r="O41" s="4" t="s">
        <v>360</v>
      </c>
      <c r="P41" s="4" t="s">
        <v>360</v>
      </c>
      <c r="Q41" s="4"/>
      <c r="R41" s="4"/>
      <c r="S41" s="4" t="s">
        <v>360</v>
      </c>
      <c r="U41" s="5"/>
      <c r="V41" s="5" t="s">
        <v>360</v>
      </c>
      <c r="W41" s="5"/>
      <c r="X41" s="5"/>
      <c r="Y41" s="4" t="s">
        <v>360</v>
      </c>
      <c r="Z41" s="2" t="str">
        <f>IF(Tabla_CKS[[#This Row],[id_padre]]=Tabla_CKS[[#This Row],[Id]],"NOK","OK")</f>
        <v>OK</v>
      </c>
      <c r="AA41" s="2"/>
    </row>
    <row r="42" spans="1:27" x14ac:dyDescent="0.5">
      <c r="A42" s="2">
        <f>MAX(Tabla_VMN[Id])</f>
        <v>507</v>
      </c>
      <c r="B42">
        <v>512</v>
      </c>
      <c r="C42" s="5">
        <f>IF(Tabla_CKS[[#This Row],[id_padre]]="",0,_xlfn.XLOOKUP(Tabla_CKS[[#This Row],[id_padre]],Tabla_CKS[Id],Tabla_CKS[Nivel],0,0,1)+1)</f>
        <v>2</v>
      </c>
      <c r="D42" s="2" t="s">
        <v>478</v>
      </c>
      <c r="E42">
        <f>IF(Tabla_CKS[[#This Row],[Id_anterior]]=1,ROW()-1,SUM(ROW()-1,Tabla_CKS[[#This Row],[Id_anterior]]))</f>
        <v>548</v>
      </c>
      <c r="F42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CONCILIACION_CKS_INFORMES_CARTOLA_DOCUMENTOS_CONCILIADOS</v>
      </c>
      <c r="G42" s="2" t="str">
        <f>CLEAN(PROPER(Tabla_CKS[[#This Row],[Nombre Opción]]))</f>
        <v>Cartola Documentos Conciliados</v>
      </c>
      <c r="H42" s="2" t="s">
        <v>1735</v>
      </c>
      <c r="I42" s="2" t="str">
        <f>_xlfn.XLOOKUP(Tabla_CKS[[#This Row],[id_padre]],Tabla_CKS[Id],Tabla_CKS[Codigo_Tecnico],"",0,1)</f>
        <v>CONCILIACION_CKS_INFORMES</v>
      </c>
      <c r="J42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/conciliacion-cks/informes/cartola-documentos-conciliados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cartola-documentos-conciliados</v>
      </c>
      <c r="L42" s="2" t="s">
        <v>1349</v>
      </c>
      <c r="M42" s="2" t="s">
        <v>1797</v>
      </c>
      <c r="N42" s="4" t="s">
        <v>360</v>
      </c>
      <c r="O42" s="4" t="s">
        <v>360</v>
      </c>
      <c r="P42" s="4" t="s">
        <v>360</v>
      </c>
      <c r="Q42" s="4"/>
      <c r="R42" s="4"/>
      <c r="S42" s="4" t="s">
        <v>360</v>
      </c>
      <c r="U42" s="5"/>
      <c r="V42" s="5" t="s">
        <v>360</v>
      </c>
      <c r="W42" s="5"/>
      <c r="X42" s="5"/>
      <c r="Y42" s="4" t="s">
        <v>360</v>
      </c>
      <c r="Z42" s="2" t="str">
        <f>IF(Tabla_CKS[[#This Row],[id_padre]]=Tabla_CKS[[#This Row],[Id]],"NOK","OK")</f>
        <v>OK</v>
      </c>
      <c r="AA42" s="2"/>
    </row>
    <row r="43" spans="1:27" x14ac:dyDescent="0.5">
      <c r="A43" s="2">
        <f>MAX(Tabla_VMN[Id])</f>
        <v>507</v>
      </c>
      <c r="B43">
        <v>512</v>
      </c>
      <c r="C43" s="5">
        <f>IF(Tabla_CKS[[#This Row],[id_padre]]="",0,_xlfn.XLOOKUP(Tabla_CKS[[#This Row],[id_padre]],Tabla_CKS[Id],Tabla_CKS[Nivel],0,0,1)+1)</f>
        <v>2</v>
      </c>
      <c r="D43" s="2" t="s">
        <v>479</v>
      </c>
      <c r="E43">
        <f>IF(Tabla_CKS[[#This Row],[Id_anterior]]=1,ROW()-1,SUM(ROW()-1,Tabla_CKS[[#This Row],[Id_anterior]]))</f>
        <v>549</v>
      </c>
      <c r="F43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CONCILIACION_CKS_INFORMES_LIBRO_CHEQUES</v>
      </c>
      <c r="G43" s="2" t="str">
        <f>CLEAN(PROPER(Tabla_CKS[[#This Row],[Nombre Opción]]))</f>
        <v>Libro De Cheques</v>
      </c>
      <c r="H43" s="2" t="s">
        <v>1735</v>
      </c>
      <c r="I43" s="2" t="str">
        <f>_xlfn.XLOOKUP(Tabla_CKS[[#This Row],[id_padre]],Tabla_CKS[Id],Tabla_CKS[Codigo_Tecnico],"",0,1)</f>
        <v>CONCILIACION_CKS_INFORMES</v>
      </c>
      <c r="J43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/conciliacion-cks/informes/libro-cheques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libro-cheques</v>
      </c>
      <c r="L43" s="2" t="s">
        <v>1432</v>
      </c>
      <c r="M43" s="2" t="s">
        <v>1797</v>
      </c>
      <c r="N43" s="4" t="s">
        <v>360</v>
      </c>
      <c r="O43" s="4" t="s">
        <v>360</v>
      </c>
      <c r="P43" s="4" t="s">
        <v>360</v>
      </c>
      <c r="Q43" s="4"/>
      <c r="R43" s="4"/>
      <c r="S43" s="4" t="s">
        <v>360</v>
      </c>
      <c r="U43" s="5"/>
      <c r="V43" s="5" t="s">
        <v>360</v>
      </c>
      <c r="W43" s="5"/>
      <c r="X43" s="5"/>
      <c r="Y43" s="4" t="s">
        <v>360</v>
      </c>
      <c r="Z43" s="2" t="str">
        <f>IF(Tabla_CKS[[#This Row],[id_padre]]=Tabla_CKS[[#This Row],[Id]],"NOK","OK")</f>
        <v>OK</v>
      </c>
      <c r="AA43" s="2"/>
    </row>
    <row r="44" spans="1:27" x14ac:dyDescent="0.5">
      <c r="A44" s="2">
        <f>MAX(Tabla_VMN[Id])</f>
        <v>507</v>
      </c>
      <c r="B44">
        <v>512</v>
      </c>
      <c r="C44" s="5">
        <f>IF(Tabla_CKS[[#This Row],[id_padre]]="",0,_xlfn.XLOOKUP(Tabla_CKS[[#This Row],[id_padre]],Tabla_CKS[Id],Tabla_CKS[Nivel],0,0,1)+1)</f>
        <v>2</v>
      </c>
      <c r="D44" s="2" t="s">
        <v>482</v>
      </c>
      <c r="E44">
        <f>IF(Tabla_CKS[[#This Row],[Id_anterior]]=1,ROW()-1,SUM(ROW()-1,Tabla_CKS[[#This Row],[Id_anterior]]))</f>
        <v>550</v>
      </c>
      <c r="F44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CONCILIACION_CKS_INFORMES_REIMPRESION_CHEQUES</v>
      </c>
      <c r="G44" s="2" t="str">
        <f>CLEAN(PROPER(Tabla_CKS[[#This Row],[Nombre Opción]]))</f>
        <v>Reimpresion De Cheques</v>
      </c>
      <c r="H44" s="2" t="s">
        <v>1735</v>
      </c>
      <c r="I44" s="2" t="str">
        <f>_xlfn.XLOOKUP(Tabla_CKS[[#This Row],[id_padre]],Tabla_CKS[Id],Tabla_CKS[Codigo_Tecnico],"",0,1)</f>
        <v>CONCILIACION_CKS_INFORMES</v>
      </c>
      <c r="J44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/conciliacion-cks/informes/reimpresion-cheques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reimpresion-cheques</v>
      </c>
      <c r="L44" s="2" t="s">
        <v>1335</v>
      </c>
      <c r="M44" s="2" t="s">
        <v>1797</v>
      </c>
      <c r="N44" s="4" t="s">
        <v>360</v>
      </c>
      <c r="O44" s="4" t="s">
        <v>360</v>
      </c>
      <c r="P44" s="4" t="s">
        <v>360</v>
      </c>
      <c r="Q44" s="4"/>
      <c r="R44" s="4"/>
      <c r="S44" s="4" t="s">
        <v>360</v>
      </c>
      <c r="U44" s="5"/>
      <c r="V44" s="5" t="s">
        <v>360</v>
      </c>
      <c r="W44" s="5"/>
      <c r="X44" s="5"/>
      <c r="Y44" s="4" t="s">
        <v>360</v>
      </c>
      <c r="Z44" s="2" t="str">
        <f>IF(Tabla_CKS[[#This Row],[id_padre]]=Tabla_CKS[[#This Row],[Id]],"NOK","OK")</f>
        <v>OK</v>
      </c>
      <c r="AA44" s="2"/>
    </row>
    <row r="45" spans="1:27" x14ac:dyDescent="0.5">
      <c r="A45" s="2">
        <f>MAX(Tabla_VMN[Id])</f>
        <v>507</v>
      </c>
      <c r="B45">
        <v>512</v>
      </c>
      <c r="C45" s="5">
        <f>IF(Tabla_CKS[[#This Row],[id_padre]]="",0,_xlfn.XLOOKUP(Tabla_CKS[[#This Row],[id_padre]],Tabla_CKS[Id],Tabla_CKS[Nivel],0,0,1)+1)</f>
        <v>2</v>
      </c>
      <c r="D45" s="2" t="s">
        <v>480</v>
      </c>
      <c r="E45">
        <f>IF(Tabla_CKS[[#This Row],[Id_anterior]]=1,ROW()-1,SUM(ROW()-1,Tabla_CKS[[#This Row],[Id_anterior]]))</f>
        <v>551</v>
      </c>
      <c r="F45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CONCILIACION_CKS_INFORMES_PAGOS_EFECTUADOS</v>
      </c>
      <c r="G45" s="2" t="str">
        <f>CLEAN(PROPER(Tabla_CKS[[#This Row],[Nombre Opción]]))</f>
        <v>Pagos Efectuados</v>
      </c>
      <c r="H45" s="2" t="s">
        <v>1735</v>
      </c>
      <c r="I45" s="2" t="str">
        <f>_xlfn.XLOOKUP(Tabla_CKS[[#This Row],[id_padre]],Tabla_CKS[Id],Tabla_CKS[Codigo_Tecnico],"",0,1)</f>
        <v>CONCILIACION_CKS_INFORMES</v>
      </c>
      <c r="J45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/conciliacion-cks/informes/pagos-efectuados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pagos-efectuados</v>
      </c>
      <c r="L45" s="2" t="s">
        <v>1508</v>
      </c>
      <c r="M45" s="2" t="s">
        <v>1797</v>
      </c>
      <c r="N45" s="4" t="s">
        <v>360</v>
      </c>
      <c r="O45" s="4" t="s">
        <v>360</v>
      </c>
      <c r="P45" s="4" t="s">
        <v>360</v>
      </c>
      <c r="Q45" s="4"/>
      <c r="R45" s="4"/>
      <c r="S45" s="4" t="s">
        <v>360</v>
      </c>
      <c r="U45" s="5"/>
      <c r="V45" s="5" t="s">
        <v>360</v>
      </c>
      <c r="W45" s="5"/>
      <c r="X45" s="5"/>
      <c r="Y45" s="4" t="s">
        <v>360</v>
      </c>
      <c r="Z45" s="2" t="str">
        <f>IF(Tabla_CKS[[#This Row],[id_padre]]=Tabla_CKS[[#This Row],[Id]],"NOK","OK")</f>
        <v>OK</v>
      </c>
      <c r="AA45" s="2"/>
    </row>
    <row r="46" spans="1:27" x14ac:dyDescent="0.5">
      <c r="A46" s="2">
        <f>MAX(Tabla_VMN[Id])</f>
        <v>507</v>
      </c>
      <c r="B46">
        <v>512</v>
      </c>
      <c r="C46" s="5">
        <f>IF(Tabla_CKS[[#This Row],[id_padre]]="",0,_xlfn.XLOOKUP(Tabla_CKS[[#This Row],[id_padre]],Tabla_CKS[Id],Tabla_CKS[Nivel],0,0,1)+1)</f>
        <v>2</v>
      </c>
      <c r="D46" s="2" t="s">
        <v>483</v>
      </c>
      <c r="E46">
        <f>IF(Tabla_CKS[[#This Row],[Id_anterior]]=1,ROW()-1,SUM(ROW()-1,Tabla_CKS[[#This Row],[Id_anterior]]))</f>
        <v>552</v>
      </c>
      <c r="F46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CONCILIACION_CKS_INFORMES_REIMPRESION_DOCUMENTOS_CHEQUES_CAJA</v>
      </c>
      <c r="G46" s="2" t="str">
        <f>CLEAN(PROPER(Tabla_CKS[[#This Row],[Nombre Opción]]))</f>
        <v>Reimpresion Documentos Cheques A Caja</v>
      </c>
      <c r="H46" s="2" t="s">
        <v>1735</v>
      </c>
      <c r="I46" s="2" t="str">
        <f>_xlfn.XLOOKUP(Tabla_CKS[[#This Row],[id_padre]],Tabla_CKS[Id],Tabla_CKS[Codigo_Tecnico],"",0,1)</f>
        <v>CONCILIACION_CKS_INFORMES</v>
      </c>
      <c r="J46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/conciliacion-cks/informes/reimpresion-documentos-cheques-caja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reimpresion-documentos-cheques-caja</v>
      </c>
      <c r="L46" s="2" t="s">
        <v>1529</v>
      </c>
      <c r="M46" s="2" t="s">
        <v>1797</v>
      </c>
      <c r="N46" s="4" t="s">
        <v>360</v>
      </c>
      <c r="O46" s="4" t="s">
        <v>360</v>
      </c>
      <c r="P46" s="4" t="s">
        <v>360</v>
      </c>
      <c r="Q46" s="4"/>
      <c r="R46" s="4"/>
      <c r="S46" s="4" t="s">
        <v>360</v>
      </c>
      <c r="U46" s="5"/>
      <c r="V46" s="5" t="s">
        <v>360</v>
      </c>
      <c r="W46" s="5"/>
      <c r="X46" s="5"/>
      <c r="Y46" s="4" t="s">
        <v>360</v>
      </c>
      <c r="Z46" s="2" t="str">
        <f>IF(Tabla_CKS[[#This Row],[id_padre]]=Tabla_CKS[[#This Row],[Id]],"NOK","OK")</f>
        <v>OK</v>
      </c>
      <c r="AA46" s="2"/>
    </row>
    <row r="47" spans="1:27" x14ac:dyDescent="0.5">
      <c r="A47" s="2">
        <f>MAX(Tabla_VMN[Id])</f>
        <v>507</v>
      </c>
      <c r="B47">
        <v>512</v>
      </c>
      <c r="C47" s="5">
        <f>IF(Tabla_CKS[[#This Row],[id_padre]]="",0,_xlfn.XLOOKUP(Tabla_CKS[[#This Row],[id_padre]],Tabla_CKS[Id],Tabla_CKS[Nivel],0,0,1)+1)</f>
        <v>2</v>
      </c>
      <c r="D47" s="2" t="s">
        <v>484</v>
      </c>
      <c r="E47">
        <f>IF(Tabla_CKS[[#This Row],[Id_anterior]]=1,ROW()-1,SUM(ROW()-1,Tabla_CKS[[#This Row],[Id_anterior]]))</f>
        <v>553</v>
      </c>
      <c r="F47" s="2" t="str">
        <f>IF(Tabla_CKS[[#This Row],[id_padre]]="",SUBSTITUTE(UPPER(Tabla_CKS[[#This Row],[Slug]]),"-","_"),CONCATENATE(_xlfn.XLOOKUP(Tabla_CKS[[#This Row],[id_padre]],Tabla_CKS[Id],Tabla_CKS[Codigo_Tecnico],"",0,1),"_",SUBSTITUTE(UPPER(Tabla_CKS[[#This Row],[Slug]]),"-","_")))</f>
        <v>CONCILIACION_CKS_INFORMES_DOCUMENTOS_MES</v>
      </c>
      <c r="G47" s="2" t="str">
        <f>CLEAN(PROPER(Tabla_CKS[[#This Row],[Nombre Opción]]))</f>
        <v>Documentos Del Mes</v>
      </c>
      <c r="H47" s="2" t="s">
        <v>1735</v>
      </c>
      <c r="I47" s="2" t="str">
        <f>_xlfn.XLOOKUP(Tabla_CKS[[#This Row],[id_padre]],Tabla_CKS[Id],Tabla_CKS[Codigo_Tecnico],"",0,1)</f>
        <v>CONCILIACION_CKS_INFORMES</v>
      </c>
      <c r="J47" s="2" t="str">
        <f>IF(Tabla_CKS[[#This Row],[Nivel]]=0,CONCATENATE("/",Tabla_CKS[[#This Row],[Slug]]),CONCATENATE(_xlfn.XLOOKUP(Tabla_CKS[[#This Row],[id_padre]],Tabla_CKS[Id],Tabla_CKS[Ruta_Web],"",0,1),"/",Tabla_CKS[[#This Row],[Slug]]))</f>
        <v>/conciliacion-cks/informes/documentos-mes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SUBSTITUTE(SUBSTITUTE(SUBSTITUTE(SUBSTITUTE(SUBSTITUTE(SUBSTITUTE(SUBSTITUTE(SUBSTITUTE(SUBSTITUTE(SUBSTITUTE(SUBSTITUTE(SUBSTITUTE(SUBSTITUTE(SUBSTITUTE(SUBSTITUTE(SUBSTITUTE(SUBSTITUTE(SUBSTITUTE(SUBSTITUTE(SUBSTITUTE(SUBSTITUTE(LOWER(Tabla_CKS[[#This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documentos-mes</v>
      </c>
      <c r="L47" s="2" t="s">
        <v>1372</v>
      </c>
      <c r="M47" s="2" t="s">
        <v>1797</v>
      </c>
      <c r="N47" s="4" t="s">
        <v>360</v>
      </c>
      <c r="O47" s="4" t="s">
        <v>360</v>
      </c>
      <c r="P47" s="4" t="s">
        <v>360</v>
      </c>
      <c r="Q47" s="4"/>
      <c r="R47" s="4"/>
      <c r="S47" s="4" t="s">
        <v>360</v>
      </c>
      <c r="U47" s="5"/>
      <c r="V47" s="5" t="s">
        <v>360</v>
      </c>
      <c r="W47" s="5"/>
      <c r="X47" s="5"/>
      <c r="Y47" s="4" t="s">
        <v>360</v>
      </c>
      <c r="Z47" s="2" t="str">
        <f>IF(Tabla_CKS[[#This Row],[id_padre]]=Tabla_CKS[[#This Row],[Id]],"NOK","OK")</f>
        <v>OK</v>
      </c>
      <c r="AA47" s="2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BACCE26-6DCF-4FFC-99D5-9447195C7C98}">
          <x14:formula1>
            <xm:f>Modulos!$C$2:$C$15</xm:f>
          </x14:formula1>
          <xm:sqref>M2:M47</xm:sqref>
        </x14:dataValidation>
        <x14:dataValidation type="list" allowBlank="1" showInputMessage="1" showErrorMessage="1" xr:uid="{E73D0BFF-A127-47FC-A2C0-B89E5AA38196}">
          <x14:formula1>
            <xm:f>Lista!$A$2:$A$3</xm:f>
          </x14:formula1>
          <xm:sqref>N2:Y47</xm:sqref>
        </x14:dataValidation>
        <x14:dataValidation type="list" allowBlank="1" showInputMessage="1" showErrorMessage="1" xr:uid="{DB852E38-80DF-4B8E-BE04-21F16ADB4B9F}">
          <x14:formula1>
            <xm:f>Equipo!$B$2:$B$7</xm:f>
          </x14:formula1>
          <xm:sqref>AA2:AA47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29CC-D93C-4719-9C78-5C44BAC2655D}">
  <sheetPr codeName="Hoja11"/>
  <dimension ref="A1:X82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10" sqref="D10"/>
    </sheetView>
  </sheetViews>
  <sheetFormatPr baseColWidth="10" defaultColWidth="11.41015625" defaultRowHeight="14.35" x14ac:dyDescent="0.5"/>
  <cols>
    <col min="1" max="3" width="5.703125" customWidth="1"/>
    <col min="4" max="4" width="43.64453125" style="2" bestFit="1" customWidth="1"/>
    <col min="5" max="5" width="5.703125" customWidth="1"/>
    <col min="6" max="6" width="10.703125" customWidth="1"/>
    <col min="7" max="7" width="10.703125" style="2" customWidth="1"/>
    <col min="8" max="11" width="10.703125" style="4" customWidth="1"/>
    <col min="12" max="12" width="10.703125" style="2" customWidth="1"/>
    <col min="13" max="13" width="10.703125" style="4" customWidth="1"/>
    <col min="14" max="16" width="5.703125" style="4" customWidth="1"/>
    <col min="17" max="17" width="5.703125" style="2" customWidth="1"/>
    <col min="18" max="18" width="5.703125" style="5" customWidth="1"/>
    <col min="19" max="20" width="5.703125" style="4" customWidth="1"/>
    <col min="24" max="24" width="5.703125" style="4" customWidth="1"/>
    <col min="25" max="25" width="11.41015625" style="2"/>
    <col min="26" max="26" width="49.41015625" style="2" bestFit="1" customWidth="1"/>
    <col min="27" max="27" width="19.87890625" style="2" bestFit="1" customWidth="1"/>
    <col min="28" max="28" width="35.41015625" style="2" bestFit="1" customWidth="1"/>
    <col min="29" max="16384" width="11.41015625" style="2"/>
  </cols>
  <sheetData>
    <row r="1" spans="1:24" s="3" customFormat="1" ht="108.35" x14ac:dyDescent="0.5">
      <c r="A1" s="3" t="s">
        <v>1807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485</v>
      </c>
      <c r="O1" s="3" t="s">
        <v>486</v>
      </c>
      <c r="P1" s="3" t="s">
        <v>487</v>
      </c>
      <c r="Q1" s="3" t="s">
        <v>488</v>
      </c>
      <c r="R1" s="3" t="s">
        <v>489</v>
      </c>
      <c r="S1" s="3" t="s">
        <v>490</v>
      </c>
      <c r="T1" s="3" t="s">
        <v>1932</v>
      </c>
      <c r="U1" s="3" t="s">
        <v>2005</v>
      </c>
      <c r="V1" s="3" t="s">
        <v>2030</v>
      </c>
    </row>
    <row r="2" spans="1:24" x14ac:dyDescent="0.5">
      <c r="A2" s="2">
        <f>MAX(Tabla_CKS[Id])</f>
        <v>553</v>
      </c>
      <c r="B2" s="2" t="s">
        <v>98</v>
      </c>
      <c r="C2">
        <f>IF(Tabla_Caja[[#This Row],[id_padre]]="",0,_xlfn.XLOOKUP(Tabla_Caja[[#This Row],[id_padre]],Tabla_Caja[Id],Tabla_Caja[Nivel],0,0,1)+1)</f>
        <v>0</v>
      </c>
      <c r="D2" t="s">
        <v>208</v>
      </c>
      <c r="E2" s="2">
        <f>IF(Tabla_Caja[[#This Row],[id_anterior]]=1,ROW()-1,SUM(ROW()-1,Tabla_Caja[[#This Row],[id_anterior]]))</f>
        <v>554</v>
      </c>
      <c r="F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</v>
      </c>
      <c r="G2" s="2" t="str">
        <f>CLEAN(PROPER(Tabla_Caja[[#This Row],[Nombre Opción]]))</f>
        <v>Caja</v>
      </c>
      <c r="H2" s="2" t="s">
        <v>1735</v>
      </c>
      <c r="I2" s="2" t="str">
        <f>_xlfn.XLOOKUP(Tabla_Caja[[#This Row],[id_padre]],Tabla_Caja[Id],Tabla_Caja[Codigo_Tecnico],"",0,1)</f>
        <v/>
      </c>
      <c r="J2" s="2" t="str">
        <f>IF(Tabla_Caja[[#This Row],[Nivel]]=0,CONCATENATE("/",Tabla_Caja[[#This Row],[Slug]]),CONCATENATE(_xlfn.XLOOKUP(Tabla_Caja[[#This Row],[id_padre]],Tabla_Caja[Id],Tabla_Caja[Ruta_Web],"",0,1),"/",Tabla_Caja[[#This Row],[Slug]]))</f>
        <v>/caja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caja</v>
      </c>
      <c r="L2" s="2" t="s">
        <v>1336</v>
      </c>
      <c r="M2" s="2" t="s">
        <v>208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2" t="str">
        <f>IF(Tabla_Caja[[#This Row],[id_padre]]=Tabla_Caja[[#This Row],[Id]],"NOK","OK")</f>
        <v>OK</v>
      </c>
      <c r="V2" s="2"/>
      <c r="W2" s="2"/>
      <c r="X2" s="2"/>
    </row>
    <row r="3" spans="1:24" x14ac:dyDescent="0.5">
      <c r="A3" s="2">
        <f>MAX(Tabla_CKS[Id])</f>
        <v>553</v>
      </c>
      <c r="B3">
        <v>554</v>
      </c>
      <c r="C3">
        <f>IF(Tabla_Caja[[#This Row],[id_padre]]="",0,_xlfn.XLOOKUP(Tabla_Caja[[#This Row],[id_padre]],Tabla_Caja[Id],Tabla_Caja[Nivel],0,0,1)+1)</f>
        <v>1</v>
      </c>
      <c r="D3" s="2" t="s">
        <v>18</v>
      </c>
      <c r="E3">
        <f>IF(Tabla_Caja[[#This Row],[id_anterior]]=1,ROW()-1,SUM(ROW()-1,Tabla_Caja[[#This Row],[id_anterior]]))</f>
        <v>555</v>
      </c>
      <c r="F3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CAJA_PARAMETROS</v>
      </c>
      <c r="G3" s="2" t="str">
        <f>CLEAN(PROPER(Tabla_Caja[[#This Row],[Nombre Opción]]))</f>
        <v>Parámetros</v>
      </c>
      <c r="H3" s="2" t="s">
        <v>1735</v>
      </c>
      <c r="I3" s="2" t="str">
        <f>_xlfn.XLOOKUP(Tabla_Caja[[#This Row],[id_padre]],Tabla_Caja[Id],Tabla_Caja[Codigo_Tecnico],"",0,1)</f>
        <v>CAJA</v>
      </c>
      <c r="J3" s="2" t="str">
        <f>IF(Tabla_Caja[[#This Row],[Nivel]]=0,CONCATENATE("/",Tabla_Caja[[#This Row],[Slug]]),CONCATENATE(_xlfn.XLOOKUP(Tabla_Caja[[#This Row],[id_padre]],Tabla_Caja[Id],Tabla_Caja[Ruta_Web],"",0,1),"/",Tabla_Caja[[#This Row],[Slug]]))</f>
        <v>/caja/parametros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2" t="s">
        <v>208</v>
      </c>
      <c r="N3" s="4" t="s">
        <v>360</v>
      </c>
      <c r="O3" s="4" t="s">
        <v>360</v>
      </c>
      <c r="P3" s="4" t="s">
        <v>360</v>
      </c>
      <c r="Q3" s="4"/>
      <c r="R3" s="4"/>
      <c r="T3" s="4" t="s">
        <v>360</v>
      </c>
      <c r="U3" s="2" t="str">
        <f>IF(Tabla_Caja[[#This Row],[id_padre]]=Tabla_Caja[[#This Row],[Id]],"NOK","OK")</f>
        <v>OK</v>
      </c>
      <c r="V3" s="2"/>
      <c r="W3" s="2"/>
      <c r="X3" s="2"/>
    </row>
    <row r="4" spans="1:24" x14ac:dyDescent="0.5">
      <c r="A4" s="2">
        <f>MAX(Tabla_CKS[Id])</f>
        <v>553</v>
      </c>
      <c r="B4">
        <v>554</v>
      </c>
      <c r="C4">
        <f>IF(Tabla_Caja[[#This Row],[id_padre]]="",0,_xlfn.XLOOKUP(Tabla_Caja[[#This Row],[id_padre]],Tabla_Caja[Id],Tabla_Caja[Nivel],0,0,1)+1)</f>
        <v>1</v>
      </c>
      <c r="D4" s="2" t="s">
        <v>19</v>
      </c>
      <c r="E4">
        <f>IF(Tabla_Caja[[#This Row],[id_anterior]]=1,ROW()-1,SUM(ROW()-1,Tabla_Caja[[#This Row],[id_anterior]]))</f>
        <v>556</v>
      </c>
      <c r="F4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</v>
      </c>
      <c r="G4" s="2" t="str">
        <f>CLEAN(PROPER(Tabla_Caja[[#This Row],[Nombre Opción]]))</f>
        <v>Procesos</v>
      </c>
      <c r="H4" s="2" t="s">
        <v>1735</v>
      </c>
      <c r="I4" s="2" t="str">
        <f>_xlfn.XLOOKUP(Tabla_Caja[[#This Row],[id_padre]],Tabla_Caja[Id],Tabla_Caja[Codigo_Tecnico],"",0,1)</f>
        <v>CAJA</v>
      </c>
      <c r="J4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2" t="s">
        <v>1338</v>
      </c>
      <c r="M4" s="2" t="s">
        <v>208</v>
      </c>
      <c r="N4" s="4" t="s">
        <v>360</v>
      </c>
      <c r="O4" s="4" t="s">
        <v>360</v>
      </c>
      <c r="P4" s="4" t="s">
        <v>360</v>
      </c>
      <c r="Q4" s="4" t="s">
        <v>360</v>
      </c>
      <c r="R4" s="4"/>
      <c r="S4" s="4" t="s">
        <v>360</v>
      </c>
      <c r="T4" s="4" t="s">
        <v>360</v>
      </c>
      <c r="U4" s="2" t="str">
        <f>IF(Tabla_Caja[[#This Row],[id_padre]]=Tabla_Caja[[#This Row],[Id]],"NOK","OK")</f>
        <v>OK</v>
      </c>
      <c r="V4" s="2"/>
      <c r="W4" s="2"/>
      <c r="X4" s="2"/>
    </row>
    <row r="5" spans="1:24" x14ac:dyDescent="0.5">
      <c r="A5" s="2">
        <f>MAX(Tabla_CKS[Id])</f>
        <v>553</v>
      </c>
      <c r="B5">
        <v>554</v>
      </c>
      <c r="C5">
        <f>IF(Tabla_Caja[[#This Row],[id_padre]]="",0,_xlfn.XLOOKUP(Tabla_Caja[[#This Row],[id_padre]],Tabla_Caja[Id],Tabla_Caja[Nivel],0,0,1)+1)</f>
        <v>1</v>
      </c>
      <c r="D5" s="2" t="s">
        <v>20</v>
      </c>
      <c r="E5">
        <f>IF(Tabla_Caja[[#This Row],[id_anterior]]=1,ROW()-1,SUM(ROW()-1,Tabla_Caja[[#This Row],[id_anterior]]))</f>
        <v>557</v>
      </c>
      <c r="F5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</v>
      </c>
      <c r="G5" s="2" t="str">
        <f>CLEAN(PROPER(Tabla_Caja[[#This Row],[Nombre Opción]]))</f>
        <v>Consultas</v>
      </c>
      <c r="H5" s="2" t="s">
        <v>1735</v>
      </c>
      <c r="I5" s="2" t="str">
        <f>_xlfn.XLOOKUP(Tabla_Caja[[#This Row],[id_padre]],Tabla_Caja[Id],Tabla_Caja[Codigo_Tecnico],"",0,1)</f>
        <v>CAJA</v>
      </c>
      <c r="J5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2" t="s">
        <v>1339</v>
      </c>
      <c r="M5" s="2" t="s">
        <v>208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4" t="s">
        <v>360</v>
      </c>
      <c r="U5" s="2" t="str">
        <f>IF(Tabla_Caja[[#This Row],[id_padre]]=Tabla_Caja[[#This Row],[Id]],"NOK","OK")</f>
        <v>OK</v>
      </c>
      <c r="V5" s="2"/>
      <c r="W5" s="2"/>
      <c r="X5" s="2"/>
    </row>
    <row r="6" spans="1:24" x14ac:dyDescent="0.5">
      <c r="A6" s="2">
        <f>MAX(Tabla_CKS[Id])</f>
        <v>553</v>
      </c>
      <c r="B6">
        <v>554</v>
      </c>
      <c r="C6">
        <f>IF(Tabla_Caja[[#This Row],[id_padre]]="",0,_xlfn.XLOOKUP(Tabla_Caja[[#This Row],[id_padre]],Tabla_Caja[Id],Tabla_Caja[Nivel],0,0,1)+1)</f>
        <v>1</v>
      </c>
      <c r="D6" s="2" t="s">
        <v>21</v>
      </c>
      <c r="E6">
        <f>IF(Tabla_Caja[[#This Row],[id_anterior]]=1,ROW()-1,SUM(ROW()-1,Tabla_Caja[[#This Row],[id_anterior]]))</f>
        <v>558</v>
      </c>
      <c r="F6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</v>
      </c>
      <c r="G6" s="2" t="str">
        <f>CLEAN(PROPER(Tabla_Caja[[#This Row],[Nombre Opción]]))</f>
        <v>Informes</v>
      </c>
      <c r="H6" s="2" t="s">
        <v>1735</v>
      </c>
      <c r="I6" s="2" t="str">
        <f>_xlfn.XLOOKUP(Tabla_Caja[[#This Row],[id_padre]],Tabla_Caja[Id],Tabla_Caja[Codigo_Tecnico],"",0,1)</f>
        <v>CAJA</v>
      </c>
      <c r="J6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2" t="s">
        <v>1340</v>
      </c>
      <c r="M6" s="2" t="s">
        <v>208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U6" s="2" t="str">
        <f>IF(Tabla_Caja[[#This Row],[id_padre]]=Tabla_Caja[[#This Row],[Id]],"NOK","OK")</f>
        <v>OK</v>
      </c>
      <c r="V6" s="2"/>
      <c r="W6" s="2"/>
      <c r="X6" s="2"/>
    </row>
    <row r="7" spans="1:24" x14ac:dyDescent="0.5">
      <c r="A7" s="2">
        <f>MAX(Tabla_CKS[Id])</f>
        <v>553</v>
      </c>
      <c r="B7">
        <v>555</v>
      </c>
      <c r="C7">
        <f>IF(Tabla_Caja[[#This Row],[id_padre]]="",0,_xlfn.XLOOKUP(Tabla_Caja[[#This Row],[id_padre]],Tabla_Caja[Id],Tabla_Caja[Nivel],0,0,1)+1)</f>
        <v>2</v>
      </c>
      <c r="D7" s="2" t="s">
        <v>491</v>
      </c>
      <c r="E7">
        <f>IF(Tabla_Caja[[#This Row],[id_anterior]]=1,ROW()-1,SUM(ROW()-1,Tabla_Caja[[#This Row],[id_anterior]]))</f>
        <v>559</v>
      </c>
      <c r="F7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CAJA_PARAMETROS_MANTENCION_UNIDAD</v>
      </c>
      <c r="G7" s="2" t="str">
        <f>CLEAN(PROPER(Tabla_Caja[[#This Row],[Nombre Opción]]))</f>
        <v>Mantención De Unidad</v>
      </c>
      <c r="H7" s="2" t="s">
        <v>1735</v>
      </c>
      <c r="I7" s="2" t="str">
        <f>_xlfn.XLOOKUP(Tabla_Caja[[#This Row],[id_padre]],Tabla_Caja[Id],Tabla_Caja[Codigo_Tecnico],"",0,1)</f>
        <v>CAJA_PARAMETROS</v>
      </c>
      <c r="J7" s="2" t="str">
        <f>IF(Tabla_Caja[[#This Row],[Nivel]]=0,CONCATENATE("/",Tabla_Caja[[#This Row],[Slug]]),CONCATENATE(_xlfn.XLOOKUP(Tabla_Caja[[#This Row],[id_padre]],Tabla_Caja[Id],Tabla_Caja[Ruta_Web],"",0,1),"/",Tabla_Caja[[#This Row],[Slug]]))</f>
        <v>/caja/parametros/mantencion-unidad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mantencion-unidad</v>
      </c>
      <c r="L7" s="2" t="s">
        <v>1341</v>
      </c>
      <c r="M7" s="2" t="s">
        <v>208</v>
      </c>
      <c r="N7" s="4" t="s">
        <v>360</v>
      </c>
      <c r="O7" s="4" t="s">
        <v>360</v>
      </c>
      <c r="Q7" s="4"/>
      <c r="R7" s="4"/>
      <c r="T7" s="4" t="s">
        <v>360</v>
      </c>
      <c r="U7" s="2" t="str">
        <f>IF(Tabla_Caja[[#This Row],[id_padre]]=Tabla_Caja[[#This Row],[Id]],"NOK","OK")</f>
        <v>OK</v>
      </c>
      <c r="V7" s="2"/>
      <c r="W7" s="2"/>
      <c r="X7" s="2"/>
    </row>
    <row r="8" spans="1:24" x14ac:dyDescent="0.5">
      <c r="A8" s="2">
        <f>MAX(Tabla_CKS[Id])</f>
        <v>553</v>
      </c>
      <c r="B8">
        <v>555</v>
      </c>
      <c r="C8">
        <f>IF(Tabla_Caja[[#This Row],[id_padre]]="",0,_xlfn.XLOOKUP(Tabla_Caja[[#This Row],[id_padre]],Tabla_Caja[Id],Tabla_Caja[Nivel],0,0,1)+1)</f>
        <v>2</v>
      </c>
      <c r="D8" s="2" t="s">
        <v>492</v>
      </c>
      <c r="E8">
        <f>IF(Tabla_Caja[[#This Row],[id_anterior]]=1,ROW()-1,SUM(ROW()-1,Tabla_Caja[[#This Row],[id_anterior]]))</f>
        <v>560</v>
      </c>
      <c r="F8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CAJA_PARAMETROS_MANTENCION_CAJA_RECAUDADORA</v>
      </c>
      <c r="G8" s="2" t="str">
        <f>CLEAN(PROPER(Tabla_Caja[[#This Row],[Nombre Opción]]))</f>
        <v>Mantencion Caja Recaudadora</v>
      </c>
      <c r="H8" s="2" t="s">
        <v>1735</v>
      </c>
      <c r="I8" s="2" t="str">
        <f>_xlfn.XLOOKUP(Tabla_Caja[[#This Row],[id_padre]],Tabla_Caja[Id],Tabla_Caja[Codigo_Tecnico],"",0,1)</f>
        <v>CAJA_PARAMETROS</v>
      </c>
      <c r="J8" s="2" t="str">
        <f>IF(Tabla_Caja[[#This Row],[Nivel]]=0,CONCATENATE("/",Tabla_Caja[[#This Row],[Slug]]),CONCATENATE(_xlfn.XLOOKUP(Tabla_Caja[[#This Row],[id_padre]],Tabla_Caja[Id],Tabla_Caja[Ruta_Web],"",0,1),"/",Tabla_Caja[[#This Row],[Slug]]))</f>
        <v>/caja/parametros/mantencion-caja-recaudadora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mantencion-caja-recaudadora</v>
      </c>
      <c r="L8" s="2" t="s">
        <v>1336</v>
      </c>
      <c r="M8" s="2" t="s">
        <v>208</v>
      </c>
      <c r="N8" s="4" t="s">
        <v>360</v>
      </c>
      <c r="O8" s="4" t="s">
        <v>360</v>
      </c>
      <c r="P8" s="4" t="s">
        <v>360</v>
      </c>
      <c r="Q8" s="4"/>
      <c r="R8" s="4"/>
      <c r="T8" s="4" t="s">
        <v>360</v>
      </c>
      <c r="U8" s="2" t="str">
        <f>IF(Tabla_Caja[[#This Row],[id_padre]]=Tabla_Caja[[#This Row],[Id]],"NOK","OK")</f>
        <v>OK</v>
      </c>
      <c r="V8" s="2"/>
      <c r="W8" s="2"/>
      <c r="X8" s="2"/>
    </row>
    <row r="9" spans="1:24" x14ac:dyDescent="0.5">
      <c r="A9" s="2">
        <f>MAX(Tabla_CKS[Id])</f>
        <v>553</v>
      </c>
      <c r="B9">
        <v>555</v>
      </c>
      <c r="C9">
        <f>IF(Tabla_Caja[[#This Row],[id_padre]]="",0,_xlfn.XLOOKUP(Tabla_Caja[[#This Row],[id_padre]],Tabla_Caja[Id],Tabla_Caja[Nivel],0,0,1)+1)</f>
        <v>2</v>
      </c>
      <c r="D9" s="2" t="s">
        <v>493</v>
      </c>
      <c r="E9">
        <f>IF(Tabla_Caja[[#This Row],[id_anterior]]=1,ROW()-1,SUM(ROW()-1,Tabla_Caja[[#This Row],[id_anterior]]))</f>
        <v>561</v>
      </c>
      <c r="F9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CAJA_PARAMETROS_MANTENCION_CAJA_FUERTE</v>
      </c>
      <c r="G9" s="2" t="str">
        <f>CLEAN(PROPER(Tabla_Caja[[#This Row],[Nombre Opción]]))</f>
        <v>Mantencion Caja Fuerte</v>
      </c>
      <c r="H9" s="2" t="s">
        <v>1735</v>
      </c>
      <c r="I9" s="2" t="str">
        <f>_xlfn.XLOOKUP(Tabla_Caja[[#This Row],[id_padre]],Tabla_Caja[Id],Tabla_Caja[Codigo_Tecnico],"",0,1)</f>
        <v>CAJA_PARAMETROS</v>
      </c>
      <c r="J9" s="2" t="str">
        <f>IF(Tabla_Caja[[#This Row],[Nivel]]=0,CONCATENATE("/",Tabla_Caja[[#This Row],[Slug]]),CONCATENATE(_xlfn.XLOOKUP(Tabla_Caja[[#This Row],[id_padre]],Tabla_Caja[Id],Tabla_Caja[Ruta_Web],"",0,1),"/",Tabla_Caja[[#This Row],[Slug]]))</f>
        <v>/caja/parametros/mantencion-caja-fuerte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mantencion-caja-fuerte</v>
      </c>
      <c r="L9" s="2" t="s">
        <v>1342</v>
      </c>
      <c r="M9" s="2" t="s">
        <v>208</v>
      </c>
      <c r="N9" s="4" t="s">
        <v>360</v>
      </c>
      <c r="O9" s="4" t="s">
        <v>360</v>
      </c>
      <c r="P9" s="4" t="s">
        <v>360</v>
      </c>
      <c r="Q9" s="4"/>
      <c r="R9" s="4"/>
      <c r="T9" s="4" t="s">
        <v>360</v>
      </c>
      <c r="U9" s="2" t="str">
        <f>IF(Tabla_Caja[[#This Row],[id_padre]]=Tabla_Caja[[#This Row],[Id]],"NOK","OK")</f>
        <v>OK</v>
      </c>
      <c r="V9" s="2"/>
      <c r="W9" s="2"/>
      <c r="X9" s="2"/>
    </row>
    <row r="10" spans="1:24" x14ac:dyDescent="0.5">
      <c r="A10" s="2">
        <f>MAX(Tabla_CKS[Id])</f>
        <v>553</v>
      </c>
      <c r="B10">
        <v>555</v>
      </c>
      <c r="C10">
        <f>IF(Tabla_Caja[[#This Row],[id_padre]]="",0,_xlfn.XLOOKUP(Tabla_Caja[[#This Row],[id_padre]],Tabla_Caja[Id],Tabla_Caja[Nivel],0,0,1)+1)</f>
        <v>2</v>
      </c>
      <c r="D10" s="2" t="s">
        <v>494</v>
      </c>
      <c r="E10">
        <f>IF(Tabla_Caja[[#This Row],[id_anterior]]=1,ROW()-1,SUM(ROW()-1,Tabla_Caja[[#This Row],[id_anterior]]))</f>
        <v>562</v>
      </c>
      <c r="F10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CAJA_PARAMETROS_MANTENCION_TIPO_DOCUMENTO</v>
      </c>
      <c r="G10" s="2" t="str">
        <f>CLEAN(PROPER(Tabla_Caja[[#This Row],[Nombre Opción]]))</f>
        <v>Mantencion Tipo Documento</v>
      </c>
      <c r="H10" s="2" t="s">
        <v>1735</v>
      </c>
      <c r="I10" s="2" t="str">
        <f>_xlfn.XLOOKUP(Tabla_Caja[[#This Row],[id_padre]],Tabla_Caja[Id],Tabla_Caja[Codigo_Tecnico],"",0,1)</f>
        <v>CAJA_PARAMETROS</v>
      </c>
      <c r="J10" s="2" t="str">
        <f>IF(Tabla_Caja[[#This Row],[Nivel]]=0,CONCATENATE("/",Tabla_Caja[[#This Row],[Slug]]),CONCATENATE(_xlfn.XLOOKUP(Tabla_Caja[[#This Row],[id_padre]],Tabla_Caja[Id],Tabla_Caja[Ruta_Web],"",0,1),"/",Tabla_Caja[[#This Row],[Slug]]))</f>
        <v>/caja/parametros/mantencion-tipo-documento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mantencion-tipo-documento</v>
      </c>
      <c r="L10" s="2" t="s">
        <v>1343</v>
      </c>
      <c r="M10" s="2" t="s">
        <v>208</v>
      </c>
      <c r="N10" s="4" t="s">
        <v>360</v>
      </c>
      <c r="O10" s="4" t="s">
        <v>360</v>
      </c>
      <c r="P10" s="4" t="s">
        <v>360</v>
      </c>
      <c r="Q10" s="4"/>
      <c r="R10" s="4"/>
      <c r="T10" s="4" t="s">
        <v>360</v>
      </c>
      <c r="U10" s="2" t="str">
        <f>IF(Tabla_Caja[[#This Row],[id_padre]]=Tabla_Caja[[#This Row],[Id]],"NOK","OK")</f>
        <v>OK</v>
      </c>
      <c r="V10" s="2"/>
      <c r="W10" s="2"/>
      <c r="X10" s="2"/>
    </row>
    <row r="11" spans="1:24" hidden="1" x14ac:dyDescent="0.5">
      <c r="A11" s="2">
        <f>MAX(Tabla_CKS[Id])</f>
        <v>553</v>
      </c>
      <c r="B11">
        <v>556</v>
      </c>
      <c r="C11">
        <f>IF(Tabla_Caja[[#This Row],[id_padre]]="",0,_xlfn.XLOOKUP(Tabla_Caja[[#This Row],[id_padre]],Tabla_Caja[Id],Tabla_Caja[Nivel],0,0,1)+1)</f>
        <v>2</v>
      </c>
      <c r="D11" s="2" t="s">
        <v>495</v>
      </c>
      <c r="E11">
        <f>IF(Tabla_Caja[[#This Row],[id_anterior]]=1,ROW()-1,SUM(ROW()-1,Tabla_Caja[[#This Row],[id_anterior]]))</f>
        <v>563</v>
      </c>
      <c r="F11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</v>
      </c>
      <c r="G11" s="2" t="str">
        <f>CLEAN(PROPER(Tabla_Caja[[#This Row],[Nombre Opción]]))</f>
        <v>Recaudación</v>
      </c>
      <c r="H11" s="2" t="s">
        <v>1735</v>
      </c>
      <c r="I11" s="2" t="str">
        <f>_xlfn.XLOOKUP(Tabla_Caja[[#This Row],[id_padre]],Tabla_Caja[Id],Tabla_Caja[Codigo_Tecnico],"",0,1)</f>
        <v>CAJA_PROCESOS</v>
      </c>
      <c r="J11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recaudacion</v>
      </c>
      <c r="L11" s="2" t="s">
        <v>1344</v>
      </c>
      <c r="M11" s="2" t="s">
        <v>208</v>
      </c>
      <c r="N11" s="4" t="s">
        <v>360</v>
      </c>
      <c r="O11" s="4" t="s">
        <v>360</v>
      </c>
      <c r="P11" s="4" t="s">
        <v>360</v>
      </c>
      <c r="Q11" s="4" t="s">
        <v>360</v>
      </c>
      <c r="R11" s="4"/>
      <c r="T11" s="4" t="s">
        <v>360</v>
      </c>
      <c r="U11" s="2" t="str">
        <f>IF(Tabla_Caja[[#This Row],[id_padre]]=Tabla_Caja[[#This Row],[Id]],"NOK","OK")</f>
        <v>OK</v>
      </c>
      <c r="V11" s="2"/>
      <c r="W11" s="2"/>
      <c r="X11" s="2"/>
    </row>
    <row r="12" spans="1:24" hidden="1" x14ac:dyDescent="0.5">
      <c r="A12" s="2">
        <f>MAX(Tabla_CKS[Id])</f>
        <v>553</v>
      </c>
      <c r="B12">
        <v>563</v>
      </c>
      <c r="C12">
        <f>IF(Tabla_Caja[[#This Row],[id_padre]]="",0,_xlfn.XLOOKUP(Tabla_Caja[[#This Row],[id_padre]],Tabla_Caja[Id],Tabla_Caja[Nivel],0,0,1)+1)</f>
        <v>3</v>
      </c>
      <c r="D12" s="2" t="s">
        <v>156</v>
      </c>
      <c r="E12">
        <f>IF(Tabla_Caja[[#This Row],[id_anterior]]=1,ROW()-1,SUM(ROW()-1,Tabla_Caja[[#This Row],[id_anterior]]))</f>
        <v>564</v>
      </c>
      <c r="F1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CAJA_PROCESOS_RECAUDACION_COMPROBANTE_EGRESO</v>
      </c>
      <c r="G12" s="2" t="str">
        <f>CLEAN(PROPER(Tabla_Caja[[#This Row],[Nombre Opción]]))</f>
        <v>Comprobante De Egreso</v>
      </c>
      <c r="H12" s="2" t="s">
        <v>1735</v>
      </c>
      <c r="I12" s="2" t="str">
        <f>_xlfn.XLOOKUP(Tabla_Caja[[#This Row],[id_padre]],Tabla_Caja[Id],Tabla_Caja[Codigo_Tecnico],"",0,1)</f>
        <v>CAJA_PROCESOS_RECAUDACION</v>
      </c>
      <c r="J12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/caja/procesos/recaudacion/comprobante-egreso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comprobante-egreso</v>
      </c>
      <c r="L12" s="2" t="s">
        <v>1345</v>
      </c>
      <c r="M12" s="2" t="s">
        <v>208</v>
      </c>
      <c r="N12" s="4" t="s">
        <v>360</v>
      </c>
      <c r="O12" s="4" t="s">
        <v>360</v>
      </c>
      <c r="P12" s="4" t="s">
        <v>360</v>
      </c>
      <c r="Q12" s="4" t="s">
        <v>360</v>
      </c>
      <c r="R12" s="4"/>
      <c r="T12" s="4" t="s">
        <v>360</v>
      </c>
      <c r="U12" s="2" t="str">
        <f>IF(Tabla_Caja[[#This Row],[id_padre]]=Tabla_Caja[[#This Row],[Id]],"NOK","OK")</f>
        <v>OK</v>
      </c>
      <c r="V12" s="2"/>
      <c r="W12" s="2"/>
      <c r="X12" s="2"/>
    </row>
    <row r="13" spans="1:24" hidden="1" x14ac:dyDescent="0.5">
      <c r="A13" s="2">
        <f>MAX(Tabla_CKS[Id])</f>
        <v>553</v>
      </c>
      <c r="B13">
        <v>563</v>
      </c>
      <c r="C13">
        <f>IF(Tabla_Caja[[#This Row],[id_padre]]="",0,_xlfn.XLOOKUP(Tabla_Caja[[#This Row],[id_padre]],Tabla_Caja[Id],Tabla_Caja[Nivel],0,0,1)+1)</f>
        <v>3</v>
      </c>
      <c r="D13" s="2" t="s">
        <v>496</v>
      </c>
      <c r="E13">
        <f>IF(Tabla_Caja[[#This Row],[id_anterior]]=1,ROW()-1,SUM(ROW()-1,Tabla_Caja[[#This Row],[id_anterior]]))</f>
        <v>565</v>
      </c>
      <c r="F13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CAJA_PROCESOS_RECAUDACION_ANULA_COMPROBANTE_INGRESO</v>
      </c>
      <c r="G13" s="2" t="str">
        <f>CLEAN(PROPER(Tabla_Caja[[#This Row],[Nombre Opción]]))</f>
        <v>Anula Comprobante De Ingreso</v>
      </c>
      <c r="H13" s="2" t="s">
        <v>1735</v>
      </c>
      <c r="I13" s="2" t="str">
        <f>_xlfn.XLOOKUP(Tabla_Caja[[#This Row],[id_padre]],Tabla_Caja[Id],Tabla_Caja[Codigo_Tecnico],"",0,1)</f>
        <v>CAJA_PROCESOS_RECAUDACION</v>
      </c>
      <c r="J13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/caja/procesos/recaudacion/anula-comprobante-ingreso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anula-comprobante-ingreso</v>
      </c>
      <c r="L13" s="2" t="s">
        <v>1346</v>
      </c>
      <c r="M13" s="2" t="s">
        <v>208</v>
      </c>
      <c r="N13" s="4" t="s">
        <v>360</v>
      </c>
      <c r="O13" s="4" t="s">
        <v>360</v>
      </c>
      <c r="P13" s="4" t="s">
        <v>360</v>
      </c>
      <c r="Q13" s="4"/>
      <c r="R13" s="4"/>
      <c r="T13" s="4" t="s">
        <v>360</v>
      </c>
      <c r="U13" s="2" t="str">
        <f>IF(Tabla_Caja[[#This Row],[id_padre]]=Tabla_Caja[[#This Row],[Id]],"NOK","OK")</f>
        <v>OK</v>
      </c>
      <c r="V13" s="2"/>
      <c r="W13" s="2"/>
      <c r="X13" s="2"/>
    </row>
    <row r="14" spans="1:24" hidden="1" x14ac:dyDescent="0.5">
      <c r="A14" s="2">
        <f>MAX(Tabla_CKS[Id])</f>
        <v>553</v>
      </c>
      <c r="B14">
        <v>563</v>
      </c>
      <c r="C14">
        <f>IF(Tabla_Caja[[#This Row],[id_padre]]="",0,_xlfn.XLOOKUP(Tabla_Caja[[#This Row],[id_padre]],Tabla_Caja[Id],Tabla_Caja[Nivel],0,0,1)+1)</f>
        <v>3</v>
      </c>
      <c r="D14" s="2" t="s">
        <v>497</v>
      </c>
      <c r="E14">
        <f>IF(Tabla_Caja[[#This Row],[id_anterior]]=1,ROW()-1,SUM(ROW()-1,Tabla_Caja[[#This Row],[id_anterior]]))</f>
        <v>566</v>
      </c>
      <c r="F14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CAJA_PROCESOS_RECAUDACION_COMPROBANTE_INGRESO_VENTAS_CREDITO</v>
      </c>
      <c r="G14" s="2" t="str">
        <f>CLEAN(PROPER(Tabla_Caja[[#This Row],[Nombre Opción]]))</f>
        <v>Comprobante De Ingreso Ventas Credito</v>
      </c>
      <c r="H14" s="2" t="s">
        <v>1735</v>
      </c>
      <c r="I14" s="2" t="str">
        <f>_xlfn.XLOOKUP(Tabla_Caja[[#This Row],[id_padre]],Tabla_Caja[Id],Tabla_Caja[Codigo_Tecnico],"",0,1)</f>
        <v>CAJA_PROCESOS_RECAUDACION</v>
      </c>
      <c r="J14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/caja/procesos/recaudacion/comprobante-ingreso-ventas-credito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comprobante-ingreso-ventas-credito</v>
      </c>
      <c r="L14" s="2" t="s">
        <v>1347</v>
      </c>
      <c r="M14" s="2" t="s">
        <v>208</v>
      </c>
      <c r="N14" s="4" t="s">
        <v>360</v>
      </c>
      <c r="O14" s="4" t="s">
        <v>360</v>
      </c>
      <c r="P14" s="4" t="s">
        <v>360</v>
      </c>
      <c r="Q14" s="4"/>
      <c r="R14" s="4"/>
      <c r="S14" s="4" t="s">
        <v>360</v>
      </c>
      <c r="T14" s="4" t="s">
        <v>360</v>
      </c>
      <c r="U14" s="2" t="str">
        <f>IF(Tabla_Caja[[#This Row],[id_padre]]=Tabla_Caja[[#This Row],[Id]],"NOK","OK")</f>
        <v>OK</v>
      </c>
      <c r="V14" s="2"/>
      <c r="W14" s="2"/>
      <c r="X14" s="2"/>
    </row>
    <row r="15" spans="1:24" hidden="1" x14ac:dyDescent="0.5">
      <c r="A15" s="2">
        <f>MAX(Tabla_CKS[Id])</f>
        <v>553</v>
      </c>
      <c r="B15">
        <v>563</v>
      </c>
      <c r="C15">
        <f>IF(Tabla_Caja[[#This Row],[id_padre]]="",0,_xlfn.XLOOKUP(Tabla_Caja[[#This Row],[id_padre]],Tabla_Caja[Id],Tabla_Caja[Nivel],0,0,1)+1)</f>
        <v>3</v>
      </c>
      <c r="D15" s="2" t="s">
        <v>498</v>
      </c>
      <c r="E15">
        <f>IF(Tabla_Caja[[#This Row],[id_anterior]]=1,ROW()-1,SUM(ROW()-1,Tabla_Caja[[#This Row],[id_anterior]]))</f>
        <v>567</v>
      </c>
      <c r="F15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CAJA_PROCESOS_RECAUDACION_ENTREGA_VALORES_DEPOSITO</v>
      </c>
      <c r="G15" s="2" t="str">
        <f>CLEAN(PROPER(Tabla_Caja[[#This Row],[Nombre Opción]]))</f>
        <v>Entrega Valores A Deposito</v>
      </c>
      <c r="H15" s="2" t="s">
        <v>1735</v>
      </c>
      <c r="I15" s="2" t="str">
        <f>_xlfn.XLOOKUP(Tabla_Caja[[#This Row],[id_padre]],Tabla_Caja[Id],Tabla_Caja[Codigo_Tecnico],"",0,1)</f>
        <v>CAJA_PROCESOS_RECAUDACION</v>
      </c>
      <c r="J15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/caja/procesos/recaudacion/entrega-valores-deposito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entrega-valores-deposito</v>
      </c>
      <c r="L15" s="2" t="s">
        <v>1348</v>
      </c>
      <c r="M15" s="2" t="s">
        <v>208</v>
      </c>
      <c r="N15" s="4" t="s">
        <v>360</v>
      </c>
      <c r="O15" s="4" t="s">
        <v>360</v>
      </c>
      <c r="P15" s="4" t="s">
        <v>360</v>
      </c>
      <c r="Q15" s="4"/>
      <c r="R15" s="4"/>
      <c r="S15" s="4" t="s">
        <v>360</v>
      </c>
      <c r="T15" s="4" t="s">
        <v>360</v>
      </c>
      <c r="U15" s="2" t="str">
        <f>IF(Tabla_Caja[[#This Row],[id_padre]]=Tabla_Caja[[#This Row],[Id]],"NOK","OK")</f>
        <v>OK</v>
      </c>
      <c r="V15" s="2"/>
      <c r="W15" s="2"/>
      <c r="X15" s="2"/>
    </row>
    <row r="16" spans="1:24" hidden="1" x14ac:dyDescent="0.5">
      <c r="A16" s="2">
        <f>MAX(Tabla_CKS[Id])</f>
        <v>553</v>
      </c>
      <c r="B16">
        <v>563</v>
      </c>
      <c r="C16">
        <f>IF(Tabla_Caja[[#This Row],[id_padre]]="",0,_xlfn.XLOOKUP(Tabla_Caja[[#This Row],[id_padre]],Tabla_Caja[Id],Tabla_Caja[Nivel],0,0,1)+1)</f>
        <v>3</v>
      </c>
      <c r="D16" s="2" t="s">
        <v>499</v>
      </c>
      <c r="E16">
        <f>IF(Tabla_Caja[[#This Row],[id_anterior]]=1,ROW()-1,SUM(ROW()-1,Tabla_Caja[[#This Row],[id_anterior]]))</f>
        <v>568</v>
      </c>
      <c r="F16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CAJA_PROCESOS_RECAUDACION_RECEPCION_COMPROBANTE_DEPOSITO</v>
      </c>
      <c r="G16" s="2" t="str">
        <f>CLEAN(PROPER(Tabla_Caja[[#This Row],[Nombre Opción]]))</f>
        <v>Recepcion Comprobante De Deposito</v>
      </c>
      <c r="H16" s="2" t="s">
        <v>1735</v>
      </c>
      <c r="I16" s="2" t="str">
        <f>_xlfn.XLOOKUP(Tabla_Caja[[#This Row],[id_padre]],Tabla_Caja[Id],Tabla_Caja[Codigo_Tecnico],"",0,1)</f>
        <v>CAJA_PROCESOS_RECAUDACION</v>
      </c>
      <c r="J16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/caja/procesos/recaudacion/recepcion-comprobante-deposito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recepcion-comprobante-deposito</v>
      </c>
      <c r="L16" s="2" t="s">
        <v>1349</v>
      </c>
      <c r="M16" s="2" t="s">
        <v>208</v>
      </c>
      <c r="N16" s="4" t="s">
        <v>360</v>
      </c>
      <c r="O16" s="4" t="s">
        <v>360</v>
      </c>
      <c r="P16" s="4" t="s">
        <v>360</v>
      </c>
      <c r="Q16" s="4"/>
      <c r="R16" s="4"/>
      <c r="S16" s="4" t="s">
        <v>360</v>
      </c>
      <c r="T16" s="4" t="s">
        <v>360</v>
      </c>
      <c r="U16" s="2" t="str">
        <f>IF(Tabla_Caja[[#This Row],[id_padre]]=Tabla_Caja[[#This Row],[Id]],"NOK","OK")</f>
        <v>OK</v>
      </c>
      <c r="V16" s="2"/>
      <c r="W16" s="2"/>
      <c r="X16" s="2"/>
    </row>
    <row r="17" spans="1:24" hidden="1" x14ac:dyDescent="0.5">
      <c r="A17" s="2">
        <f>MAX(Tabla_CKS[Id])</f>
        <v>553</v>
      </c>
      <c r="B17">
        <v>563</v>
      </c>
      <c r="C17">
        <f>IF(Tabla_Caja[[#This Row],[id_padre]]="",0,_xlfn.XLOOKUP(Tabla_Caja[[#This Row],[id_padre]],Tabla_Caja[Id],Tabla_Caja[Nivel],0,0,1)+1)</f>
        <v>3</v>
      </c>
      <c r="D17" s="2" t="s">
        <v>500</v>
      </c>
      <c r="E17">
        <f>IF(Tabla_Caja[[#This Row],[id_anterior]]=1,ROW()-1,SUM(ROW()-1,Tabla_Caja[[#This Row],[id_anterior]]))</f>
        <v>569</v>
      </c>
      <c r="F17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CAJA_PROCESOS_RECAUDACION_PROCESAR_ARQUEO_DIARIO</v>
      </c>
      <c r="G17" s="2" t="str">
        <f>CLEAN(PROPER(Tabla_Caja[[#This Row],[Nombre Opción]]))</f>
        <v>Procesar Arqueo Diario</v>
      </c>
      <c r="H17" s="2" t="s">
        <v>1735</v>
      </c>
      <c r="I17" s="2" t="str">
        <f>_xlfn.XLOOKUP(Tabla_Caja[[#This Row],[id_padre]],Tabla_Caja[Id],Tabla_Caja[Codigo_Tecnico],"",0,1)</f>
        <v>CAJA_PROCESOS_RECAUDACION</v>
      </c>
      <c r="J17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/caja/procesos/recaudacion/procesar-arqueo-diario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procesar-arqueo-diario</v>
      </c>
      <c r="L17" s="2" t="s">
        <v>1350</v>
      </c>
      <c r="M17" s="2" t="s">
        <v>208</v>
      </c>
      <c r="N17" s="4" t="s">
        <v>360</v>
      </c>
      <c r="O17" s="4" t="s">
        <v>360</v>
      </c>
      <c r="P17" s="4" t="s">
        <v>360</v>
      </c>
      <c r="Q17" s="4"/>
      <c r="R17" s="4"/>
      <c r="S17" s="4" t="s">
        <v>360</v>
      </c>
      <c r="T17" s="4" t="s">
        <v>360</v>
      </c>
      <c r="U17" s="2" t="str">
        <f>IF(Tabla_Caja[[#This Row],[id_padre]]=Tabla_Caja[[#This Row],[Id]],"NOK","OK")</f>
        <v>OK</v>
      </c>
      <c r="V17" s="2"/>
      <c r="W17" s="2"/>
      <c r="X17" s="2"/>
    </row>
    <row r="18" spans="1:24" hidden="1" x14ac:dyDescent="0.5">
      <c r="A18" s="2">
        <f>MAX(Tabla_CKS[Id])</f>
        <v>553</v>
      </c>
      <c r="B18">
        <v>563</v>
      </c>
      <c r="C18">
        <f>IF(Tabla_Caja[[#This Row],[id_padre]]="",0,_xlfn.XLOOKUP(Tabla_Caja[[#This Row],[id_padre]],Tabla_Caja[Id],Tabla_Caja[Nivel],0,0,1)+1)</f>
        <v>3</v>
      </c>
      <c r="D18" s="2" t="s">
        <v>501</v>
      </c>
      <c r="E18">
        <f>IF(Tabla_Caja[[#This Row],[id_anterior]]=1,ROW()-1,SUM(ROW()-1,Tabla_Caja[[#This Row],[id_anterior]]))</f>
        <v>570</v>
      </c>
      <c r="F18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CAJA_PROCESOS_RECAUDACION_ANULA_COMPROBANTE_INGRESO_VENTAS_CREDITO</v>
      </c>
      <c r="G18" s="2" t="str">
        <f>CLEAN(PROPER(Tabla_Caja[[#This Row],[Nombre Opción]]))</f>
        <v>Anula Comprobante De Ingreso Ventas Credito</v>
      </c>
      <c r="H18" s="2" t="s">
        <v>1735</v>
      </c>
      <c r="I18" s="2" t="str">
        <f>_xlfn.XLOOKUP(Tabla_Caja[[#This Row],[id_padre]],Tabla_Caja[Id],Tabla_Caja[Codigo_Tecnico],"",0,1)</f>
        <v>CAJA_PROCESOS_RECAUDACION</v>
      </c>
      <c r="J18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/caja/procesos/recaudacion/anula-comprobante-ingreso-ventas-credito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anula-comprobante-ingreso-ventas-credito</v>
      </c>
      <c r="L18" s="2" t="s">
        <v>1351</v>
      </c>
      <c r="M18" s="2" t="s">
        <v>208</v>
      </c>
      <c r="N18" s="4" t="s">
        <v>360</v>
      </c>
      <c r="O18" s="4" t="s">
        <v>360</v>
      </c>
      <c r="P18" s="4" t="s">
        <v>360</v>
      </c>
      <c r="Q18" s="4"/>
      <c r="R18" s="4"/>
      <c r="T18" s="4" t="s">
        <v>360</v>
      </c>
      <c r="U18" s="2" t="str">
        <f>IF(Tabla_Caja[[#This Row],[id_padre]]=Tabla_Caja[[#This Row],[Id]],"NOK","OK")</f>
        <v>OK</v>
      </c>
      <c r="V18" s="2"/>
      <c r="W18" s="2"/>
      <c r="X18" s="2"/>
    </row>
    <row r="19" spans="1:24" hidden="1" x14ac:dyDescent="0.5">
      <c r="A19" s="2">
        <f>MAX(Tabla_CKS[Id])</f>
        <v>553</v>
      </c>
      <c r="B19">
        <v>563</v>
      </c>
      <c r="C19">
        <f>IF(Tabla_Caja[[#This Row],[id_padre]]="",0,_xlfn.XLOOKUP(Tabla_Caja[[#This Row],[id_padre]],Tabla_Caja[Id],Tabla_Caja[Nivel],0,0,1)+1)</f>
        <v>3</v>
      </c>
      <c r="D19" s="2" t="s">
        <v>502</v>
      </c>
      <c r="E19">
        <f>IF(Tabla_Caja[[#This Row],[id_anterior]]=1,ROW()-1,SUM(ROW()-1,Tabla_Caja[[#This Row],[id_anterior]]))</f>
        <v>571</v>
      </c>
      <c r="F19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CAJA_PROCESOS_RECAUDACION_CORRECION_ARQUEO</v>
      </c>
      <c r="G19" s="2" t="str">
        <f>CLEAN(PROPER(Tabla_Caja[[#This Row],[Nombre Opción]]))</f>
        <v>Correcion De Arqueo</v>
      </c>
      <c r="H19" s="2" t="s">
        <v>1735</v>
      </c>
      <c r="I19" s="2" t="str">
        <f>_xlfn.XLOOKUP(Tabla_Caja[[#This Row],[id_padre]],Tabla_Caja[Id],Tabla_Caja[Codigo_Tecnico],"",0,1)</f>
        <v>CAJA_PROCESOS_RECAUDACION</v>
      </c>
      <c r="J19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/caja/procesos/recaudacion/correcion-arqueo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correcion-arqueo</v>
      </c>
      <c r="L19" s="2" t="s">
        <v>1352</v>
      </c>
      <c r="M19" s="2" t="s">
        <v>208</v>
      </c>
      <c r="N19" s="4" t="s">
        <v>360</v>
      </c>
      <c r="O19" s="4" t="s">
        <v>360</v>
      </c>
      <c r="Q19" s="4"/>
      <c r="R19" s="4"/>
      <c r="T19" s="4" t="s">
        <v>360</v>
      </c>
      <c r="U19" s="2" t="str">
        <f>IF(Tabla_Caja[[#This Row],[id_padre]]=Tabla_Caja[[#This Row],[Id]],"NOK","OK")</f>
        <v>OK</v>
      </c>
      <c r="V19" s="2"/>
      <c r="W19" s="2"/>
      <c r="X19" s="2"/>
    </row>
    <row r="20" spans="1:24" hidden="1" x14ac:dyDescent="0.5">
      <c r="A20" s="2">
        <f>MAX(Tabla_CKS[Id])</f>
        <v>553</v>
      </c>
      <c r="B20">
        <v>556</v>
      </c>
      <c r="C20">
        <f>IF(Tabla_Caja[[#This Row],[id_padre]]="",0,_xlfn.XLOOKUP(Tabla_Caja[[#This Row],[id_padre]],Tabla_Caja[Id],Tabla_Caja[Nivel],0,0,1)+1)</f>
        <v>2</v>
      </c>
      <c r="D20" s="2" t="s">
        <v>461</v>
      </c>
      <c r="E20">
        <f>IF(Tabla_Caja[[#This Row],[id_anterior]]=1,ROW()-1,SUM(ROW()-1,Tabla_Caja[[#This Row],[id_anterior]]))</f>
        <v>572</v>
      </c>
      <c r="F20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CAJA_PROCESOS_PAGOS</v>
      </c>
      <c r="G20" s="2" t="str">
        <f>CLEAN(PROPER(Tabla_Caja[[#This Row],[Nombre Opción]]))</f>
        <v>Pagos</v>
      </c>
      <c r="H20" s="2" t="s">
        <v>1735</v>
      </c>
      <c r="I20" s="2" t="str">
        <f>_xlfn.XLOOKUP(Tabla_Caja[[#This Row],[id_padre]],Tabla_Caja[Id],Tabla_Caja[Codigo_Tecnico],"",0,1)</f>
        <v>CAJA_PROCESOS</v>
      </c>
      <c r="J20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/caja/procesos/pagos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pagos</v>
      </c>
      <c r="L20" s="2" t="s">
        <v>1353</v>
      </c>
      <c r="M20" s="2" t="s">
        <v>208</v>
      </c>
      <c r="N20" s="4" t="s">
        <v>360</v>
      </c>
      <c r="O20" s="4" t="s">
        <v>360</v>
      </c>
      <c r="P20" s="4" t="s">
        <v>360</v>
      </c>
      <c r="Q20" s="4" t="s">
        <v>360</v>
      </c>
      <c r="R20" s="4"/>
      <c r="S20" s="4" t="s">
        <v>360</v>
      </c>
      <c r="T20" s="4" t="s">
        <v>360</v>
      </c>
      <c r="U20" s="2" t="str">
        <f>IF(Tabla_Caja[[#This Row],[id_padre]]=Tabla_Caja[[#This Row],[Id]],"NOK","OK")</f>
        <v>OK</v>
      </c>
      <c r="V20" s="2"/>
      <c r="W20" s="2"/>
      <c r="X20" s="2"/>
    </row>
    <row r="21" spans="1:24" hidden="1" x14ac:dyDescent="0.5">
      <c r="A21" s="2">
        <f>MAX(Tabla_CKS[Id])</f>
        <v>553</v>
      </c>
      <c r="B21">
        <v>572</v>
      </c>
      <c r="C21">
        <f>IF(Tabla_Caja[[#This Row],[id_padre]]="",0,_xlfn.XLOOKUP(Tabla_Caja[[#This Row],[id_padre]],Tabla_Caja[Id],Tabla_Caja[Nivel],0,0,1)+1)</f>
        <v>3</v>
      </c>
      <c r="D21" s="2" t="s">
        <v>503</v>
      </c>
      <c r="E21">
        <f>IF(Tabla_Caja[[#This Row],[id_anterior]]=1,ROW()-1,SUM(ROW()-1,Tabla_Caja[[#This Row],[id_anterior]]))</f>
        <v>573</v>
      </c>
      <c r="F21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CAJA_PROCESOS_PAGOS_RECEPCION_ENTREGA_CHEQUES</v>
      </c>
      <c r="G21" s="2" t="str">
        <f>CLEAN(PROPER(Tabla_Caja[[#This Row],[Nombre Opción]]))</f>
        <v>Recepcion Y/O Entrega De Cheques</v>
      </c>
      <c r="H21" s="2" t="s">
        <v>1735</v>
      </c>
      <c r="I21" s="2" t="str">
        <f>_xlfn.XLOOKUP(Tabla_Caja[[#This Row],[id_padre]],Tabla_Caja[Id],Tabla_Caja[Codigo_Tecnico],"",0,1)</f>
        <v>CAJA_PROCESOS_PAGOS</v>
      </c>
      <c r="J21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/caja/procesos/pagos/recepcion-entrega-cheques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recepcion-entrega-cheques</v>
      </c>
      <c r="L21" s="2" t="s">
        <v>1354</v>
      </c>
      <c r="M21" s="2" t="s">
        <v>208</v>
      </c>
      <c r="N21" s="4" t="s">
        <v>360</v>
      </c>
      <c r="O21" s="4" t="s">
        <v>360</v>
      </c>
      <c r="P21" s="4" t="s">
        <v>360</v>
      </c>
      <c r="Q21" s="4" t="s">
        <v>360</v>
      </c>
      <c r="R21" s="4"/>
      <c r="S21" s="4" t="s">
        <v>360</v>
      </c>
      <c r="T21" s="4" t="s">
        <v>360</v>
      </c>
      <c r="U21" s="2" t="str">
        <f>IF(Tabla_Caja[[#This Row],[id_padre]]=Tabla_Caja[[#This Row],[Id]],"NOK","OK")</f>
        <v>OK</v>
      </c>
      <c r="V21" s="2"/>
      <c r="W21" s="2"/>
      <c r="X21" s="2"/>
    </row>
    <row r="22" spans="1:24" hidden="1" x14ac:dyDescent="0.5">
      <c r="A22" s="2">
        <f>MAX(Tabla_CKS[Id])</f>
        <v>553</v>
      </c>
      <c r="B22">
        <v>572</v>
      </c>
      <c r="C22">
        <f>IF(Tabla_Caja[[#This Row],[id_padre]]="",0,_xlfn.XLOOKUP(Tabla_Caja[[#This Row],[id_padre]],Tabla_Caja[Id],Tabla_Caja[Nivel],0,0,1)+1)</f>
        <v>3</v>
      </c>
      <c r="D22" s="2" t="s">
        <v>504</v>
      </c>
      <c r="E22">
        <f>IF(Tabla_Caja[[#This Row],[id_anterior]]=1,ROW()-1,SUM(ROW()-1,Tabla_Caja[[#This Row],[id_anterior]]))</f>
        <v>574</v>
      </c>
      <c r="F2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CAJA_PROCESOS_PAGOS_PODER_SIMPLE_RETIRO_CHEQUES</v>
      </c>
      <c r="G22" s="2" t="str">
        <f>CLEAN(PROPER(Tabla_Caja[[#This Row],[Nombre Opción]]))</f>
        <v>Poder Simple Retiro De Cheques</v>
      </c>
      <c r="H22" s="2" t="s">
        <v>1735</v>
      </c>
      <c r="I22" s="2" t="str">
        <f>_xlfn.XLOOKUP(Tabla_Caja[[#This Row],[id_padre]],Tabla_Caja[Id],Tabla_Caja[Codigo_Tecnico],"",0,1)</f>
        <v>CAJA_PROCESOS_PAGOS</v>
      </c>
      <c r="J22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/caja/procesos/pagos/poder-simple-retiro-cheques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poder-simple-retiro-cheques</v>
      </c>
      <c r="L22" s="2" t="s">
        <v>1355</v>
      </c>
      <c r="M22" s="2" t="s">
        <v>208</v>
      </c>
      <c r="N22" s="4" t="s">
        <v>360</v>
      </c>
      <c r="O22" s="4" t="s">
        <v>360</v>
      </c>
      <c r="P22" s="4" t="s">
        <v>360</v>
      </c>
      <c r="Q22" s="4" t="s">
        <v>360</v>
      </c>
      <c r="R22" s="4"/>
      <c r="S22" s="4" t="s">
        <v>360</v>
      </c>
      <c r="T22" s="4" t="s">
        <v>360</v>
      </c>
      <c r="U22" s="2" t="str">
        <f>IF(Tabla_Caja[[#This Row],[id_padre]]=Tabla_Caja[[#This Row],[Id]],"NOK","OK")</f>
        <v>OK</v>
      </c>
      <c r="V22" s="2"/>
      <c r="W22" s="2"/>
      <c r="X22" s="2"/>
    </row>
    <row r="23" spans="1:24" hidden="1" x14ac:dyDescent="0.5">
      <c r="A23" s="2">
        <f>MAX(Tabla_CKS[Id])</f>
        <v>553</v>
      </c>
      <c r="B23">
        <v>556</v>
      </c>
      <c r="C23">
        <f>IF(Tabla_Caja[[#This Row],[id_padre]]="",0,_xlfn.XLOOKUP(Tabla_Caja[[#This Row],[id_padre]],Tabla_Caja[Id],Tabla_Caja[Nivel],0,0,1)+1)</f>
        <v>2</v>
      </c>
      <c r="D23" s="2" t="s">
        <v>505</v>
      </c>
      <c r="E23">
        <f>IF(Tabla_Caja[[#This Row],[id_anterior]]=1,ROW()-1,SUM(ROW()-1,Tabla_Caja[[#This Row],[id_anterior]]))</f>
        <v>575</v>
      </c>
      <c r="F23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CAJA_PROCESOS_CUSTODIA</v>
      </c>
      <c r="G23" s="2" t="str">
        <f>CLEAN(PROPER(Tabla_Caja[[#This Row],[Nombre Opción]]))</f>
        <v>Custodia</v>
      </c>
      <c r="H23" s="2" t="s">
        <v>1735</v>
      </c>
      <c r="I23" s="2" t="str">
        <f>_xlfn.XLOOKUP(Tabla_Caja[[#This Row],[id_padre]],Tabla_Caja[Id],Tabla_Caja[Codigo_Tecnico],"",0,1)</f>
        <v>CAJA_PROCESOS</v>
      </c>
      <c r="J23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/caja/procesos/custodia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custodia</v>
      </c>
      <c r="L23" s="2" t="s">
        <v>1356</v>
      </c>
      <c r="M23" s="2" t="s">
        <v>208</v>
      </c>
      <c r="N23" s="4" t="s">
        <v>360</v>
      </c>
      <c r="O23" s="4" t="s">
        <v>360</v>
      </c>
      <c r="P23" s="4" t="s">
        <v>360</v>
      </c>
      <c r="Q23" s="4" t="s">
        <v>360</v>
      </c>
      <c r="R23" s="4"/>
      <c r="S23" s="4" t="s">
        <v>360</v>
      </c>
      <c r="T23" s="4" t="s">
        <v>360</v>
      </c>
      <c r="U23" s="2" t="str">
        <f>IF(Tabla_Caja[[#This Row],[id_padre]]=Tabla_Caja[[#This Row],[Id]],"NOK","OK")</f>
        <v>OK</v>
      </c>
      <c r="V23" s="2"/>
      <c r="W23" s="2"/>
      <c r="X23" s="2"/>
    </row>
    <row r="24" spans="1:24" hidden="1" x14ac:dyDescent="0.5">
      <c r="A24" s="2">
        <f>MAX(Tabla_CKS[Id])</f>
        <v>553</v>
      </c>
      <c r="B24">
        <v>575</v>
      </c>
      <c r="C24">
        <f>IF(Tabla_Caja[[#This Row],[id_padre]]="",0,_xlfn.XLOOKUP(Tabla_Caja[[#This Row],[id_padre]],Tabla_Caja[Id],Tabla_Caja[Nivel],0,0,1)+1)</f>
        <v>3</v>
      </c>
      <c r="D24" s="2" t="s">
        <v>506</v>
      </c>
      <c r="E24">
        <f>IF(Tabla_Caja[[#This Row],[id_anterior]]=1,ROW()-1,SUM(ROW()-1,Tabla_Caja[[#This Row],[id_anterior]]))</f>
        <v>576</v>
      </c>
      <c r="F24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CAJA_PROCESOS_CUSTODIA_INGRESO_CHEQUES_FECHA</v>
      </c>
      <c r="G24" s="2" t="str">
        <f>CLEAN(PROPER(Tabla_Caja[[#This Row],[Nombre Opción]]))</f>
        <v>Ingreso De Cheques A Fecha</v>
      </c>
      <c r="H24" s="2" t="s">
        <v>1735</v>
      </c>
      <c r="I24" s="2" t="str">
        <f>_xlfn.XLOOKUP(Tabla_Caja[[#This Row],[id_padre]],Tabla_Caja[Id],Tabla_Caja[Codigo_Tecnico],"",0,1)</f>
        <v>CAJA_PROCESOS_CUSTODIA</v>
      </c>
      <c r="J24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/caja/procesos/custodia/ingreso-cheques-fecha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ingreso-cheques-fecha</v>
      </c>
      <c r="L24" s="2" t="s">
        <v>1357</v>
      </c>
      <c r="M24" s="2" t="s">
        <v>208</v>
      </c>
      <c r="N24" s="4" t="s">
        <v>360</v>
      </c>
      <c r="O24" s="4" t="s">
        <v>360</v>
      </c>
      <c r="P24" s="4" t="s">
        <v>360</v>
      </c>
      <c r="Q24" s="4" t="s">
        <v>360</v>
      </c>
      <c r="R24" s="4"/>
      <c r="S24" s="4" t="s">
        <v>360</v>
      </c>
      <c r="T24" s="4" t="s">
        <v>360</v>
      </c>
      <c r="U24" s="2" t="str">
        <f>IF(Tabla_Caja[[#This Row],[id_padre]]=Tabla_Caja[[#This Row],[Id]],"NOK","OK")</f>
        <v>OK</v>
      </c>
      <c r="V24" s="2"/>
      <c r="W24" s="2"/>
      <c r="X24" s="2"/>
    </row>
    <row r="25" spans="1:24" hidden="1" x14ac:dyDescent="0.5">
      <c r="A25" s="2">
        <f>MAX(Tabla_CKS[Id])</f>
        <v>553</v>
      </c>
      <c r="B25">
        <v>575</v>
      </c>
      <c r="C25">
        <f>IF(Tabla_Caja[[#This Row],[id_padre]]="",0,_xlfn.XLOOKUP(Tabla_Caja[[#This Row],[id_padre]],Tabla_Caja[Id],Tabla_Caja[Nivel],0,0,1)+1)</f>
        <v>3</v>
      </c>
      <c r="D25" s="2" t="s">
        <v>511</v>
      </c>
      <c r="E25">
        <f>IF(Tabla_Caja[[#This Row],[id_anterior]]=1,ROW()-1,SUM(ROW()-1,Tabla_Caja[[#This Row],[id_anterior]]))</f>
        <v>577</v>
      </c>
      <c r="F25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CAJA_PROCESOS_CUSTODIA_INGRESO_POLIZA_ESCUELAS_MATRICES</v>
      </c>
      <c r="G25" s="2" t="str">
        <f>CLEAN(PROPER(Tabla_Caja[[#This Row],[Nombre Opción]]))</f>
        <v>Ingreso De Poliza Escuelas Matrices</v>
      </c>
      <c r="H25" s="2" t="s">
        <v>1735</v>
      </c>
      <c r="I25" s="2" t="str">
        <f>_xlfn.XLOOKUP(Tabla_Caja[[#This Row],[id_padre]],Tabla_Caja[Id],Tabla_Caja[Codigo_Tecnico],"",0,1)</f>
        <v>CAJA_PROCESOS_CUSTODIA</v>
      </c>
      <c r="J25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/caja/procesos/custodia/ingreso-poliza-escuelas-matrices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ingreso-poliza-escuelas-matrices</v>
      </c>
      <c r="L25" s="2" t="s">
        <v>1358</v>
      </c>
      <c r="M25" s="2" t="s">
        <v>208</v>
      </c>
      <c r="N25" s="4" t="s">
        <v>360</v>
      </c>
      <c r="O25" s="4" t="s">
        <v>360</v>
      </c>
      <c r="P25" s="4" t="s">
        <v>360</v>
      </c>
      <c r="Q25" s="4" t="s">
        <v>360</v>
      </c>
      <c r="R25" s="4"/>
      <c r="S25" s="4" t="s">
        <v>360</v>
      </c>
      <c r="T25" s="4" t="s">
        <v>360</v>
      </c>
      <c r="U25" s="2" t="str">
        <f>IF(Tabla_Caja[[#This Row],[id_padre]]=Tabla_Caja[[#This Row],[Id]],"NOK","OK")</f>
        <v>OK</v>
      </c>
      <c r="V25" s="2"/>
      <c r="W25" s="2"/>
      <c r="X25" s="2"/>
    </row>
    <row r="26" spans="1:24" hidden="1" x14ac:dyDescent="0.5">
      <c r="A26" s="2">
        <f>MAX(Tabla_CKS[Id])</f>
        <v>553</v>
      </c>
      <c r="B26">
        <v>575</v>
      </c>
      <c r="C26">
        <f>IF(Tabla_Caja[[#This Row],[id_padre]]="",0,_xlfn.XLOOKUP(Tabla_Caja[[#This Row],[id_padre]],Tabla_Caja[Id],Tabla_Caja[Nivel],0,0,1)+1)</f>
        <v>3</v>
      </c>
      <c r="D26" s="2" t="s">
        <v>507</v>
      </c>
      <c r="E26">
        <f>IF(Tabla_Caja[[#This Row],[id_anterior]]=1,ROW()-1,SUM(ROW()-1,Tabla_Caja[[#This Row],[id_anterior]]))</f>
        <v>578</v>
      </c>
      <c r="F26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CAJA_PROCESOS_CUSTODIA_INGRESO_OTROS_DOCMENTOS</v>
      </c>
      <c r="G26" s="2" t="str">
        <f>CLEAN(PROPER(Tabla_Caja[[#This Row],[Nombre Opción]]))</f>
        <v>Ingreso De Otros Docmentos</v>
      </c>
      <c r="H26" s="2" t="s">
        <v>1735</v>
      </c>
      <c r="I26" s="2" t="str">
        <f>_xlfn.XLOOKUP(Tabla_Caja[[#This Row],[id_padre]],Tabla_Caja[Id],Tabla_Caja[Codigo_Tecnico],"",0,1)</f>
        <v>CAJA_PROCESOS_CUSTODIA</v>
      </c>
      <c r="J26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/caja/procesos/custodia/ingreso-otros-docmentos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ingreso-otros-docmentos</v>
      </c>
      <c r="L26" s="2" t="s">
        <v>1359</v>
      </c>
      <c r="M26" s="2" t="s">
        <v>208</v>
      </c>
      <c r="N26" s="4" t="s">
        <v>360</v>
      </c>
      <c r="O26" s="4" t="s">
        <v>360</v>
      </c>
      <c r="P26" s="4" t="s">
        <v>360</v>
      </c>
      <c r="Q26" s="4" t="s">
        <v>360</v>
      </c>
      <c r="R26" s="4"/>
      <c r="S26" s="4" t="s">
        <v>360</v>
      </c>
      <c r="T26" s="4" t="s">
        <v>360</v>
      </c>
      <c r="U26" s="2" t="str">
        <f>IF(Tabla_Caja[[#This Row],[id_padre]]=Tabla_Caja[[#This Row],[Id]],"NOK","OK")</f>
        <v>OK</v>
      </c>
      <c r="V26" s="2"/>
      <c r="W26" s="2"/>
      <c r="X26" s="2"/>
    </row>
    <row r="27" spans="1:24" hidden="1" x14ac:dyDescent="0.5">
      <c r="A27" s="2">
        <f>MAX(Tabla_CKS[Id])</f>
        <v>553</v>
      </c>
      <c r="B27">
        <v>575</v>
      </c>
      <c r="C27">
        <f>IF(Tabla_Caja[[#This Row],[id_padre]]="",0,_xlfn.XLOOKUP(Tabla_Caja[[#This Row],[id_padre]],Tabla_Caja[Id],Tabla_Caja[Nivel],0,0,1)+1)</f>
        <v>3</v>
      </c>
      <c r="D27" s="2" t="s">
        <v>508</v>
      </c>
      <c r="E27">
        <f>IF(Tabla_Caja[[#This Row],[id_anterior]]=1,ROW()-1,SUM(ROW()-1,Tabla_Caja[[#This Row],[id_anterior]]))</f>
        <v>579</v>
      </c>
      <c r="F27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CAJA_PROCESOS_CUSTODIA_SALIDA_DOCUMENTOS</v>
      </c>
      <c r="G27" s="2" t="str">
        <f>CLEAN(PROPER(Tabla_Caja[[#This Row],[Nombre Opción]]))</f>
        <v>Salida De Documentos</v>
      </c>
      <c r="H27" s="2" t="s">
        <v>1735</v>
      </c>
      <c r="I27" s="2" t="str">
        <f>_xlfn.XLOOKUP(Tabla_Caja[[#This Row],[id_padre]],Tabla_Caja[Id],Tabla_Caja[Codigo_Tecnico],"",0,1)</f>
        <v>CAJA_PROCESOS_CUSTODIA</v>
      </c>
      <c r="J27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/caja/procesos/custodia/salida-documentos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salida-documentos</v>
      </c>
      <c r="L27" s="2" t="s">
        <v>1360</v>
      </c>
      <c r="M27" s="2" t="s">
        <v>208</v>
      </c>
      <c r="N27" s="4" t="s">
        <v>360</v>
      </c>
      <c r="O27" s="4" t="s">
        <v>360</v>
      </c>
      <c r="P27" s="4" t="s">
        <v>360</v>
      </c>
      <c r="Q27" s="4" t="s">
        <v>360</v>
      </c>
      <c r="R27" s="4"/>
      <c r="S27" s="4" t="s">
        <v>360</v>
      </c>
      <c r="T27" s="4" t="s">
        <v>360</v>
      </c>
      <c r="U27" s="2" t="str">
        <f>IF(Tabla_Caja[[#This Row],[id_padre]]=Tabla_Caja[[#This Row],[Id]],"NOK","OK")</f>
        <v>OK</v>
      </c>
      <c r="V27" s="2"/>
      <c r="W27" s="2"/>
      <c r="X27" s="2"/>
    </row>
    <row r="28" spans="1:24" hidden="1" x14ac:dyDescent="0.5">
      <c r="A28" s="2">
        <f>MAX(Tabla_CKS[Id])</f>
        <v>553</v>
      </c>
      <c r="B28">
        <v>575</v>
      </c>
      <c r="C28">
        <f>IF(Tabla_Caja[[#This Row],[id_padre]]="",0,_xlfn.XLOOKUP(Tabla_Caja[[#This Row],[id_padre]],Tabla_Caja[Id],Tabla_Caja[Nivel],0,0,1)+1)</f>
        <v>3</v>
      </c>
      <c r="D28" s="2" t="s">
        <v>509</v>
      </c>
      <c r="E28">
        <f>IF(Tabla_Caja[[#This Row],[id_anterior]]=1,ROW()-1,SUM(ROW()-1,Tabla_Caja[[#This Row],[id_anterior]]))</f>
        <v>580</v>
      </c>
      <c r="F28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CAJA_PROCESOS_CUSTODIA_ANULA_DOCUMENTO_CUSTODIA</v>
      </c>
      <c r="G28" s="2" t="str">
        <f>CLEAN(PROPER(Tabla_Caja[[#This Row],[Nombre Opción]]))</f>
        <v>Anula Documento En Custodia</v>
      </c>
      <c r="H28" s="2" t="s">
        <v>1735</v>
      </c>
      <c r="I28" s="2" t="str">
        <f>_xlfn.XLOOKUP(Tabla_Caja[[#This Row],[id_padre]],Tabla_Caja[Id],Tabla_Caja[Codigo_Tecnico],"",0,1)</f>
        <v>CAJA_PROCESOS_CUSTODIA</v>
      </c>
      <c r="J28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/caja/procesos/custodia/anula-documento-custodia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anula-documento-custodia</v>
      </c>
      <c r="L28" s="2" t="s">
        <v>1361</v>
      </c>
      <c r="M28" s="2" t="s">
        <v>208</v>
      </c>
      <c r="N28" s="4" t="s">
        <v>360</v>
      </c>
      <c r="O28" s="4" t="s">
        <v>360</v>
      </c>
      <c r="P28" s="4" t="s">
        <v>360</v>
      </c>
      <c r="Q28" s="4" t="s">
        <v>360</v>
      </c>
      <c r="R28" s="4"/>
      <c r="S28" s="4" t="s">
        <v>360</v>
      </c>
      <c r="T28" s="4" t="s">
        <v>360</v>
      </c>
      <c r="U28" s="2" t="str">
        <f>IF(Tabla_Caja[[#This Row],[id_padre]]=Tabla_Caja[[#This Row],[Id]],"NOK","OK")</f>
        <v>OK</v>
      </c>
      <c r="V28" s="2"/>
      <c r="W28" s="2"/>
      <c r="X28" s="2"/>
    </row>
    <row r="29" spans="1:24" hidden="1" x14ac:dyDescent="0.5">
      <c r="A29" s="2">
        <f>MAX(Tabla_CKS[Id])</f>
        <v>553</v>
      </c>
      <c r="B29">
        <v>575</v>
      </c>
      <c r="C29">
        <f>IF(Tabla_Caja[[#This Row],[id_padre]]="",0,_xlfn.XLOOKUP(Tabla_Caja[[#This Row],[id_padre]],Tabla_Caja[Id],Tabla_Caja[Nivel],0,0,1)+1)</f>
        <v>3</v>
      </c>
      <c r="D29" s="2" t="s">
        <v>510</v>
      </c>
      <c r="E29">
        <f>IF(Tabla_Caja[[#This Row],[id_anterior]]=1,ROW()-1,SUM(ROW()-1,Tabla_Caja[[#This Row],[id_anterior]]))</f>
        <v>581</v>
      </c>
      <c r="F29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CAJA_PROCESOS_CUSTODIA_ACTUALIZACION_VALOR_DOCUMENTOS</v>
      </c>
      <c r="G29" s="2" t="str">
        <f>CLEAN(PROPER(Tabla_Caja[[#This Row],[Nombre Opción]]))</f>
        <v>Actualizacion Valor De Documentos</v>
      </c>
      <c r="H29" s="2" t="s">
        <v>1735</v>
      </c>
      <c r="I29" s="2" t="str">
        <f>_xlfn.XLOOKUP(Tabla_Caja[[#This Row],[id_padre]],Tabla_Caja[Id],Tabla_Caja[Codigo_Tecnico],"",0,1)</f>
        <v>CAJA_PROCESOS_CUSTODIA</v>
      </c>
      <c r="J29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/caja/procesos/custodia/actualizacion-valor-documentos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actualizacion-valor-documentos</v>
      </c>
      <c r="L29" s="2" t="s">
        <v>1362</v>
      </c>
      <c r="M29" s="2" t="s">
        <v>208</v>
      </c>
      <c r="N29" s="4" t="s">
        <v>360</v>
      </c>
      <c r="O29" s="4" t="s">
        <v>360</v>
      </c>
      <c r="P29" s="4" t="s">
        <v>360</v>
      </c>
      <c r="Q29" s="4" t="s">
        <v>360</v>
      </c>
      <c r="R29" s="4"/>
      <c r="S29" s="4" t="s">
        <v>360</v>
      </c>
      <c r="T29" s="4" t="s">
        <v>360</v>
      </c>
      <c r="U29" s="2" t="str">
        <f>IF(Tabla_Caja[[#This Row],[id_padre]]=Tabla_Caja[[#This Row],[Id]],"NOK","OK")</f>
        <v>OK</v>
      </c>
      <c r="V29" s="2"/>
      <c r="W29" s="2"/>
      <c r="X29" s="2"/>
    </row>
    <row r="30" spans="1:24" hidden="1" x14ac:dyDescent="0.5">
      <c r="A30" s="2">
        <f>MAX(Tabla_CKS[Id])</f>
        <v>553</v>
      </c>
      <c r="B30">
        <v>575</v>
      </c>
      <c r="C30">
        <f>IF(Tabla_Caja[[#This Row],[id_padre]]="",0,_xlfn.XLOOKUP(Tabla_Caja[[#This Row],[id_padre]],Tabla_Caja[Id],Tabla_Caja[Nivel],0,0,1)+1)</f>
        <v>3</v>
      </c>
      <c r="D30" s="2" t="s">
        <v>512</v>
      </c>
      <c r="E30">
        <f>IF(Tabla_Caja[[#This Row],[id_anterior]]=1,ROW()-1,SUM(ROW()-1,Tabla_Caja[[#This Row],[id_anterior]]))</f>
        <v>582</v>
      </c>
      <c r="F30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CAJA_PROCESOS_CUSTODIA_MANTENIMIENTO_UNIDAD_INTERNA</v>
      </c>
      <c r="G30" s="2" t="str">
        <f>CLEAN(PROPER(Tabla_Caja[[#This Row],[Nombre Opción]]))</f>
        <v>Mantenimiento Unidad Interna</v>
      </c>
      <c r="H30" s="2" t="s">
        <v>1735</v>
      </c>
      <c r="I30" s="2" t="str">
        <f>_xlfn.XLOOKUP(Tabla_Caja[[#This Row],[id_padre]],Tabla_Caja[Id],Tabla_Caja[Codigo_Tecnico],"",0,1)</f>
        <v>CAJA_PROCESOS_CUSTODIA</v>
      </c>
      <c r="J30" s="2" t="str">
        <f>IF(Tabla_Caja[[#This Row],[Nivel]]=0,CONCATENATE("/",Tabla_Caja[[#This Row],[Slug]]),CONCATENATE(_xlfn.XLOOKUP(Tabla_Caja[[#This Row],[id_padre]],Tabla_Caja[Id],Tabla_Caja[Ruta_Web],"",0,1),"/",Tabla_Caja[[#This Row],[Slug]]))</f>
        <v>/caja/procesos/custodia/mantenimiento-unidad-interna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mantenimiento-unidad-interna</v>
      </c>
      <c r="L30" s="2" t="s">
        <v>1363</v>
      </c>
      <c r="M30" s="2" t="s">
        <v>208</v>
      </c>
      <c r="N30" s="4" t="s">
        <v>360</v>
      </c>
      <c r="O30" s="4" t="s">
        <v>360</v>
      </c>
      <c r="P30" s="4" t="s">
        <v>360</v>
      </c>
      <c r="Q30" s="4"/>
      <c r="R30" s="4"/>
      <c r="T30" s="4" t="s">
        <v>360</v>
      </c>
      <c r="U30" s="2" t="str">
        <f>IF(Tabla_Caja[[#This Row],[id_padre]]=Tabla_Caja[[#This Row],[Id]],"NOK","OK")</f>
        <v>OK</v>
      </c>
      <c r="V30" s="2"/>
      <c r="W30" s="2"/>
      <c r="X30" s="2"/>
    </row>
    <row r="31" spans="1:24" hidden="1" x14ac:dyDescent="0.5">
      <c r="A31" s="2">
        <f>MAX(Tabla_CKS[Id])</f>
        <v>553</v>
      </c>
      <c r="B31">
        <v>557</v>
      </c>
      <c r="C31">
        <f>IF(Tabla_Caja[[#This Row],[id_padre]]="",0,_xlfn.XLOOKUP(Tabla_Caja[[#This Row],[id_padre]],Tabla_Caja[Id],Tabla_Caja[Nivel],0,0,1)+1)</f>
        <v>2</v>
      </c>
      <c r="D31" s="2" t="s">
        <v>513</v>
      </c>
      <c r="E31">
        <f>IF(Tabla_Caja[[#This Row],[id_anterior]]=1,ROW()-1,SUM(ROW()-1,Tabla_Caja[[#This Row],[id_anterior]]))</f>
        <v>583</v>
      </c>
      <c r="F31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CAJA_CONSULTAS_COMPROBANTES</v>
      </c>
      <c r="G31" s="2" t="str">
        <f>CLEAN(PROPER(Tabla_Caja[[#This Row],[Nombre Opción]]))</f>
        <v>Comprobantes</v>
      </c>
      <c r="H31" s="2" t="s">
        <v>1735</v>
      </c>
      <c r="I31" s="2" t="str">
        <f>_xlfn.XLOOKUP(Tabla_Caja[[#This Row],[id_padre]],Tabla_Caja[Id],Tabla_Caja[Codigo_Tecnico],"",0,1)</f>
        <v>CAJA_CONSULTAS</v>
      </c>
      <c r="J31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/caja/consultas/comprobantes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comprobantes</v>
      </c>
      <c r="L31" s="2" t="s">
        <v>1364</v>
      </c>
      <c r="M31" s="2" t="s">
        <v>208</v>
      </c>
      <c r="N31" s="4" t="s">
        <v>360</v>
      </c>
      <c r="O31" s="4" t="s">
        <v>360</v>
      </c>
      <c r="P31" s="4" t="s">
        <v>360</v>
      </c>
      <c r="Q31" s="4" t="s">
        <v>360</v>
      </c>
      <c r="R31" s="4" t="s">
        <v>360</v>
      </c>
      <c r="S31" s="4" t="s">
        <v>360</v>
      </c>
      <c r="T31" s="4" t="s">
        <v>360</v>
      </c>
      <c r="U31" s="2" t="str">
        <f>IF(Tabla_Caja[[#This Row],[id_padre]]=Tabla_Caja[[#This Row],[Id]],"NOK","OK")</f>
        <v>OK</v>
      </c>
      <c r="V31" s="2"/>
      <c r="W31" s="2"/>
      <c r="X31" s="2"/>
    </row>
    <row r="32" spans="1:24" hidden="1" x14ac:dyDescent="0.5">
      <c r="A32" s="2">
        <f>MAX(Tabla_CKS[Id])</f>
        <v>553</v>
      </c>
      <c r="B32">
        <v>583</v>
      </c>
      <c r="C32">
        <f>IF(Tabla_Caja[[#This Row],[id_padre]]="",0,_xlfn.XLOOKUP(Tabla_Caja[[#This Row],[id_padre]],Tabla_Caja[Id],Tabla_Caja[Nivel],0,0,1)+1)</f>
        <v>3</v>
      </c>
      <c r="D32" s="2" t="s">
        <v>514</v>
      </c>
      <c r="E32">
        <f>IF(Tabla_Caja[[#This Row],[id_anterior]]=1,ROW()-1,SUM(ROW()-1,Tabla_Caja[[#This Row],[id_anterior]]))</f>
        <v>584</v>
      </c>
      <c r="F3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CAJA_CONSULTAS_COMPROBANTES_DE_INGRESO_CAJA</v>
      </c>
      <c r="G32" s="2" t="str">
        <f>CLEAN(PROPER(Tabla_Caja[[#This Row],[Nombre Opción]]))</f>
        <v>De Ingreso A Caja</v>
      </c>
      <c r="H32" s="2" t="s">
        <v>1735</v>
      </c>
      <c r="I32" s="2" t="str">
        <f>_xlfn.XLOOKUP(Tabla_Caja[[#This Row],[id_padre]],Tabla_Caja[Id],Tabla_Caja[Codigo_Tecnico],"",0,1)</f>
        <v>CAJA_CONSULTAS_COMPROBANTES</v>
      </c>
      <c r="J32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/caja/consultas/comprobantes/de-ingreso-caja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de-ingreso-caja</v>
      </c>
      <c r="L32" s="2" t="s">
        <v>1365</v>
      </c>
      <c r="M32" s="2" t="s">
        <v>208</v>
      </c>
      <c r="N32" s="4" t="s">
        <v>360</v>
      </c>
      <c r="O32" s="4" t="s">
        <v>360</v>
      </c>
      <c r="P32" s="4" t="s">
        <v>360</v>
      </c>
      <c r="Q32" s="4" t="s">
        <v>360</v>
      </c>
      <c r="R32" s="4" t="s">
        <v>360</v>
      </c>
      <c r="S32" s="4" t="s">
        <v>360</v>
      </c>
      <c r="T32" s="4" t="s">
        <v>360</v>
      </c>
      <c r="U32" s="2" t="str">
        <f>IF(Tabla_Caja[[#This Row],[id_padre]]=Tabla_Caja[[#This Row],[Id]],"NOK","OK")</f>
        <v>OK</v>
      </c>
      <c r="V32" s="2"/>
      <c r="W32" s="2"/>
      <c r="X32" s="2"/>
    </row>
    <row r="33" spans="1:24" hidden="1" x14ac:dyDescent="0.5">
      <c r="A33" s="2">
        <f>MAX(Tabla_CKS[Id])</f>
        <v>553</v>
      </c>
      <c r="B33">
        <v>583</v>
      </c>
      <c r="C33">
        <f>IF(Tabla_Caja[[#This Row],[id_padre]]="",0,_xlfn.XLOOKUP(Tabla_Caja[[#This Row],[id_padre]],Tabla_Caja[Id],Tabla_Caja[Nivel],0,0,1)+1)</f>
        <v>3</v>
      </c>
      <c r="D33" s="2" t="s">
        <v>515</v>
      </c>
      <c r="E33">
        <f>IF(Tabla_Caja[[#This Row],[id_anterior]]=1,ROW()-1,SUM(ROW()-1,Tabla_Caja[[#This Row],[id_anterior]]))</f>
        <v>585</v>
      </c>
      <c r="F33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CAJA_CONSULTAS_COMPROBANTES_POR_DIA</v>
      </c>
      <c r="G33" s="2" t="str">
        <f>CLEAN(PROPER(Tabla_Caja[[#This Row],[Nombre Opción]]))</f>
        <v>Por Dia</v>
      </c>
      <c r="H33" s="2" t="s">
        <v>1735</v>
      </c>
      <c r="I33" s="2" t="str">
        <f>_xlfn.XLOOKUP(Tabla_Caja[[#This Row],[id_padre]],Tabla_Caja[Id],Tabla_Caja[Codigo_Tecnico],"",0,1)</f>
        <v>CAJA_CONSULTAS_COMPROBANTES</v>
      </c>
      <c r="J33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/caja/consultas/comprobantes/por-dia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por-dia</v>
      </c>
      <c r="L33" s="2" t="s">
        <v>1366</v>
      </c>
      <c r="M33" s="2" t="s">
        <v>208</v>
      </c>
      <c r="N33" s="4" t="s">
        <v>360</v>
      </c>
      <c r="O33" s="4" t="s">
        <v>360</v>
      </c>
      <c r="P33" s="4" t="s">
        <v>360</v>
      </c>
      <c r="Q33" s="4" t="s">
        <v>360</v>
      </c>
      <c r="R33" s="4" t="s">
        <v>360</v>
      </c>
      <c r="S33" s="4" t="s">
        <v>360</v>
      </c>
      <c r="T33" s="4" t="s">
        <v>360</v>
      </c>
      <c r="U33" s="2" t="str">
        <f>IF(Tabla_Caja[[#This Row],[id_padre]]=Tabla_Caja[[#This Row],[Id]],"NOK","OK")</f>
        <v>OK</v>
      </c>
      <c r="V33" s="2"/>
      <c r="W33" s="2"/>
      <c r="X33" s="2"/>
    </row>
    <row r="34" spans="1:24" hidden="1" x14ac:dyDescent="0.5">
      <c r="A34" s="2">
        <f>MAX(Tabla_CKS[Id])</f>
        <v>553</v>
      </c>
      <c r="B34">
        <v>583</v>
      </c>
      <c r="C34">
        <f>IF(Tabla_Caja[[#This Row],[id_padre]]="",0,_xlfn.XLOOKUP(Tabla_Caja[[#This Row],[id_padre]],Tabla_Caja[Id],Tabla_Caja[Nivel],0,0,1)+1)</f>
        <v>3</v>
      </c>
      <c r="D34" s="2" t="s">
        <v>516</v>
      </c>
      <c r="E34">
        <f>IF(Tabla_Caja[[#This Row],[id_anterior]]=1,ROW()-1,SUM(ROW()-1,Tabla_Caja[[#This Row],[id_anterior]]))</f>
        <v>586</v>
      </c>
      <c r="F34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CAJA_CONSULTAS_COMPROBANTES_POR_CONTABILIDAD</v>
      </c>
      <c r="G34" s="2" t="str">
        <f>CLEAN(PROPER(Tabla_Caja[[#This Row],[Nombre Opción]]))</f>
        <v>Por Contabilidad</v>
      </c>
      <c r="H34" s="2" t="s">
        <v>1735</v>
      </c>
      <c r="I34" s="2" t="str">
        <f>_xlfn.XLOOKUP(Tabla_Caja[[#This Row],[id_padre]],Tabla_Caja[Id],Tabla_Caja[Codigo_Tecnico],"",0,1)</f>
        <v>CAJA_CONSULTAS_COMPROBANTES</v>
      </c>
      <c r="J34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/caja/consultas/comprobantes/por-contabilidad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por-contabilidad</v>
      </c>
      <c r="L34" s="2" t="s">
        <v>1367</v>
      </c>
      <c r="M34" s="2" t="s">
        <v>208</v>
      </c>
      <c r="N34" s="4" t="s">
        <v>360</v>
      </c>
      <c r="O34" s="4" t="s">
        <v>360</v>
      </c>
      <c r="P34" s="4" t="s">
        <v>360</v>
      </c>
      <c r="Q34" s="4" t="s">
        <v>360</v>
      </c>
      <c r="R34" s="4" t="s">
        <v>360</v>
      </c>
      <c r="S34" s="4" t="s">
        <v>360</v>
      </c>
      <c r="T34" s="4" t="s">
        <v>360</v>
      </c>
      <c r="U34" s="2" t="str">
        <f>IF(Tabla_Caja[[#This Row],[id_padre]]=Tabla_Caja[[#This Row],[Id]],"NOK","OK")</f>
        <v>OK</v>
      </c>
      <c r="V34" s="2"/>
      <c r="W34" s="2"/>
      <c r="X34" s="2"/>
    </row>
    <row r="35" spans="1:24" hidden="1" x14ac:dyDescent="0.5">
      <c r="A35" s="2">
        <f>MAX(Tabla_CKS[Id])</f>
        <v>553</v>
      </c>
      <c r="B35">
        <v>583</v>
      </c>
      <c r="C35">
        <f>IF(Tabla_Caja[[#This Row],[id_padre]]="",0,_xlfn.XLOOKUP(Tabla_Caja[[#This Row],[id_padre]],Tabla_Caja[Id],Tabla_Caja[Nivel],0,0,1)+1)</f>
        <v>3</v>
      </c>
      <c r="D35" s="2" t="s">
        <v>517</v>
      </c>
      <c r="E35">
        <f>IF(Tabla_Caja[[#This Row],[id_anterior]]=1,ROW()-1,SUM(ROW()-1,Tabla_Caja[[#This Row],[id_anterior]]))</f>
        <v>587</v>
      </c>
      <c r="F35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CAJA_CONSULTAS_COMPROBANTES_POR_CAJA_RECAUDADORA</v>
      </c>
      <c r="G35" s="2" t="str">
        <f>CLEAN(PROPER(Tabla_Caja[[#This Row],[Nombre Opción]]))</f>
        <v>Por Caja Recaudadora</v>
      </c>
      <c r="H35" s="2" t="s">
        <v>1735</v>
      </c>
      <c r="I35" s="2" t="str">
        <f>_xlfn.XLOOKUP(Tabla_Caja[[#This Row],[id_padre]],Tabla_Caja[Id],Tabla_Caja[Codigo_Tecnico],"",0,1)</f>
        <v>CAJA_CONSULTAS_COMPROBANTES</v>
      </c>
      <c r="J35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/caja/consultas/comprobantes/por-caja-recaudadora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por-caja-recaudadora</v>
      </c>
      <c r="L35" s="2" t="s">
        <v>1336</v>
      </c>
      <c r="M35" s="2" t="s">
        <v>208</v>
      </c>
      <c r="N35" s="4" t="s">
        <v>360</v>
      </c>
      <c r="O35" s="4" t="s">
        <v>360</v>
      </c>
      <c r="P35" s="4" t="s">
        <v>360</v>
      </c>
      <c r="Q35" s="4" t="s">
        <v>360</v>
      </c>
      <c r="R35" s="4" t="s">
        <v>360</v>
      </c>
      <c r="S35" s="4" t="s">
        <v>360</v>
      </c>
      <c r="T35" s="4" t="s">
        <v>360</v>
      </c>
      <c r="U35" s="2" t="str">
        <f>IF(Tabla_Caja[[#This Row],[id_padre]]=Tabla_Caja[[#This Row],[Id]],"NOK","OK")</f>
        <v>OK</v>
      </c>
      <c r="V35" s="2"/>
      <c r="W35" s="2"/>
      <c r="X35" s="2"/>
    </row>
    <row r="36" spans="1:24" hidden="1" x14ac:dyDescent="0.5">
      <c r="A36" s="2">
        <f>MAX(Tabla_CKS[Id])</f>
        <v>553</v>
      </c>
      <c r="B36">
        <v>583</v>
      </c>
      <c r="C36">
        <f>IF(Tabla_Caja[[#This Row],[id_padre]]="",0,_xlfn.XLOOKUP(Tabla_Caja[[#This Row],[id_padre]],Tabla_Caja[Id],Tabla_Caja[Nivel],0,0,1)+1)</f>
        <v>3</v>
      </c>
      <c r="D36" s="2" t="s">
        <v>518</v>
      </c>
      <c r="E36">
        <f>IF(Tabla_Caja[[#This Row],[id_anterior]]=1,ROW()-1,SUM(ROW()-1,Tabla_Caja[[#This Row],[id_anterior]]))</f>
        <v>588</v>
      </c>
      <c r="F36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CAJA_CONSULTAS_COMPROBANTES_ANULADOS</v>
      </c>
      <c r="G36" s="2" t="str">
        <f>CLEAN(PROPER(Tabla_Caja[[#This Row],[Nombre Opción]]))</f>
        <v>Anulados</v>
      </c>
      <c r="H36" s="2" t="s">
        <v>1735</v>
      </c>
      <c r="I36" s="2" t="str">
        <f>_xlfn.XLOOKUP(Tabla_Caja[[#This Row],[id_padre]],Tabla_Caja[Id],Tabla_Caja[Codigo_Tecnico],"",0,1)</f>
        <v>CAJA_CONSULTAS_COMPROBANTES</v>
      </c>
      <c r="J36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/caja/consultas/comprobantes/anulados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anulados</v>
      </c>
      <c r="L36" s="2" t="s">
        <v>1368</v>
      </c>
      <c r="M36" s="2" t="s">
        <v>208</v>
      </c>
      <c r="N36" s="4" t="s">
        <v>360</v>
      </c>
      <c r="O36" s="4" t="s">
        <v>360</v>
      </c>
      <c r="P36" s="4" t="s">
        <v>360</v>
      </c>
      <c r="Q36" s="4" t="s">
        <v>360</v>
      </c>
      <c r="R36" s="4" t="s">
        <v>360</v>
      </c>
      <c r="S36" s="4" t="s">
        <v>360</v>
      </c>
      <c r="T36" s="4" t="s">
        <v>360</v>
      </c>
      <c r="U36" s="2" t="str">
        <f>IF(Tabla_Caja[[#This Row],[id_padre]]=Tabla_Caja[[#This Row],[Id]],"NOK","OK")</f>
        <v>OK</v>
      </c>
      <c r="V36" s="2"/>
      <c r="W36" s="2"/>
      <c r="X36" s="2"/>
    </row>
    <row r="37" spans="1:24" hidden="1" x14ac:dyDescent="0.5">
      <c r="A37" s="2">
        <f>MAX(Tabla_CKS[Id])</f>
        <v>553</v>
      </c>
      <c r="B37">
        <v>583</v>
      </c>
      <c r="C37">
        <f>IF(Tabla_Caja[[#This Row],[id_padre]]="",0,_xlfn.XLOOKUP(Tabla_Caja[[#This Row],[id_padre]],Tabla_Caja[Id],Tabla_Caja[Nivel],0,0,1)+1)</f>
        <v>3</v>
      </c>
      <c r="D37" s="2" t="s">
        <v>519</v>
      </c>
      <c r="E37">
        <f>IF(Tabla_Caja[[#This Row],[id_anterior]]=1,ROW()-1,SUM(ROW()-1,Tabla_Caja[[#This Row],[id_anterior]]))</f>
        <v>589</v>
      </c>
      <c r="F37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CAJA_CONSULTAS_COMPROBANTES_RELACION_ENTREGA_VALORES_DEPOSITO</v>
      </c>
      <c r="G37" s="2" t="str">
        <f>CLEAN(PROPER(Tabla_Caja[[#This Row],[Nombre Opción]]))</f>
        <v>Relacion De Entrega Valores A Deposito</v>
      </c>
      <c r="H37" s="2" t="s">
        <v>1735</v>
      </c>
      <c r="I37" s="2" t="str">
        <f>_xlfn.XLOOKUP(Tabla_Caja[[#This Row],[id_padre]],Tabla_Caja[Id],Tabla_Caja[Codigo_Tecnico],"",0,1)</f>
        <v>CAJA_CONSULTAS_COMPROBANTES</v>
      </c>
      <c r="J37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/caja/consultas/comprobantes/relacion-entrega-valores-deposito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relacion-entrega-valores-deposito</v>
      </c>
      <c r="L37" s="2" t="s">
        <v>1369</v>
      </c>
      <c r="M37" s="2" t="s">
        <v>208</v>
      </c>
      <c r="N37" s="4" t="s">
        <v>360</v>
      </c>
      <c r="O37" s="4" t="s">
        <v>360</v>
      </c>
      <c r="P37" s="4" t="s">
        <v>360</v>
      </c>
      <c r="Q37" s="4" t="s">
        <v>360</v>
      </c>
      <c r="R37" s="4" t="s">
        <v>360</v>
      </c>
      <c r="S37" s="4" t="s">
        <v>360</v>
      </c>
      <c r="T37" s="4" t="s">
        <v>360</v>
      </c>
      <c r="U37" s="2" t="str">
        <f>IF(Tabla_Caja[[#This Row],[id_padre]]=Tabla_Caja[[#This Row],[Id]],"NOK","OK")</f>
        <v>OK</v>
      </c>
      <c r="V37" s="2"/>
      <c r="W37" s="2"/>
      <c r="X37" s="2"/>
    </row>
    <row r="38" spans="1:24" hidden="1" x14ac:dyDescent="0.5">
      <c r="A38" s="2">
        <f>MAX(Tabla_CKS[Id])</f>
        <v>553</v>
      </c>
      <c r="B38">
        <v>583</v>
      </c>
      <c r="C38">
        <f>IF(Tabla_Caja[[#This Row],[id_padre]]="",0,_xlfn.XLOOKUP(Tabla_Caja[[#This Row],[id_padre]],Tabla_Caja[Id],Tabla_Caja[Nivel],0,0,1)+1)</f>
        <v>3</v>
      </c>
      <c r="D38" s="2" t="s">
        <v>520</v>
      </c>
      <c r="E38">
        <f>IF(Tabla_Caja[[#This Row],[id_anterior]]=1,ROW()-1,SUM(ROW()-1,Tabla_Caja[[#This Row],[id_anterior]]))</f>
        <v>590</v>
      </c>
      <c r="F38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CAJA_CONSULTAS_COMPROBANTES_TRAZABILIDAD_COMPROBANTES_INGRESO</v>
      </c>
      <c r="G38" s="2" t="str">
        <f>CLEAN(PROPER(Tabla_Caja[[#This Row],[Nombre Opción]]))</f>
        <v>Trazabilidad Comprobantes De Ingreso</v>
      </c>
      <c r="H38" s="2" t="s">
        <v>1735</v>
      </c>
      <c r="I38" s="2" t="str">
        <f>_xlfn.XLOOKUP(Tabla_Caja[[#This Row],[id_padre]],Tabla_Caja[Id],Tabla_Caja[Codigo_Tecnico],"",0,1)</f>
        <v>CAJA_CONSULTAS_COMPROBANTES</v>
      </c>
      <c r="J38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/caja/consultas/comprobantes/trazabilidad-comprobantes-ingreso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trazabilidad-comprobantes-ingreso</v>
      </c>
      <c r="L38" s="2" t="s">
        <v>1370</v>
      </c>
      <c r="M38" s="2" t="s">
        <v>208</v>
      </c>
      <c r="N38" s="4" t="s">
        <v>360</v>
      </c>
      <c r="O38" s="4" t="s">
        <v>360</v>
      </c>
      <c r="P38" s="4" t="s">
        <v>360</v>
      </c>
      <c r="Q38" s="4" t="s">
        <v>360</v>
      </c>
      <c r="R38" s="4" t="s">
        <v>360</v>
      </c>
      <c r="S38" s="4" t="s">
        <v>360</v>
      </c>
      <c r="T38" s="4" t="s">
        <v>360</v>
      </c>
      <c r="U38" s="2" t="str">
        <f>IF(Tabla_Caja[[#This Row],[id_padre]]=Tabla_Caja[[#This Row],[Id]],"NOK","OK")</f>
        <v>OK</v>
      </c>
      <c r="V38" s="2"/>
      <c r="W38" s="2"/>
      <c r="X38" s="2"/>
    </row>
    <row r="39" spans="1:24" hidden="1" x14ac:dyDescent="0.5">
      <c r="A39" s="2">
        <f>MAX(Tabla_CKS[Id])</f>
        <v>553</v>
      </c>
      <c r="B39">
        <v>557</v>
      </c>
      <c r="C39">
        <f>IF(Tabla_Caja[[#This Row],[id_padre]]="",0,_xlfn.XLOOKUP(Tabla_Caja[[#This Row],[id_padre]],Tabla_Caja[Id],Tabla_Caja[Nivel],0,0,1)+1)</f>
        <v>2</v>
      </c>
      <c r="D39" s="2" t="s">
        <v>470</v>
      </c>
      <c r="E39">
        <f>IF(Tabla_Caja[[#This Row],[id_anterior]]=1,ROW()-1,SUM(ROW()-1,Tabla_Caja[[#This Row],[id_anterior]]))</f>
        <v>591</v>
      </c>
      <c r="F39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CAJA_CONSULTAS_DEPOSITOS</v>
      </c>
      <c r="G39" s="2" t="str">
        <f>CLEAN(PROPER(Tabla_Caja[[#This Row],[Nombre Opción]]))</f>
        <v>Depositos</v>
      </c>
      <c r="H39" s="2" t="s">
        <v>1735</v>
      </c>
      <c r="I39" s="2" t="str">
        <f>_xlfn.XLOOKUP(Tabla_Caja[[#This Row],[id_padre]],Tabla_Caja[Id],Tabla_Caja[Codigo_Tecnico],"",0,1)</f>
        <v>CAJA_CONSULTAS</v>
      </c>
      <c r="J39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/caja/consultas/depositos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depositos</v>
      </c>
      <c r="L39" s="2" t="s">
        <v>1371</v>
      </c>
      <c r="M39" s="2" t="s">
        <v>208</v>
      </c>
      <c r="N39" s="4" t="s">
        <v>360</v>
      </c>
      <c r="O39" s="4" t="s">
        <v>360</v>
      </c>
      <c r="P39" s="4" t="s">
        <v>360</v>
      </c>
      <c r="Q39" s="4" t="s">
        <v>360</v>
      </c>
      <c r="R39" s="4" t="s">
        <v>360</v>
      </c>
      <c r="S39" s="4" t="s">
        <v>360</v>
      </c>
      <c r="T39" s="4" t="s">
        <v>360</v>
      </c>
      <c r="U39" s="2" t="str">
        <f>IF(Tabla_Caja[[#This Row],[id_padre]]=Tabla_Caja[[#This Row],[Id]],"NOK","OK")</f>
        <v>OK</v>
      </c>
      <c r="V39" s="2"/>
      <c r="W39" s="2"/>
      <c r="X39" s="2"/>
    </row>
    <row r="40" spans="1:24" hidden="1" x14ac:dyDescent="0.5">
      <c r="A40" s="2">
        <f>MAX(Tabla_CKS[Id])</f>
        <v>553</v>
      </c>
      <c r="B40">
        <v>591</v>
      </c>
      <c r="C40">
        <f>IF(Tabla_Caja[[#This Row],[id_padre]]="",0,_xlfn.XLOOKUP(Tabla_Caja[[#This Row],[id_padre]],Tabla_Caja[Id],Tabla_Caja[Nivel],0,0,1)+1)</f>
        <v>3</v>
      </c>
      <c r="D40" s="2" t="s">
        <v>521</v>
      </c>
      <c r="E40">
        <f>IF(Tabla_Caja[[#This Row],[id_anterior]]=1,ROW()-1,SUM(ROW()-1,Tabla_Caja[[#This Row],[id_anterior]]))</f>
        <v>592</v>
      </c>
      <c r="F40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CAJA_CONSULTAS_DEPOSITOS_DIARIOS</v>
      </c>
      <c r="G40" s="2" t="str">
        <f>CLEAN(PROPER(Tabla_Caja[[#This Row],[Nombre Opción]]))</f>
        <v>Diarios</v>
      </c>
      <c r="H40" s="2" t="s">
        <v>1735</v>
      </c>
      <c r="I40" s="2" t="str">
        <f>_xlfn.XLOOKUP(Tabla_Caja[[#This Row],[id_padre]],Tabla_Caja[Id],Tabla_Caja[Codigo_Tecnico],"",0,1)</f>
        <v>CAJA_CONSULTAS_DEPOSITOS</v>
      </c>
      <c r="J40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/caja/consultas/depositos/diarios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diarios</v>
      </c>
      <c r="L40" s="2" t="s">
        <v>1372</v>
      </c>
      <c r="M40" s="2" t="s">
        <v>208</v>
      </c>
      <c r="N40" s="4" t="s">
        <v>360</v>
      </c>
      <c r="O40" s="4" t="s">
        <v>360</v>
      </c>
      <c r="P40" s="4" t="s">
        <v>360</v>
      </c>
      <c r="Q40" s="4" t="s">
        <v>360</v>
      </c>
      <c r="R40" s="4" t="s">
        <v>360</v>
      </c>
      <c r="S40" s="4" t="s">
        <v>360</v>
      </c>
      <c r="T40" s="4" t="s">
        <v>360</v>
      </c>
      <c r="U40" s="2" t="str">
        <f>IF(Tabla_Caja[[#This Row],[id_padre]]=Tabla_Caja[[#This Row],[Id]],"NOK","OK")</f>
        <v>OK</v>
      </c>
      <c r="V40" s="2"/>
      <c r="W40" s="2"/>
      <c r="X40" s="2"/>
    </row>
    <row r="41" spans="1:24" hidden="1" x14ac:dyDescent="0.5">
      <c r="A41" s="2">
        <f>MAX(Tabla_CKS[Id])</f>
        <v>553</v>
      </c>
      <c r="B41">
        <v>591</v>
      </c>
      <c r="C41">
        <f>IF(Tabla_Caja[[#This Row],[id_padre]]="",0,_xlfn.XLOOKUP(Tabla_Caja[[#This Row],[id_padre]],Tabla_Caja[Id],Tabla_Caja[Nivel],0,0,1)+1)</f>
        <v>3</v>
      </c>
      <c r="D41" s="2" t="s">
        <v>522</v>
      </c>
      <c r="E41">
        <f>IF(Tabla_Caja[[#This Row],[id_anterior]]=1,ROW()-1,SUM(ROW()-1,Tabla_Caja[[#This Row],[id_anterior]]))</f>
        <v>593</v>
      </c>
      <c r="F41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CAJA_CONSULTAS_DEPOSITOS_PENDIENTES</v>
      </c>
      <c r="G41" s="2" t="str">
        <f>CLEAN(PROPER(Tabla_Caja[[#This Row],[Nombre Opción]]))</f>
        <v>Pendientes</v>
      </c>
      <c r="H41" s="2" t="s">
        <v>1735</v>
      </c>
      <c r="I41" s="2" t="str">
        <f>_xlfn.XLOOKUP(Tabla_Caja[[#This Row],[id_padre]],Tabla_Caja[Id],Tabla_Caja[Codigo_Tecnico],"",0,1)</f>
        <v>CAJA_CONSULTAS_DEPOSITOS</v>
      </c>
      <c r="J41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/caja/consultas/depositos/pendientes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pendientes</v>
      </c>
      <c r="L41" s="2" t="s">
        <v>1373</v>
      </c>
      <c r="M41" s="2" t="s">
        <v>208</v>
      </c>
      <c r="N41" s="4" t="s">
        <v>360</v>
      </c>
      <c r="O41" s="4" t="s">
        <v>360</v>
      </c>
      <c r="P41" s="4" t="s">
        <v>360</v>
      </c>
      <c r="Q41" s="4" t="s">
        <v>360</v>
      </c>
      <c r="R41" s="4" t="s">
        <v>360</v>
      </c>
      <c r="S41" s="4" t="s">
        <v>360</v>
      </c>
      <c r="T41" s="4" t="s">
        <v>360</v>
      </c>
      <c r="U41" s="2" t="str">
        <f>IF(Tabla_Caja[[#This Row],[id_padre]]=Tabla_Caja[[#This Row],[Id]],"NOK","OK")</f>
        <v>OK</v>
      </c>
      <c r="V41" s="2"/>
      <c r="W41" s="2"/>
      <c r="X41" s="2"/>
    </row>
    <row r="42" spans="1:24" hidden="1" x14ac:dyDescent="0.5">
      <c r="A42" s="2">
        <f>MAX(Tabla_CKS[Id])</f>
        <v>553</v>
      </c>
      <c r="B42">
        <v>557</v>
      </c>
      <c r="C42">
        <f>IF(Tabla_Caja[[#This Row],[id_padre]]="",0,_xlfn.XLOOKUP(Tabla_Caja[[#This Row],[id_padre]],Tabla_Caja[Id],Tabla_Caja[Nivel],0,0,1)+1)</f>
        <v>2</v>
      </c>
      <c r="D42" s="2" t="s">
        <v>523</v>
      </c>
      <c r="E42">
        <f>IF(Tabla_Caja[[#This Row],[id_anterior]]=1,ROW()-1,SUM(ROW()-1,Tabla_Caja[[#This Row],[id_anterior]]))</f>
        <v>594</v>
      </c>
      <c r="F4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</v>
      </c>
      <c r="G42" s="2" t="str">
        <f>CLEAN(PROPER(Tabla_Caja[[#This Row],[Nombre Opción]]))</f>
        <v>Cheques</v>
      </c>
      <c r="H42" s="2" t="s">
        <v>1735</v>
      </c>
      <c r="I42" s="2" t="str">
        <f>_xlfn.XLOOKUP(Tabla_Caja[[#This Row],[id_padre]],Tabla_Caja[Id],Tabla_Caja[Codigo_Tecnico],"",0,1)</f>
        <v>CAJA_CONSULTAS</v>
      </c>
      <c r="J42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cheques</v>
      </c>
      <c r="L42" s="2" t="s">
        <v>1374</v>
      </c>
      <c r="M42" s="2" t="s">
        <v>208</v>
      </c>
      <c r="N42" s="4" t="s">
        <v>360</v>
      </c>
      <c r="O42" s="4" t="s">
        <v>360</v>
      </c>
      <c r="P42" s="4" t="s">
        <v>360</v>
      </c>
      <c r="Q42" s="4" t="s">
        <v>360</v>
      </c>
      <c r="R42" s="4" t="s">
        <v>360</v>
      </c>
      <c r="S42" s="4" t="s">
        <v>360</v>
      </c>
      <c r="T42" s="4" t="s">
        <v>360</v>
      </c>
      <c r="U42" s="2" t="str">
        <f>IF(Tabla_Caja[[#This Row],[id_padre]]=Tabla_Caja[[#This Row],[Id]],"NOK","OK")</f>
        <v>OK</v>
      </c>
      <c r="V42" s="2"/>
      <c r="W42" s="2"/>
      <c r="X42" s="2"/>
    </row>
    <row r="43" spans="1:24" hidden="1" x14ac:dyDescent="0.5">
      <c r="A43" s="2">
        <f>MAX(Tabla_CKS[Id])</f>
        <v>553</v>
      </c>
      <c r="B43">
        <v>594</v>
      </c>
      <c r="C43">
        <f>IF(Tabla_Caja[[#This Row],[id_padre]]="",0,_xlfn.XLOOKUP(Tabla_Caja[[#This Row],[id_padre]],Tabla_Caja[Id],Tabla_Caja[Nivel],0,0,1)+1)</f>
        <v>3</v>
      </c>
      <c r="D43" s="2" t="s">
        <v>524</v>
      </c>
      <c r="E43">
        <f>IF(Tabla_Caja[[#This Row],[id_anterior]]=1,ROW()-1,SUM(ROW()-1,Tabla_Caja[[#This Row],[id_anterior]]))</f>
        <v>595</v>
      </c>
      <c r="F43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CAJA_CONSULTAS_CHEQUES_EN_CAJA</v>
      </c>
      <c r="G43" s="2" t="str">
        <f>CLEAN(PROPER(Tabla_Caja[[#This Row],[Nombre Opción]]))</f>
        <v>En Caja</v>
      </c>
      <c r="H43" s="2" t="s">
        <v>1735</v>
      </c>
      <c r="I43" s="2" t="str">
        <f>_xlfn.XLOOKUP(Tabla_Caja[[#This Row],[id_padre]],Tabla_Caja[Id],Tabla_Caja[Codigo_Tecnico],"",0,1)</f>
        <v>CAJA_CONSULTAS_CHEQUES</v>
      </c>
      <c r="J43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/caja/consultas/cheques/en-caja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en-caja</v>
      </c>
      <c r="L43" s="2" t="s">
        <v>1375</v>
      </c>
      <c r="M43" s="2" t="s">
        <v>208</v>
      </c>
      <c r="N43" s="4" t="s">
        <v>360</v>
      </c>
      <c r="O43" s="4" t="s">
        <v>360</v>
      </c>
      <c r="P43" s="4" t="s">
        <v>360</v>
      </c>
      <c r="Q43" s="4" t="s">
        <v>360</v>
      </c>
      <c r="R43" s="4" t="s">
        <v>360</v>
      </c>
      <c r="S43" s="4" t="s">
        <v>360</v>
      </c>
      <c r="T43" s="4" t="s">
        <v>360</v>
      </c>
      <c r="U43" s="2" t="str">
        <f>IF(Tabla_Caja[[#This Row],[id_padre]]=Tabla_Caja[[#This Row],[Id]],"NOK","OK")</f>
        <v>OK</v>
      </c>
      <c r="V43" s="2"/>
      <c r="W43" s="2"/>
      <c r="X43" s="2"/>
    </row>
    <row r="44" spans="1:24" hidden="1" x14ac:dyDescent="0.5">
      <c r="A44" s="2">
        <f>MAX(Tabla_CKS[Id])</f>
        <v>553</v>
      </c>
      <c r="B44">
        <v>594</v>
      </c>
      <c r="C44">
        <f>IF(Tabla_Caja[[#This Row],[id_padre]]="",0,_xlfn.XLOOKUP(Tabla_Caja[[#This Row],[id_padre]],Tabla_Caja[Id],Tabla_Caja[Nivel],0,0,1)+1)</f>
        <v>3</v>
      </c>
      <c r="D44" s="2" t="s">
        <v>530</v>
      </c>
      <c r="E44">
        <f>IF(Tabla_Caja[[#This Row],[id_anterior]]=1,ROW()-1,SUM(ROW()-1,Tabla_Caja[[#This Row],[id_anterior]]))</f>
        <v>596</v>
      </c>
      <c r="F44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CAJA_CONSULTAS_CHEQUES_EN_CAJA_POR_CONTABILIDAD</v>
      </c>
      <c r="G44" s="2" t="str">
        <f>CLEAN(PROPER(Tabla_Caja[[#This Row],[Nombre Opción]]))</f>
        <v>En Caja Por Contabilidad</v>
      </c>
      <c r="H44" s="2" t="s">
        <v>1735</v>
      </c>
      <c r="I44" s="2" t="str">
        <f>_xlfn.XLOOKUP(Tabla_Caja[[#This Row],[id_padre]],Tabla_Caja[Id],Tabla_Caja[Codigo_Tecnico],"",0,1)</f>
        <v>CAJA_CONSULTAS_CHEQUES</v>
      </c>
      <c r="J44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/caja/consultas/cheques/en-caja-por-contabilidad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en-caja-por-contabilidad</v>
      </c>
      <c r="L44" s="2" t="s">
        <v>1367</v>
      </c>
      <c r="M44" s="2" t="s">
        <v>208</v>
      </c>
      <c r="N44" s="4" t="s">
        <v>360</v>
      </c>
      <c r="O44" s="4" t="s">
        <v>360</v>
      </c>
      <c r="P44" s="4" t="s">
        <v>360</v>
      </c>
      <c r="Q44" s="4" t="s">
        <v>360</v>
      </c>
      <c r="R44" s="4" t="s">
        <v>360</v>
      </c>
      <c r="S44" s="4" t="s">
        <v>360</v>
      </c>
      <c r="T44" s="4" t="s">
        <v>360</v>
      </c>
      <c r="U44" s="2" t="str">
        <f>IF(Tabla_Caja[[#This Row],[id_padre]]=Tabla_Caja[[#This Row],[Id]],"NOK","OK")</f>
        <v>OK</v>
      </c>
      <c r="V44" s="2"/>
      <c r="W44" s="2"/>
      <c r="X44" s="2"/>
    </row>
    <row r="45" spans="1:24" hidden="1" x14ac:dyDescent="0.5">
      <c r="A45" s="2">
        <f>MAX(Tabla_CKS[Id])</f>
        <v>553</v>
      </c>
      <c r="B45">
        <v>594</v>
      </c>
      <c r="C45">
        <f>IF(Tabla_Caja[[#This Row],[id_padre]]="",0,_xlfn.XLOOKUP(Tabla_Caja[[#This Row],[id_padre]],Tabla_Caja[Id],Tabla_Caja[Nivel],0,0,1)+1)</f>
        <v>3</v>
      </c>
      <c r="D45" s="2" t="s">
        <v>525</v>
      </c>
      <c r="E45">
        <f>IF(Tabla_Caja[[#This Row],[id_anterior]]=1,ROW()-1,SUM(ROW()-1,Tabla_Caja[[#This Row],[id_anterior]]))</f>
        <v>597</v>
      </c>
      <c r="F45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CAJA_CONSULTAS_CHEQUES_ENTREGADOS</v>
      </c>
      <c r="G45" s="2" t="str">
        <f>CLEAN(PROPER(Tabla_Caja[[#This Row],[Nombre Opción]]))</f>
        <v>Entregados</v>
      </c>
      <c r="H45" s="2" t="s">
        <v>1735</v>
      </c>
      <c r="I45" s="2" t="str">
        <f>_xlfn.XLOOKUP(Tabla_Caja[[#This Row],[id_padre]],Tabla_Caja[Id],Tabla_Caja[Codigo_Tecnico],"",0,1)</f>
        <v>CAJA_CONSULTAS_CHEQUES</v>
      </c>
      <c r="J45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/caja/consultas/cheques/entregados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entregados</v>
      </c>
      <c r="L45" s="2" t="s">
        <v>1376</v>
      </c>
      <c r="M45" s="2" t="s">
        <v>208</v>
      </c>
      <c r="N45" s="4" t="s">
        <v>360</v>
      </c>
      <c r="O45" s="4" t="s">
        <v>360</v>
      </c>
      <c r="P45" s="4" t="s">
        <v>360</v>
      </c>
      <c r="Q45" s="4" t="s">
        <v>360</v>
      </c>
      <c r="R45" s="4" t="s">
        <v>360</v>
      </c>
      <c r="S45" s="4" t="s">
        <v>360</v>
      </c>
      <c r="T45" s="4" t="s">
        <v>360</v>
      </c>
      <c r="U45" s="2" t="str">
        <f>IF(Tabla_Caja[[#This Row],[id_padre]]=Tabla_Caja[[#This Row],[Id]],"NOK","OK")</f>
        <v>OK</v>
      </c>
      <c r="V45" s="2"/>
      <c r="W45" s="2"/>
      <c r="X45" s="2"/>
    </row>
    <row r="46" spans="1:24" hidden="1" x14ac:dyDescent="0.5">
      <c r="A46" s="2">
        <f>MAX(Tabla_CKS[Id])</f>
        <v>553</v>
      </c>
      <c r="B46">
        <v>594</v>
      </c>
      <c r="C46">
        <f>IF(Tabla_Caja[[#This Row],[id_padre]]="",0,_xlfn.XLOOKUP(Tabla_Caja[[#This Row],[id_padre]],Tabla_Caja[Id],Tabla_Caja[Nivel],0,0,1)+1)</f>
        <v>3</v>
      </c>
      <c r="D46" s="2" t="s">
        <v>526</v>
      </c>
      <c r="E46">
        <f>IF(Tabla_Caja[[#This Row],[id_anterior]]=1,ROW()-1,SUM(ROW()-1,Tabla_Caja[[#This Row],[id_anterior]]))</f>
        <v>598</v>
      </c>
      <c r="F46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CAJA_CONSULTAS_CHEQUES_POR_NOMBRE</v>
      </c>
      <c r="G46" s="2" t="str">
        <f>CLEAN(PROPER(Tabla_Caja[[#This Row],[Nombre Opción]]))</f>
        <v>Por Nombre</v>
      </c>
      <c r="H46" s="2" t="s">
        <v>1735</v>
      </c>
      <c r="I46" s="2" t="str">
        <f>_xlfn.XLOOKUP(Tabla_Caja[[#This Row],[id_padre]],Tabla_Caja[Id],Tabla_Caja[Codigo_Tecnico],"",0,1)</f>
        <v>CAJA_CONSULTAS_CHEQUES</v>
      </c>
      <c r="J46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/caja/consultas/cheques/por-nombre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por-nombre</v>
      </c>
      <c r="L46" s="2" t="s">
        <v>1377</v>
      </c>
      <c r="M46" s="2" t="s">
        <v>208</v>
      </c>
      <c r="N46" s="4" t="s">
        <v>360</v>
      </c>
      <c r="O46" s="4" t="s">
        <v>360</v>
      </c>
      <c r="P46" s="4" t="s">
        <v>360</v>
      </c>
      <c r="Q46" s="4" t="s">
        <v>360</v>
      </c>
      <c r="R46" s="4" t="s">
        <v>360</v>
      </c>
      <c r="S46" s="4" t="s">
        <v>360</v>
      </c>
      <c r="T46" s="4" t="s">
        <v>360</v>
      </c>
      <c r="U46" s="2" t="str">
        <f>IF(Tabla_Caja[[#This Row],[id_padre]]=Tabla_Caja[[#This Row],[Id]],"NOK","OK")</f>
        <v>OK</v>
      </c>
      <c r="V46" s="2"/>
      <c r="W46" s="2"/>
      <c r="X46" s="2"/>
    </row>
    <row r="47" spans="1:24" hidden="1" x14ac:dyDescent="0.5">
      <c r="A47" s="2">
        <f>MAX(Tabla_CKS[Id])</f>
        <v>553</v>
      </c>
      <c r="B47">
        <v>594</v>
      </c>
      <c r="C47">
        <f>IF(Tabla_Caja[[#This Row],[id_padre]]="",0,_xlfn.XLOOKUP(Tabla_Caja[[#This Row],[id_padre]],Tabla_Caja[Id],Tabla_Caja[Nivel],0,0,1)+1)</f>
        <v>3</v>
      </c>
      <c r="D47" s="2" t="s">
        <v>527</v>
      </c>
      <c r="E47">
        <f>IF(Tabla_Caja[[#This Row],[id_anterior]]=1,ROW()-1,SUM(ROW()-1,Tabla_Caja[[#This Row],[id_anterior]]))</f>
        <v>599</v>
      </c>
      <c r="F47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CAJA_CONSULTAS_CHEQUES_POR_RUT</v>
      </c>
      <c r="G47" s="2" t="str">
        <f>CLEAN(PROPER(Tabla_Caja[[#This Row],[Nombre Opción]]))</f>
        <v>Por Rut</v>
      </c>
      <c r="H47" s="2" t="s">
        <v>1735</v>
      </c>
      <c r="I47" s="2" t="str">
        <f>_xlfn.XLOOKUP(Tabla_Caja[[#This Row],[id_padre]],Tabla_Caja[Id],Tabla_Caja[Codigo_Tecnico],"",0,1)</f>
        <v>CAJA_CONSULTAS_CHEQUES</v>
      </c>
      <c r="J47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/caja/consultas/cheques/por-rut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por-rut</v>
      </c>
      <c r="L47" s="2" t="s">
        <v>1378</v>
      </c>
      <c r="M47" s="2" t="s">
        <v>208</v>
      </c>
      <c r="N47" s="4" t="s">
        <v>360</v>
      </c>
      <c r="O47" s="4" t="s">
        <v>360</v>
      </c>
      <c r="P47" s="4" t="s">
        <v>360</v>
      </c>
      <c r="Q47" s="4" t="s">
        <v>360</v>
      </c>
      <c r="R47" s="4" t="s">
        <v>360</v>
      </c>
      <c r="S47" s="4" t="s">
        <v>360</v>
      </c>
      <c r="T47" s="4" t="s">
        <v>360</v>
      </c>
      <c r="U47" s="2" t="str">
        <f>IF(Tabla_Caja[[#This Row],[id_padre]]=Tabla_Caja[[#This Row],[Id]],"NOK","OK")</f>
        <v>OK</v>
      </c>
      <c r="V47" s="2"/>
      <c r="W47" s="2"/>
      <c r="X47" s="2"/>
    </row>
    <row r="48" spans="1:24" hidden="1" x14ac:dyDescent="0.5">
      <c r="A48" s="2">
        <f>MAX(Tabla_CKS[Id])</f>
        <v>553</v>
      </c>
      <c r="B48">
        <v>594</v>
      </c>
      <c r="C48">
        <f>IF(Tabla_Caja[[#This Row],[id_padre]]="",0,_xlfn.XLOOKUP(Tabla_Caja[[#This Row],[id_padre]],Tabla_Caja[Id],Tabla_Caja[Nivel],0,0,1)+1)</f>
        <v>3</v>
      </c>
      <c r="D48" s="2" t="s">
        <v>528</v>
      </c>
      <c r="E48">
        <f>IF(Tabla_Caja[[#This Row],[id_anterior]]=1,ROW()-1,SUM(ROW()-1,Tabla_Caja[[#This Row],[id_anterior]]))</f>
        <v>600</v>
      </c>
      <c r="F48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CAJA_CONSULTAS_CHEQUES_POR_TRANSFER</v>
      </c>
      <c r="G48" s="2" t="str">
        <f>CLEAN(PROPER(Tabla_Caja[[#This Row],[Nombre Opción]]))</f>
        <v>Por Transfer</v>
      </c>
      <c r="H48" s="2" t="s">
        <v>1735</v>
      </c>
      <c r="I48" s="2" t="str">
        <f>_xlfn.XLOOKUP(Tabla_Caja[[#This Row],[id_padre]],Tabla_Caja[Id],Tabla_Caja[Codigo_Tecnico],"",0,1)</f>
        <v>CAJA_CONSULTAS_CHEQUES</v>
      </c>
      <c r="J48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/caja/consultas/cheques/por-transfer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por-transfer</v>
      </c>
      <c r="L48" s="2" t="s">
        <v>1379</v>
      </c>
      <c r="M48" s="2" t="s">
        <v>208</v>
      </c>
      <c r="N48" s="4" t="s">
        <v>360</v>
      </c>
      <c r="O48" s="4" t="s">
        <v>360</v>
      </c>
      <c r="P48" s="4" t="s">
        <v>360</v>
      </c>
      <c r="Q48" s="4" t="s">
        <v>360</v>
      </c>
      <c r="R48" s="4" t="s">
        <v>360</v>
      </c>
      <c r="S48" s="4" t="s">
        <v>360</v>
      </c>
      <c r="T48" s="4" t="s">
        <v>360</v>
      </c>
      <c r="U48" s="2" t="str">
        <f>IF(Tabla_Caja[[#This Row],[id_padre]]=Tabla_Caja[[#This Row],[Id]],"NOK","OK")</f>
        <v>OK</v>
      </c>
      <c r="V48" s="2"/>
      <c r="W48" s="2"/>
      <c r="X48" s="2"/>
    </row>
    <row r="49" spans="1:24" hidden="1" x14ac:dyDescent="0.5">
      <c r="A49" s="2">
        <f>MAX(Tabla_CKS[Id])</f>
        <v>553</v>
      </c>
      <c r="B49">
        <v>594</v>
      </c>
      <c r="C49">
        <f>IF(Tabla_Caja[[#This Row],[id_padre]]="",0,_xlfn.XLOOKUP(Tabla_Caja[[#This Row],[id_padre]],Tabla_Caja[Id],Tabla_Caja[Nivel],0,0,1)+1)</f>
        <v>3</v>
      </c>
      <c r="D49" s="2" t="s">
        <v>529</v>
      </c>
      <c r="E49">
        <f>IF(Tabla_Caja[[#This Row],[id_anterior]]=1,ROW()-1,SUM(ROW()-1,Tabla_Caja[[#This Row],[id_anterior]]))</f>
        <v>601</v>
      </c>
      <c r="F49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CAJA_CONSULTAS_CHEQUES_POR_CADUCAR</v>
      </c>
      <c r="G49" s="2" t="str">
        <f>CLEAN(PROPER(Tabla_Caja[[#This Row],[Nombre Opción]]))</f>
        <v>Por Caducar</v>
      </c>
      <c r="H49" s="2" t="s">
        <v>1735</v>
      </c>
      <c r="I49" s="2" t="str">
        <f>_xlfn.XLOOKUP(Tabla_Caja[[#This Row],[id_padre]],Tabla_Caja[Id],Tabla_Caja[Codigo_Tecnico],"",0,1)</f>
        <v>CAJA_CONSULTAS_CHEQUES</v>
      </c>
      <c r="J49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/caja/consultas/cheques/por-caducar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por-caducar</v>
      </c>
      <c r="L49" s="2" t="s">
        <v>1380</v>
      </c>
      <c r="M49" s="2" t="s">
        <v>208</v>
      </c>
      <c r="N49" s="4" t="s">
        <v>360</v>
      </c>
      <c r="O49" s="4" t="s">
        <v>360</v>
      </c>
      <c r="P49" s="4" t="s">
        <v>360</v>
      </c>
      <c r="Q49" s="4" t="s">
        <v>360</v>
      </c>
      <c r="R49" s="4" t="s">
        <v>360</v>
      </c>
      <c r="S49" s="4" t="s">
        <v>360</v>
      </c>
      <c r="T49" s="4" t="s">
        <v>360</v>
      </c>
      <c r="U49" s="2" t="str">
        <f>IF(Tabla_Caja[[#This Row],[id_padre]]=Tabla_Caja[[#This Row],[Id]],"NOK","OK")</f>
        <v>OK</v>
      </c>
      <c r="V49" s="2"/>
      <c r="W49" s="2"/>
      <c r="X49" s="2"/>
    </row>
    <row r="50" spans="1:24" hidden="1" x14ac:dyDescent="0.5">
      <c r="A50" s="2">
        <f>MAX(Tabla_CKS[Id])</f>
        <v>553</v>
      </c>
      <c r="B50">
        <v>594</v>
      </c>
      <c r="C50">
        <f>IF(Tabla_Caja[[#This Row],[id_padre]]="",0,_xlfn.XLOOKUP(Tabla_Caja[[#This Row],[id_padre]],Tabla_Caja[Id],Tabla_Caja[Nivel],0,0,1)+1)</f>
        <v>3</v>
      </c>
      <c r="D50" s="2" t="s">
        <v>531</v>
      </c>
      <c r="E50">
        <f>IF(Tabla_Caja[[#This Row],[id_anterior]]=1,ROW()-1,SUM(ROW()-1,Tabla_Caja[[#This Row],[id_anterior]]))</f>
        <v>602</v>
      </c>
      <c r="F50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CAJA_CONSULTAS_CHEQUES_CADUCADOS</v>
      </c>
      <c r="G50" s="2" t="str">
        <f>CLEAN(PROPER(Tabla_Caja[[#This Row],[Nombre Opción]]))</f>
        <v>Caducados</v>
      </c>
      <c r="H50" s="2" t="s">
        <v>1735</v>
      </c>
      <c r="I50" s="2" t="str">
        <f>_xlfn.XLOOKUP(Tabla_Caja[[#This Row],[id_padre]],Tabla_Caja[Id],Tabla_Caja[Codigo_Tecnico],"",0,1)</f>
        <v>CAJA_CONSULTAS_CHEQUES</v>
      </c>
      <c r="J50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/caja/consultas/cheques/caducados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caducados</v>
      </c>
      <c r="L50" s="2" t="s">
        <v>1381</v>
      </c>
      <c r="M50" s="2" t="s">
        <v>208</v>
      </c>
      <c r="N50" s="4" t="s">
        <v>360</v>
      </c>
      <c r="O50" s="4" t="s">
        <v>360</v>
      </c>
      <c r="P50" s="4" t="s">
        <v>360</v>
      </c>
      <c r="Q50" s="4" t="s">
        <v>360</v>
      </c>
      <c r="R50" s="4" t="s">
        <v>360</v>
      </c>
      <c r="S50" s="4" t="s">
        <v>360</v>
      </c>
      <c r="T50" s="4" t="s">
        <v>360</v>
      </c>
      <c r="U50" s="2" t="str">
        <f>IF(Tabla_Caja[[#This Row],[id_padre]]=Tabla_Caja[[#This Row],[Id]],"NOK","OK")</f>
        <v>OK</v>
      </c>
      <c r="V50" s="2"/>
      <c r="W50" s="2"/>
      <c r="X50" s="2"/>
    </row>
    <row r="51" spans="1:24" hidden="1" x14ac:dyDescent="0.5">
      <c r="A51" s="2">
        <f>MAX(Tabla_CKS[Id])</f>
        <v>553</v>
      </c>
      <c r="B51" s="2">
        <v>557</v>
      </c>
      <c r="C51">
        <f>IF(Tabla_Caja[[#This Row],[id_padre]]="",0,_xlfn.XLOOKUP(Tabla_Caja[[#This Row],[id_padre]],Tabla_Caja[Id],Tabla_Caja[Nivel],0,0,1)+1)</f>
        <v>2</v>
      </c>
      <c r="D51" s="2" t="s">
        <v>505</v>
      </c>
      <c r="E51" s="2">
        <f>IF(Tabla_Caja[[#This Row],[id_anterior]]=1,ROW()-1,SUM(ROW()-1,Tabla_Caja[[#This Row],[id_anterior]]))</f>
        <v>603</v>
      </c>
      <c r="F51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CAJA_CONSULTAS_CUSTODIA</v>
      </c>
      <c r="G51" s="2" t="str">
        <f>CLEAN(PROPER(Tabla_Caja[[#This Row],[Nombre Opción]]))</f>
        <v>Custodia</v>
      </c>
      <c r="H51" s="2" t="s">
        <v>1735</v>
      </c>
      <c r="I51" s="2" t="str">
        <f>_xlfn.XLOOKUP(Tabla_Caja[[#This Row],[id_padre]],Tabla_Caja[Id],Tabla_Caja[Codigo_Tecnico],"",0,1)</f>
        <v>CAJA_CONSULTAS</v>
      </c>
      <c r="J51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/caja/consultas/custodia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custodia</v>
      </c>
      <c r="L51" s="2" t="s">
        <v>1342</v>
      </c>
      <c r="M51" s="2" t="s">
        <v>208</v>
      </c>
      <c r="N51" s="4" t="s">
        <v>360</v>
      </c>
      <c r="O51" s="4" t="s">
        <v>360</v>
      </c>
      <c r="P51" s="4" t="s">
        <v>360</v>
      </c>
      <c r="Q51" s="4" t="s">
        <v>360</v>
      </c>
      <c r="R51" s="4" t="s">
        <v>360</v>
      </c>
      <c r="S51" s="4" t="s">
        <v>360</v>
      </c>
      <c r="T51" s="4" t="s">
        <v>360</v>
      </c>
      <c r="U51" s="2" t="str">
        <f>IF(Tabla_Caja[[#This Row],[id_padre]]=Tabla_Caja[[#This Row],[Id]],"NOK","OK")</f>
        <v>OK</v>
      </c>
      <c r="V51" s="2"/>
      <c r="W51" s="2"/>
      <c r="X51" s="2"/>
    </row>
    <row r="52" spans="1:24" hidden="1" x14ac:dyDescent="0.5">
      <c r="A52" s="2">
        <f>MAX(Tabla_CKS[Id])</f>
        <v>553</v>
      </c>
      <c r="B52" s="2">
        <v>603</v>
      </c>
      <c r="C52">
        <f>IF(Tabla_Caja[[#This Row],[id_padre]]="",0,_xlfn.XLOOKUP(Tabla_Caja[[#This Row],[id_padre]],Tabla_Caja[Id],Tabla_Caja[Nivel],0,0,1)+1)</f>
        <v>3</v>
      </c>
      <c r="D52" s="2" t="s">
        <v>532</v>
      </c>
      <c r="E52" s="2">
        <f>IF(Tabla_Caja[[#This Row],[id_anterior]]=1,ROW()-1,SUM(ROW()-1,Tabla_Caja[[#This Row],[id_anterior]]))</f>
        <v>604</v>
      </c>
      <c r="F5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CAJA_CONSULTAS_CUSTODIA_DOCUMENTOS_CUSTODIA</v>
      </c>
      <c r="G52" s="2" t="str">
        <f>CLEAN(PROPER(Tabla_Caja[[#This Row],[Nombre Opción]]))</f>
        <v>Documentos En Custodia</v>
      </c>
      <c r="H52" s="2" t="s">
        <v>1735</v>
      </c>
      <c r="I52" s="2" t="str">
        <f>_xlfn.XLOOKUP(Tabla_Caja[[#This Row],[id_padre]],Tabla_Caja[Id],Tabla_Caja[Codigo_Tecnico],"",0,1)</f>
        <v>CAJA_CONSULTAS_CUSTODIA</v>
      </c>
      <c r="J52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/caja/consultas/custodia/documentos-custodia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documentos-custodia</v>
      </c>
      <c r="L52" s="2" t="s">
        <v>1382</v>
      </c>
      <c r="M52" s="2" t="s">
        <v>208</v>
      </c>
      <c r="N52" s="4" t="s">
        <v>360</v>
      </c>
      <c r="O52" s="4" t="s">
        <v>360</v>
      </c>
      <c r="P52" s="4" t="s">
        <v>360</v>
      </c>
      <c r="Q52" s="4" t="s">
        <v>360</v>
      </c>
      <c r="R52" s="4" t="s">
        <v>360</v>
      </c>
      <c r="S52" s="4" t="s">
        <v>360</v>
      </c>
      <c r="T52" s="4" t="s">
        <v>360</v>
      </c>
      <c r="U52" s="2" t="str">
        <f>IF(Tabla_Caja[[#This Row],[id_padre]]=Tabla_Caja[[#This Row],[Id]],"NOK","OK")</f>
        <v>OK</v>
      </c>
      <c r="V52" s="2"/>
      <c r="W52" s="2"/>
      <c r="X52" s="2"/>
    </row>
    <row r="53" spans="1:24" hidden="1" x14ac:dyDescent="0.5">
      <c r="A53" s="2">
        <f>MAX(Tabla_CKS[Id])</f>
        <v>553</v>
      </c>
      <c r="B53" s="2">
        <v>603</v>
      </c>
      <c r="C53">
        <f>IF(Tabla_Caja[[#This Row],[id_padre]]="",0,_xlfn.XLOOKUP(Tabla_Caja[[#This Row],[id_padre]],Tabla_Caja[Id],Tabla_Caja[Nivel],0,0,1)+1)</f>
        <v>3</v>
      </c>
      <c r="D53" s="2" t="s">
        <v>533</v>
      </c>
      <c r="E53" s="2">
        <f>IF(Tabla_Caja[[#This Row],[id_anterior]]=1,ROW()-1,SUM(ROW()-1,Tabla_Caja[[#This Row],[id_anterior]]))</f>
        <v>605</v>
      </c>
      <c r="F53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CAJA_CONSULTAS_CUSTODIA_DOCUMENTOS_CUSTODIA_VENCIDOS</v>
      </c>
      <c r="G53" s="2" t="str">
        <f>CLEAN(PROPER(Tabla_Caja[[#This Row],[Nombre Opción]]))</f>
        <v>Documentos En Custodia Vencidos</v>
      </c>
      <c r="H53" s="2" t="s">
        <v>1735</v>
      </c>
      <c r="I53" s="2" t="str">
        <f>_xlfn.XLOOKUP(Tabla_Caja[[#This Row],[id_padre]],Tabla_Caja[Id],Tabla_Caja[Codigo_Tecnico],"",0,1)</f>
        <v>CAJA_CONSULTAS_CUSTODIA</v>
      </c>
      <c r="J53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/caja/consultas/custodia/documentos-custodia-vencidos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documentos-custodia-vencidos</v>
      </c>
      <c r="L53" s="2" t="s">
        <v>1383</v>
      </c>
      <c r="M53" s="2" t="s">
        <v>208</v>
      </c>
      <c r="N53" s="4" t="s">
        <v>360</v>
      </c>
      <c r="O53" s="4" t="s">
        <v>360</v>
      </c>
      <c r="P53" s="4" t="s">
        <v>360</v>
      </c>
      <c r="Q53" s="4" t="s">
        <v>360</v>
      </c>
      <c r="R53" s="4" t="s">
        <v>360</v>
      </c>
      <c r="S53" s="4" t="s">
        <v>360</v>
      </c>
      <c r="T53" s="4" t="s">
        <v>360</v>
      </c>
      <c r="U53" s="2" t="str">
        <f>IF(Tabla_Caja[[#This Row],[id_padre]]=Tabla_Caja[[#This Row],[Id]],"NOK","OK")</f>
        <v>OK</v>
      </c>
      <c r="V53" s="2"/>
      <c r="W53" s="2"/>
      <c r="X53" s="2"/>
    </row>
    <row r="54" spans="1:24" hidden="1" x14ac:dyDescent="0.5">
      <c r="A54" s="2">
        <f>MAX(Tabla_CKS[Id])</f>
        <v>553</v>
      </c>
      <c r="B54" s="2">
        <v>603</v>
      </c>
      <c r="C54">
        <f>IF(Tabla_Caja[[#This Row],[id_padre]]="",0,_xlfn.XLOOKUP(Tabla_Caja[[#This Row],[id_padre]],Tabla_Caja[Id],Tabla_Caja[Nivel],0,0,1)+1)</f>
        <v>3</v>
      </c>
      <c r="D54" s="2" t="s">
        <v>534</v>
      </c>
      <c r="E54" s="2">
        <f>IF(Tabla_Caja[[#This Row],[id_anterior]]=1,ROW()-1,SUM(ROW()-1,Tabla_Caja[[#This Row],[id_anterior]]))</f>
        <v>606</v>
      </c>
      <c r="F54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CAJA_CONSULTAS_CUSTODIA_DOCUMENTOS_CUSTODIA_POR_VENCER</v>
      </c>
      <c r="G54" s="2" t="str">
        <f>CLEAN(PROPER(Tabla_Caja[[#This Row],[Nombre Opción]]))</f>
        <v>Documentos En Custodia Por Vencer</v>
      </c>
      <c r="H54" s="2" t="s">
        <v>1735</v>
      </c>
      <c r="I54" s="2" t="str">
        <f>_xlfn.XLOOKUP(Tabla_Caja[[#This Row],[id_padre]],Tabla_Caja[Id],Tabla_Caja[Codigo_Tecnico],"",0,1)</f>
        <v>CAJA_CONSULTAS_CUSTODIA</v>
      </c>
      <c r="J54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/caja/consultas/custodia/documentos-custodia-por-vencer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documentos-custodia-por-vencer</v>
      </c>
      <c r="L54" s="2" t="s">
        <v>1384</v>
      </c>
      <c r="M54" s="2" t="s">
        <v>208</v>
      </c>
      <c r="N54" s="4" t="s">
        <v>360</v>
      </c>
      <c r="O54" s="4" t="s">
        <v>360</v>
      </c>
      <c r="P54" s="4" t="s">
        <v>360</v>
      </c>
      <c r="Q54" s="4" t="s">
        <v>360</v>
      </c>
      <c r="R54" s="4" t="s">
        <v>360</v>
      </c>
      <c r="S54" s="4" t="s">
        <v>360</v>
      </c>
      <c r="T54" s="4" t="s">
        <v>360</v>
      </c>
      <c r="U54" s="2" t="str">
        <f>IF(Tabla_Caja[[#This Row],[id_padre]]=Tabla_Caja[[#This Row],[Id]],"NOK","OK")</f>
        <v>OK</v>
      </c>
      <c r="V54" s="2"/>
      <c r="W54" s="2"/>
      <c r="X54" s="2"/>
    </row>
    <row r="55" spans="1:24" hidden="1" x14ac:dyDescent="0.5">
      <c r="A55" s="2">
        <f>MAX(Tabla_CKS[Id])</f>
        <v>553</v>
      </c>
      <c r="B55" s="2">
        <v>603</v>
      </c>
      <c r="C55">
        <f>IF(Tabla_Caja[[#This Row],[id_padre]]="",0,_xlfn.XLOOKUP(Tabla_Caja[[#This Row],[id_padre]],Tabla_Caja[Id],Tabla_Caja[Nivel],0,0,1)+1)</f>
        <v>3</v>
      </c>
      <c r="D55" s="2" t="s">
        <v>535</v>
      </c>
      <c r="E55" s="2">
        <f>IF(Tabla_Caja[[#This Row],[id_anterior]]=1,ROW()-1,SUM(ROW()-1,Tabla_Caja[[#This Row],[id_anterior]]))</f>
        <v>607</v>
      </c>
      <c r="F55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CAJA_CONSULTAS_CUSTODIA_DOCUMENTOS_ENTREGADOS_CUSTODIA</v>
      </c>
      <c r="G55" s="2" t="str">
        <f>CLEAN(PROPER(Tabla_Caja[[#This Row],[Nombre Opción]]))</f>
        <v>Documentos Entregados De Custodia</v>
      </c>
      <c r="H55" s="2" t="s">
        <v>1735</v>
      </c>
      <c r="I55" s="2" t="str">
        <f>_xlfn.XLOOKUP(Tabla_Caja[[#This Row],[id_padre]],Tabla_Caja[Id],Tabla_Caja[Codigo_Tecnico],"",0,1)</f>
        <v>CAJA_CONSULTAS_CUSTODIA</v>
      </c>
      <c r="J55" s="2" t="str">
        <f>IF(Tabla_Caja[[#This Row],[Nivel]]=0,CONCATENATE("/",Tabla_Caja[[#This Row],[Slug]]),CONCATENATE(_xlfn.XLOOKUP(Tabla_Caja[[#This Row],[id_padre]],Tabla_Caja[Id],Tabla_Caja[Ruta_Web],"",0,1),"/",Tabla_Caja[[#This Row],[Slug]]))</f>
        <v>/caja/consultas/custodia/documentos-entregados-custodia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documentos-entregados-custodia</v>
      </c>
      <c r="L55" s="2" t="s">
        <v>1385</v>
      </c>
      <c r="M55" s="2" t="s">
        <v>208</v>
      </c>
      <c r="N55" s="4" t="s">
        <v>360</v>
      </c>
      <c r="O55" s="4" t="s">
        <v>360</v>
      </c>
      <c r="P55" s="4" t="s">
        <v>360</v>
      </c>
      <c r="Q55" s="4" t="s">
        <v>360</v>
      </c>
      <c r="R55" s="4" t="s">
        <v>360</v>
      </c>
      <c r="S55" s="4" t="s">
        <v>360</v>
      </c>
      <c r="T55" s="4" t="s">
        <v>360</v>
      </c>
      <c r="U55" s="2" t="str">
        <f>IF(Tabla_Caja[[#This Row],[id_padre]]=Tabla_Caja[[#This Row],[Id]],"NOK","OK")</f>
        <v>OK</v>
      </c>
      <c r="V55" s="2"/>
      <c r="W55" s="2"/>
      <c r="X55" s="2"/>
    </row>
    <row r="56" spans="1:24" hidden="1" x14ac:dyDescent="0.5">
      <c r="A56" s="2">
        <f>MAX(Tabla_CKS[Id])</f>
        <v>553</v>
      </c>
      <c r="B56" s="2">
        <v>558</v>
      </c>
      <c r="C56">
        <f>IF(Tabla_Caja[[#This Row],[id_padre]]="",0,_xlfn.XLOOKUP(Tabla_Caja[[#This Row],[id_padre]],Tabla_Caja[Id],Tabla_Caja[Nivel],0,0,1)+1)</f>
        <v>2</v>
      </c>
      <c r="D56" s="2" t="s">
        <v>536</v>
      </c>
      <c r="E56" s="2">
        <f>IF(Tabla_Caja[[#This Row],[id_anterior]]=1,ROW()-1,SUM(ROW()-1,Tabla_Caja[[#This Row],[id_anterior]]))</f>
        <v>608</v>
      </c>
      <c r="F56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CAJA_INFORMES_ARQUEO_DIARIO</v>
      </c>
      <c r="G56" s="2" t="str">
        <f>CLEAN(PROPER(Tabla_Caja[[#This Row],[Nombre Opción]]))</f>
        <v>Arqueo Diario</v>
      </c>
      <c r="H56" s="2" t="s">
        <v>1735</v>
      </c>
      <c r="I56" s="2" t="str">
        <f>_xlfn.XLOOKUP(Tabla_Caja[[#This Row],[id_padre]],Tabla_Caja[Id],Tabla_Caja[Codigo_Tecnico],"",0,1)</f>
        <v>CAJA_INFORMES</v>
      </c>
      <c r="J56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/caja/informes/arqueo-diario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arqueo-diario</v>
      </c>
      <c r="L56" s="2" t="s">
        <v>1386</v>
      </c>
      <c r="M56" s="2" t="s">
        <v>208</v>
      </c>
      <c r="N56" s="4" t="s">
        <v>360</v>
      </c>
      <c r="O56" s="4" t="s">
        <v>360</v>
      </c>
      <c r="P56" s="4" t="s">
        <v>360</v>
      </c>
      <c r="Q56" s="4" t="s">
        <v>360</v>
      </c>
      <c r="R56" s="4" t="s">
        <v>360</v>
      </c>
      <c r="S56" s="4" t="s">
        <v>360</v>
      </c>
      <c r="T56" s="4" t="s">
        <v>360</v>
      </c>
      <c r="U56" s="2" t="str">
        <f>IF(Tabla_Caja[[#This Row],[id_padre]]=Tabla_Caja[[#This Row],[Id]],"NOK","OK")</f>
        <v>OK</v>
      </c>
      <c r="V56" s="2"/>
      <c r="W56" s="2"/>
      <c r="X56" s="2"/>
    </row>
    <row r="57" spans="1:24" hidden="1" x14ac:dyDescent="0.5">
      <c r="A57" s="2">
        <f>MAX(Tabla_CKS[Id])</f>
        <v>553</v>
      </c>
      <c r="B57" s="2">
        <v>558</v>
      </c>
      <c r="C57">
        <f>IF(Tabla_Caja[[#This Row],[id_padre]]="",0,_xlfn.XLOOKUP(Tabla_Caja[[#This Row],[id_padre]],Tabla_Caja[Id],Tabla_Caja[Nivel],0,0,1)+1)</f>
        <v>2</v>
      </c>
      <c r="D57" s="2" t="s">
        <v>513</v>
      </c>
      <c r="E57" s="2">
        <f>IF(Tabla_Caja[[#This Row],[id_anterior]]=1,ROW()-1,SUM(ROW()-1,Tabla_Caja[[#This Row],[id_anterior]]))</f>
        <v>609</v>
      </c>
      <c r="F57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</v>
      </c>
      <c r="G57" s="2" t="str">
        <f>CLEAN(PROPER(Tabla_Caja[[#This Row],[Nombre Opción]]))</f>
        <v>Comprobantes</v>
      </c>
      <c r="H57" s="2" t="s">
        <v>1735</v>
      </c>
      <c r="I57" s="2" t="str">
        <f>_xlfn.XLOOKUP(Tabla_Caja[[#This Row],[id_padre]],Tabla_Caja[Id],Tabla_Caja[Codigo_Tecnico],"",0,1)</f>
        <v>CAJA_INFORMES</v>
      </c>
      <c r="J57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comprobantes</v>
      </c>
      <c r="L57" s="2" t="s">
        <v>1387</v>
      </c>
      <c r="M57" s="2" t="s">
        <v>208</v>
      </c>
      <c r="N57" s="4" t="s">
        <v>360</v>
      </c>
      <c r="O57" s="4" t="s">
        <v>360</v>
      </c>
      <c r="P57" s="4" t="s">
        <v>360</v>
      </c>
      <c r="Q57" s="4" t="s">
        <v>360</v>
      </c>
      <c r="R57" s="4" t="s">
        <v>360</v>
      </c>
      <c r="S57" s="4" t="s">
        <v>360</v>
      </c>
      <c r="T57" s="4" t="s">
        <v>360</v>
      </c>
      <c r="U57" s="2" t="str">
        <f>IF(Tabla_Caja[[#This Row],[id_padre]]=Tabla_Caja[[#This Row],[Id]],"NOK","OK")</f>
        <v>OK</v>
      </c>
      <c r="V57" s="2"/>
      <c r="W57" s="2"/>
      <c r="X57" s="2"/>
    </row>
    <row r="58" spans="1:24" hidden="1" x14ac:dyDescent="0.5">
      <c r="A58" s="2">
        <f>MAX(Tabla_CKS[Id])</f>
        <v>553</v>
      </c>
      <c r="B58" s="2">
        <v>609</v>
      </c>
      <c r="C58">
        <f>IF(Tabla_Caja[[#This Row],[id_padre]]="",0,_xlfn.XLOOKUP(Tabla_Caja[[#This Row],[id_padre]],Tabla_Caja[Id],Tabla_Caja[Nivel],0,0,1)+1)</f>
        <v>3</v>
      </c>
      <c r="D58" s="2" t="s">
        <v>514</v>
      </c>
      <c r="E58" s="2">
        <f>IF(Tabla_Caja[[#This Row],[id_anterior]]=1,ROW()-1,SUM(ROW()-1,Tabla_Caja[[#This Row],[id_anterior]]))</f>
        <v>610</v>
      </c>
      <c r="F58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CAJA_INFORMES_COMPROBANTES_DE_INGRESO_CAJA</v>
      </c>
      <c r="G58" s="2" t="str">
        <f>CLEAN(PROPER(Tabla_Caja[[#This Row],[Nombre Opción]]))</f>
        <v>De Ingreso A Caja</v>
      </c>
      <c r="H58" s="2" t="s">
        <v>1735</v>
      </c>
      <c r="I58" s="2" t="str">
        <f>_xlfn.XLOOKUP(Tabla_Caja[[#This Row],[id_padre]],Tabla_Caja[Id],Tabla_Caja[Codigo_Tecnico],"",0,1)</f>
        <v>CAJA_INFORMES_COMPROBANTES</v>
      </c>
      <c r="J58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/caja/informes/comprobantes/de-ingreso-caja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de-ingreso-caja</v>
      </c>
      <c r="L58" s="2" t="s">
        <v>1365</v>
      </c>
      <c r="M58" s="2" t="s">
        <v>208</v>
      </c>
      <c r="N58" s="4" t="s">
        <v>360</v>
      </c>
      <c r="O58" s="4" t="s">
        <v>360</v>
      </c>
      <c r="P58" s="4" t="s">
        <v>360</v>
      </c>
      <c r="Q58" s="4" t="s">
        <v>360</v>
      </c>
      <c r="R58" s="4" t="s">
        <v>360</v>
      </c>
      <c r="S58" s="4" t="s">
        <v>360</v>
      </c>
      <c r="T58" s="4" t="s">
        <v>360</v>
      </c>
      <c r="U58" s="2" t="str">
        <f>IF(Tabla_Caja[[#This Row],[id_padre]]=Tabla_Caja[[#This Row],[Id]],"NOK","OK")</f>
        <v>OK</v>
      </c>
      <c r="V58" s="2"/>
      <c r="W58" s="2"/>
      <c r="X58" s="2"/>
    </row>
    <row r="59" spans="1:24" hidden="1" x14ac:dyDescent="0.5">
      <c r="A59" s="2">
        <f>MAX(Tabla_CKS[Id])</f>
        <v>553</v>
      </c>
      <c r="B59" s="2">
        <v>609</v>
      </c>
      <c r="C59">
        <f>IF(Tabla_Caja[[#This Row],[id_padre]]="",0,_xlfn.XLOOKUP(Tabla_Caja[[#This Row],[id_padre]],Tabla_Caja[Id],Tabla_Caja[Nivel],0,0,1)+1)</f>
        <v>3</v>
      </c>
      <c r="D59" s="2" t="s">
        <v>537</v>
      </c>
      <c r="E59" s="2">
        <f>IF(Tabla_Caja[[#This Row],[id_anterior]]=1,ROW()-1,SUM(ROW()-1,Tabla_Caja[[#This Row],[id_anterior]]))</f>
        <v>611</v>
      </c>
      <c r="F59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CAJA_INFORMES_COMPROBANTES_DE_INGRESO_BANCO</v>
      </c>
      <c r="G59" s="2" t="str">
        <f>CLEAN(PROPER(Tabla_Caja[[#This Row],[Nombre Opción]]))</f>
        <v>De Ingreso A Banco</v>
      </c>
      <c r="H59" s="2" t="s">
        <v>1735</v>
      </c>
      <c r="I59" s="2" t="str">
        <f>_xlfn.XLOOKUP(Tabla_Caja[[#This Row],[id_padre]],Tabla_Caja[Id],Tabla_Caja[Codigo_Tecnico],"",0,1)</f>
        <v>CAJA_INFORMES_COMPROBANTES</v>
      </c>
      <c r="J59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/caja/informes/comprobantes/de-ingreso-banco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de-ingreso-banco</v>
      </c>
      <c r="L59" s="2" t="s">
        <v>1367</v>
      </c>
      <c r="M59" s="2" t="s">
        <v>208</v>
      </c>
      <c r="N59" s="4" t="s">
        <v>360</v>
      </c>
      <c r="O59" s="4" t="s">
        <v>360</v>
      </c>
      <c r="P59" s="4" t="s">
        <v>360</v>
      </c>
      <c r="Q59" s="4" t="s">
        <v>360</v>
      </c>
      <c r="R59" s="4" t="s">
        <v>360</v>
      </c>
      <c r="S59" s="4" t="s">
        <v>360</v>
      </c>
      <c r="T59" s="4" t="s">
        <v>360</v>
      </c>
      <c r="U59" s="2" t="str">
        <f>IF(Tabla_Caja[[#This Row],[id_padre]]=Tabla_Caja[[#This Row],[Id]],"NOK","OK")</f>
        <v>OK</v>
      </c>
      <c r="V59" s="2"/>
      <c r="W59" s="2"/>
      <c r="X59" s="2"/>
    </row>
    <row r="60" spans="1:24" hidden="1" x14ac:dyDescent="0.5">
      <c r="A60" s="2">
        <f>MAX(Tabla_CKS[Id])</f>
        <v>553</v>
      </c>
      <c r="B60" s="2">
        <v>609</v>
      </c>
      <c r="C60">
        <f>IF(Tabla_Caja[[#This Row],[id_padre]]="",0,_xlfn.XLOOKUP(Tabla_Caja[[#This Row],[id_padre]],Tabla_Caja[Id],Tabla_Caja[Nivel],0,0,1)+1)</f>
        <v>3</v>
      </c>
      <c r="D60" s="2" t="s">
        <v>515</v>
      </c>
      <c r="E60" s="2">
        <f>IF(Tabla_Caja[[#This Row],[id_anterior]]=1,ROW()-1,SUM(ROW()-1,Tabla_Caja[[#This Row],[id_anterior]]))</f>
        <v>612</v>
      </c>
      <c r="F60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CAJA_INFORMES_COMPROBANTES_POR_DIA</v>
      </c>
      <c r="G60" s="2" t="str">
        <f>CLEAN(PROPER(Tabla_Caja[[#This Row],[Nombre Opción]]))</f>
        <v>Por Dia</v>
      </c>
      <c r="H60" s="2" t="s">
        <v>1735</v>
      </c>
      <c r="I60" s="2" t="str">
        <f>_xlfn.XLOOKUP(Tabla_Caja[[#This Row],[id_padre]],Tabla_Caja[Id],Tabla_Caja[Codigo_Tecnico],"",0,1)</f>
        <v>CAJA_INFORMES_COMPROBANTES</v>
      </c>
      <c r="J60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/caja/informes/comprobantes/por-dia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por-dia</v>
      </c>
      <c r="L60" s="2" t="s">
        <v>1366</v>
      </c>
      <c r="M60" s="2" t="s">
        <v>208</v>
      </c>
      <c r="N60" s="4" t="s">
        <v>360</v>
      </c>
      <c r="O60" s="4" t="s">
        <v>360</v>
      </c>
      <c r="P60" s="4" t="s">
        <v>360</v>
      </c>
      <c r="Q60" s="4" t="s">
        <v>360</v>
      </c>
      <c r="R60" s="4" t="s">
        <v>360</v>
      </c>
      <c r="S60" s="4" t="s">
        <v>360</v>
      </c>
      <c r="T60" s="4" t="s">
        <v>360</v>
      </c>
      <c r="U60" s="2" t="str">
        <f>IF(Tabla_Caja[[#This Row],[id_padre]]=Tabla_Caja[[#This Row],[Id]],"NOK","OK")</f>
        <v>OK</v>
      </c>
      <c r="V60" s="2"/>
      <c r="W60" s="2"/>
      <c r="X60" s="2"/>
    </row>
    <row r="61" spans="1:24" hidden="1" x14ac:dyDescent="0.5">
      <c r="A61" s="2">
        <f>MAX(Tabla_CKS[Id])</f>
        <v>553</v>
      </c>
      <c r="B61" s="2">
        <v>609</v>
      </c>
      <c r="C61">
        <f>IF(Tabla_Caja[[#This Row],[id_padre]]="",0,_xlfn.XLOOKUP(Tabla_Caja[[#This Row],[id_padre]],Tabla_Caja[Id],Tabla_Caja[Nivel],0,0,1)+1)</f>
        <v>3</v>
      </c>
      <c r="D61" s="2" t="s">
        <v>516</v>
      </c>
      <c r="E61" s="2">
        <f>IF(Tabla_Caja[[#This Row],[id_anterior]]=1,ROW()-1,SUM(ROW()-1,Tabla_Caja[[#This Row],[id_anterior]]))</f>
        <v>613</v>
      </c>
      <c r="F61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CAJA_INFORMES_COMPROBANTES_POR_CONTABILIDAD</v>
      </c>
      <c r="G61" s="2" t="str">
        <f>CLEAN(PROPER(Tabla_Caja[[#This Row],[Nombre Opción]]))</f>
        <v>Por Contabilidad</v>
      </c>
      <c r="H61" s="2" t="s">
        <v>1735</v>
      </c>
      <c r="I61" s="2" t="str">
        <f>_xlfn.XLOOKUP(Tabla_Caja[[#This Row],[id_padre]],Tabla_Caja[Id],Tabla_Caja[Codigo_Tecnico],"",0,1)</f>
        <v>CAJA_INFORMES_COMPROBANTES</v>
      </c>
      <c r="J61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/caja/informes/comprobantes/por-contabilidad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por-contabilidad</v>
      </c>
      <c r="L61" s="2" t="s">
        <v>1367</v>
      </c>
      <c r="M61" s="2" t="s">
        <v>208</v>
      </c>
      <c r="N61" s="4" t="s">
        <v>360</v>
      </c>
      <c r="O61" s="4" t="s">
        <v>360</v>
      </c>
      <c r="P61" s="4" t="s">
        <v>360</v>
      </c>
      <c r="Q61" s="4" t="s">
        <v>360</v>
      </c>
      <c r="R61" s="4" t="s">
        <v>360</v>
      </c>
      <c r="S61" s="4" t="s">
        <v>360</v>
      </c>
      <c r="T61" s="4" t="s">
        <v>360</v>
      </c>
      <c r="U61" s="2" t="str">
        <f>IF(Tabla_Caja[[#This Row],[id_padre]]=Tabla_Caja[[#This Row],[Id]],"NOK","OK")</f>
        <v>OK</v>
      </c>
      <c r="V61" s="2"/>
      <c r="W61" s="2"/>
      <c r="X61" s="2"/>
    </row>
    <row r="62" spans="1:24" hidden="1" x14ac:dyDescent="0.5">
      <c r="A62" s="2">
        <f>MAX(Tabla_CKS[Id])</f>
        <v>553</v>
      </c>
      <c r="B62" s="2">
        <v>609</v>
      </c>
      <c r="C62">
        <f>IF(Tabla_Caja[[#This Row],[id_padre]]="",0,_xlfn.XLOOKUP(Tabla_Caja[[#This Row],[id_padre]],Tabla_Caja[Id],Tabla_Caja[Nivel],0,0,1)+1)</f>
        <v>3</v>
      </c>
      <c r="D62" s="2" t="s">
        <v>129</v>
      </c>
      <c r="E62" s="2">
        <f>IF(Tabla_Caja[[#This Row],[id_anterior]]=1,ROW()-1,SUM(ROW()-1,Tabla_Caja[[#This Row],[id_anterior]]))</f>
        <v>614</v>
      </c>
      <c r="F6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CAJA_INFORMES_COMPROBANTES_POR_UNIDAD_INTERNA</v>
      </c>
      <c r="G62" s="2" t="str">
        <f>CLEAN(PROPER(Tabla_Caja[[#This Row],[Nombre Opción]]))</f>
        <v>Por Unidad Interna</v>
      </c>
      <c r="H62" s="2" t="s">
        <v>1735</v>
      </c>
      <c r="I62" s="2" t="str">
        <f>_xlfn.XLOOKUP(Tabla_Caja[[#This Row],[id_padre]],Tabla_Caja[Id],Tabla_Caja[Codigo_Tecnico],"",0,1)</f>
        <v>CAJA_INFORMES_COMPROBANTES</v>
      </c>
      <c r="J62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/caja/informes/comprobantes/por-unidad-interna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por-unidad-interna</v>
      </c>
      <c r="L62" s="2" t="s">
        <v>1389</v>
      </c>
      <c r="M62" s="2" t="s">
        <v>208</v>
      </c>
      <c r="N62" s="4" t="s">
        <v>360</v>
      </c>
      <c r="O62" s="4" t="s">
        <v>360</v>
      </c>
      <c r="P62" s="4" t="s">
        <v>360</v>
      </c>
      <c r="Q62" s="4" t="s">
        <v>360</v>
      </c>
      <c r="R62" s="4" t="s">
        <v>360</v>
      </c>
      <c r="S62" s="4" t="s">
        <v>360</v>
      </c>
      <c r="T62" s="4" t="s">
        <v>360</v>
      </c>
      <c r="U62" s="2" t="str">
        <f>IF(Tabla_Caja[[#This Row],[id_padre]]=Tabla_Caja[[#This Row],[Id]],"NOK","OK")</f>
        <v>OK</v>
      </c>
      <c r="V62" s="2"/>
      <c r="W62" s="2"/>
      <c r="X62" s="2"/>
    </row>
    <row r="63" spans="1:24" hidden="1" x14ac:dyDescent="0.5">
      <c r="A63" s="2">
        <f>MAX(Tabla_CKS[Id])</f>
        <v>553</v>
      </c>
      <c r="B63" s="2">
        <v>609</v>
      </c>
      <c r="C63">
        <f>IF(Tabla_Caja[[#This Row],[id_padre]]="",0,_xlfn.XLOOKUP(Tabla_Caja[[#This Row],[id_padre]],Tabla_Caja[Id],Tabla_Caja[Nivel],0,0,1)+1)</f>
        <v>3</v>
      </c>
      <c r="D63" s="2" t="s">
        <v>538</v>
      </c>
      <c r="E63" s="2">
        <f>IF(Tabla_Caja[[#This Row],[id_anterior]]=1,ROW()-1,SUM(ROW()-1,Tabla_Caja[[#This Row],[id_anterior]]))</f>
        <v>615</v>
      </c>
      <c r="F63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CAJA_INFORMES_COMPROBANTES_POR_VENTA_CREDITO</v>
      </c>
      <c r="G63" s="2" t="str">
        <f>CLEAN(PROPER(Tabla_Caja[[#This Row],[Nombre Opción]]))</f>
        <v>Por Venta Credito</v>
      </c>
      <c r="H63" s="2" t="s">
        <v>1735</v>
      </c>
      <c r="I63" s="2" t="str">
        <f>_xlfn.XLOOKUP(Tabla_Caja[[#This Row],[id_padre]],Tabla_Caja[Id],Tabla_Caja[Codigo_Tecnico],"",0,1)</f>
        <v>CAJA_INFORMES_COMPROBANTES</v>
      </c>
      <c r="J63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/caja/informes/comprobantes/por-venta-credito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por-venta-credito</v>
      </c>
      <c r="L63" s="2" t="s">
        <v>1347</v>
      </c>
      <c r="M63" s="2" t="s">
        <v>208</v>
      </c>
      <c r="N63" s="4" t="s">
        <v>360</v>
      </c>
      <c r="O63" s="4" t="s">
        <v>360</v>
      </c>
      <c r="P63" s="4" t="s">
        <v>360</v>
      </c>
      <c r="Q63" s="4" t="s">
        <v>360</v>
      </c>
      <c r="R63" s="4" t="s">
        <v>360</v>
      </c>
      <c r="S63" s="4" t="s">
        <v>360</v>
      </c>
      <c r="T63" s="4" t="s">
        <v>360</v>
      </c>
      <c r="U63" s="2" t="str">
        <f>IF(Tabla_Caja[[#This Row],[id_padre]]=Tabla_Caja[[#This Row],[Id]],"NOK","OK")</f>
        <v>OK</v>
      </c>
      <c r="V63" s="2"/>
      <c r="W63" s="2"/>
      <c r="X63" s="2"/>
    </row>
    <row r="64" spans="1:24" hidden="1" x14ac:dyDescent="0.5">
      <c r="A64" s="2">
        <f>MAX(Tabla_CKS[Id])</f>
        <v>553</v>
      </c>
      <c r="B64" s="2">
        <v>609</v>
      </c>
      <c r="C64">
        <f>IF(Tabla_Caja[[#This Row],[id_padre]]="",0,_xlfn.XLOOKUP(Tabla_Caja[[#This Row],[id_padre]],Tabla_Caja[Id],Tabla_Caja[Nivel],0,0,1)+1)</f>
        <v>3</v>
      </c>
      <c r="D64" s="2" t="s">
        <v>518</v>
      </c>
      <c r="E64" s="2">
        <f>IF(Tabla_Caja[[#This Row],[id_anterior]]=1,ROW()-1,SUM(ROW()-1,Tabla_Caja[[#This Row],[id_anterior]]))</f>
        <v>616</v>
      </c>
      <c r="F64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CAJA_INFORMES_COMPROBANTES_ANULADOS</v>
      </c>
      <c r="G64" s="2" t="str">
        <f>CLEAN(PROPER(Tabla_Caja[[#This Row],[Nombre Opción]]))</f>
        <v>Anulados</v>
      </c>
      <c r="H64" s="2" t="s">
        <v>1735</v>
      </c>
      <c r="I64" s="2" t="str">
        <f>_xlfn.XLOOKUP(Tabla_Caja[[#This Row],[id_padre]],Tabla_Caja[Id],Tabla_Caja[Codigo_Tecnico],"",0,1)</f>
        <v>CAJA_INFORMES_COMPROBANTES</v>
      </c>
      <c r="J64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/caja/informes/comprobantes/anulados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anulados</v>
      </c>
      <c r="L64" s="2" t="s">
        <v>1368</v>
      </c>
      <c r="M64" s="2" t="s">
        <v>208</v>
      </c>
      <c r="N64" s="4" t="s">
        <v>360</v>
      </c>
      <c r="O64" s="4" t="s">
        <v>360</v>
      </c>
      <c r="P64" s="4" t="s">
        <v>360</v>
      </c>
      <c r="Q64" s="4" t="s">
        <v>360</v>
      </c>
      <c r="R64" s="4" t="s">
        <v>360</v>
      </c>
      <c r="S64" s="4" t="s">
        <v>360</v>
      </c>
      <c r="T64" s="4" t="s">
        <v>360</v>
      </c>
      <c r="U64" s="2" t="str">
        <f>IF(Tabla_Caja[[#This Row],[id_padre]]=Tabla_Caja[[#This Row],[Id]],"NOK","OK")</f>
        <v>OK</v>
      </c>
      <c r="V64" s="2"/>
      <c r="W64" s="2"/>
      <c r="X64" s="2"/>
    </row>
    <row r="65" spans="1:24" hidden="1" x14ac:dyDescent="0.5">
      <c r="A65" s="2">
        <f>MAX(Tabla_CKS[Id])</f>
        <v>553</v>
      </c>
      <c r="B65" s="2">
        <v>609</v>
      </c>
      <c r="C65">
        <f>IF(Tabla_Caja[[#This Row],[id_padre]]="",0,_xlfn.XLOOKUP(Tabla_Caja[[#This Row],[id_padre]],Tabla_Caja[Id],Tabla_Caja[Nivel],0,0,1)+1)</f>
        <v>3</v>
      </c>
      <c r="D65" s="2" t="s">
        <v>517</v>
      </c>
      <c r="E65" s="2">
        <f>IF(Tabla_Caja[[#This Row],[id_anterior]]=1,ROW()-1,SUM(ROW()-1,Tabla_Caja[[#This Row],[id_anterior]]))</f>
        <v>617</v>
      </c>
      <c r="F65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CAJA_INFORMES_COMPROBANTES_POR_CAJA_RECAUDADORA</v>
      </c>
      <c r="G65" s="2" t="str">
        <f>CLEAN(PROPER(Tabla_Caja[[#This Row],[Nombre Opción]]))</f>
        <v>Por Caja Recaudadora</v>
      </c>
      <c r="H65" s="2" t="s">
        <v>1735</v>
      </c>
      <c r="I65" s="2" t="str">
        <f>_xlfn.XLOOKUP(Tabla_Caja[[#This Row],[id_padre]],Tabla_Caja[Id],Tabla_Caja[Codigo_Tecnico],"",0,1)</f>
        <v>CAJA_INFORMES_COMPROBANTES</v>
      </c>
      <c r="J65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/caja/informes/comprobantes/por-caja-recaudadora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por-caja-recaudadora</v>
      </c>
      <c r="L65" s="2" t="s">
        <v>1336</v>
      </c>
      <c r="M65" s="2" t="s">
        <v>208</v>
      </c>
      <c r="N65" s="4" t="s">
        <v>360</v>
      </c>
      <c r="O65" s="4" t="s">
        <v>360</v>
      </c>
      <c r="P65" s="4" t="s">
        <v>360</v>
      </c>
      <c r="Q65" s="4" t="s">
        <v>360</v>
      </c>
      <c r="R65" s="4" t="s">
        <v>360</v>
      </c>
      <c r="S65" s="4" t="s">
        <v>360</v>
      </c>
      <c r="T65" s="4" t="s">
        <v>360</v>
      </c>
      <c r="U65" s="2" t="str">
        <f>IF(Tabla_Caja[[#This Row],[id_padre]]=Tabla_Caja[[#This Row],[Id]],"NOK","OK")</f>
        <v>OK</v>
      </c>
      <c r="V65" s="2"/>
      <c r="W65" s="2"/>
      <c r="X65" s="2"/>
    </row>
    <row r="66" spans="1:24" hidden="1" x14ac:dyDescent="0.5">
      <c r="A66" s="2">
        <f>MAX(Tabla_CKS[Id])</f>
        <v>553</v>
      </c>
      <c r="B66" s="2">
        <v>609</v>
      </c>
      <c r="C66">
        <f>IF(Tabla_Caja[[#This Row],[id_padre]]="",0,_xlfn.XLOOKUP(Tabla_Caja[[#This Row],[id_padre]],Tabla_Caja[Id],Tabla_Caja[Nivel],0,0,1)+1)</f>
        <v>3</v>
      </c>
      <c r="D66" s="2" t="s">
        <v>539</v>
      </c>
      <c r="E66" s="2">
        <f>IF(Tabla_Caja[[#This Row],[id_anterior]]=1,ROW()-1,SUM(ROW()-1,Tabla_Caja[[#This Row],[id_anterior]]))</f>
        <v>618</v>
      </c>
      <c r="F66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CAJA_INFORMES_COMPROBANTES_DETALLE_POR_DIA</v>
      </c>
      <c r="G66" s="2" t="str">
        <f>CLEAN(PROPER(Tabla_Caja[[#This Row],[Nombre Opción]]))</f>
        <v>Detalle Por Dia</v>
      </c>
      <c r="H66" s="2" t="s">
        <v>1735</v>
      </c>
      <c r="I66" s="2" t="str">
        <f>_xlfn.XLOOKUP(Tabla_Caja[[#This Row],[id_padre]],Tabla_Caja[Id],Tabla_Caja[Codigo_Tecnico],"",0,1)</f>
        <v>CAJA_INFORMES_COMPROBANTES</v>
      </c>
      <c r="J66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/caja/informes/comprobantes/detalle-por-dia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detalle-por-dia</v>
      </c>
      <c r="L66" s="2" t="s">
        <v>1391</v>
      </c>
      <c r="M66" s="2" t="s">
        <v>208</v>
      </c>
      <c r="N66" s="4" t="s">
        <v>360</v>
      </c>
      <c r="O66" s="4" t="s">
        <v>360</v>
      </c>
      <c r="P66" s="4" t="s">
        <v>360</v>
      </c>
      <c r="Q66" s="4" t="s">
        <v>360</v>
      </c>
      <c r="R66" s="4" t="s">
        <v>360</v>
      </c>
      <c r="S66" s="4" t="s">
        <v>360</v>
      </c>
      <c r="T66" s="4" t="s">
        <v>360</v>
      </c>
      <c r="U66" s="2" t="str">
        <f>IF(Tabla_Caja[[#This Row],[id_padre]]=Tabla_Caja[[#This Row],[Id]],"NOK","OK")</f>
        <v>OK</v>
      </c>
      <c r="V66" s="2"/>
      <c r="W66" s="2"/>
      <c r="X66" s="2"/>
    </row>
    <row r="67" spans="1:24" hidden="1" x14ac:dyDescent="0.5">
      <c r="A67" s="2">
        <f>MAX(Tabla_CKS[Id])</f>
        <v>553</v>
      </c>
      <c r="B67" s="2">
        <v>609</v>
      </c>
      <c r="C67">
        <f>IF(Tabla_Caja[[#This Row],[id_padre]]="",0,_xlfn.XLOOKUP(Tabla_Caja[[#This Row],[id_padre]],Tabla_Caja[Id],Tabla_Caja[Nivel],0,0,1)+1)</f>
        <v>3</v>
      </c>
      <c r="D67" s="2" t="s">
        <v>519</v>
      </c>
      <c r="E67" s="2">
        <f>IF(Tabla_Caja[[#This Row],[id_anterior]]=1,ROW()-1,SUM(ROW()-1,Tabla_Caja[[#This Row],[id_anterior]]))</f>
        <v>619</v>
      </c>
      <c r="F67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CAJA_INFORMES_COMPROBANTES_RELACION_ENTREGA_VALORES_DEPOSITO</v>
      </c>
      <c r="G67" s="2" t="str">
        <f>CLEAN(PROPER(Tabla_Caja[[#This Row],[Nombre Opción]]))</f>
        <v>Relacion De Entrega Valores A Deposito</v>
      </c>
      <c r="H67" s="2" t="s">
        <v>1735</v>
      </c>
      <c r="I67" s="2" t="str">
        <f>_xlfn.XLOOKUP(Tabla_Caja[[#This Row],[id_padre]],Tabla_Caja[Id],Tabla_Caja[Codigo_Tecnico],"",0,1)</f>
        <v>CAJA_INFORMES_COMPROBANTES</v>
      </c>
      <c r="J67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/caja/informes/comprobantes/relacion-entrega-valores-deposito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relacion-entrega-valores-deposito</v>
      </c>
      <c r="L67" s="2" t="s">
        <v>1369</v>
      </c>
      <c r="M67" s="2" t="s">
        <v>208</v>
      </c>
      <c r="N67" s="4" t="s">
        <v>360</v>
      </c>
      <c r="O67" s="4" t="s">
        <v>360</v>
      </c>
      <c r="P67" s="4" t="s">
        <v>360</v>
      </c>
      <c r="Q67" s="4" t="s">
        <v>360</v>
      </c>
      <c r="R67" s="4" t="s">
        <v>360</v>
      </c>
      <c r="S67" s="4" t="s">
        <v>360</v>
      </c>
      <c r="T67" s="4" t="s">
        <v>360</v>
      </c>
      <c r="U67" s="2" t="str">
        <f>IF(Tabla_Caja[[#This Row],[id_padre]]=Tabla_Caja[[#This Row],[Id]],"NOK","OK")</f>
        <v>OK</v>
      </c>
      <c r="V67" s="2"/>
      <c r="W67" s="2"/>
      <c r="X67" s="2"/>
    </row>
    <row r="68" spans="1:24" hidden="1" x14ac:dyDescent="0.5">
      <c r="A68" s="2">
        <f>MAX(Tabla_CKS[Id])</f>
        <v>553</v>
      </c>
      <c r="B68" s="2">
        <v>558</v>
      </c>
      <c r="C68">
        <f>IF(Tabla_Caja[[#This Row],[id_padre]]="",0,_xlfn.XLOOKUP(Tabla_Caja[[#This Row],[id_padre]],Tabla_Caja[Id],Tabla_Caja[Nivel],0,0,1)+1)</f>
        <v>2</v>
      </c>
      <c r="D68" s="2" t="s">
        <v>470</v>
      </c>
      <c r="E68" s="2">
        <f>IF(Tabla_Caja[[#This Row],[id_anterior]]=1,ROW()-1,SUM(ROW()-1,Tabla_Caja[[#This Row],[id_anterior]]))</f>
        <v>620</v>
      </c>
      <c r="F68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CAJA_INFORMES_DEPOSITOS</v>
      </c>
      <c r="G68" s="2" t="str">
        <f>CLEAN(PROPER(Tabla_Caja[[#This Row],[Nombre Opción]]))</f>
        <v>Depositos</v>
      </c>
      <c r="H68" s="2" t="s">
        <v>1735</v>
      </c>
      <c r="I68" s="2" t="str">
        <f>_xlfn.XLOOKUP(Tabla_Caja[[#This Row],[id_padre]],Tabla_Caja[Id],Tabla_Caja[Codigo_Tecnico],"",0,1)</f>
        <v>CAJA_INFORMES</v>
      </c>
      <c r="J68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/caja/informes/depositos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depositos</v>
      </c>
      <c r="L68" s="2" t="s">
        <v>1371</v>
      </c>
      <c r="M68" s="2" t="s">
        <v>208</v>
      </c>
      <c r="N68" s="4" t="s">
        <v>360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T68" s="4" t="s">
        <v>360</v>
      </c>
      <c r="U68" s="2" t="str">
        <f>IF(Tabla_Caja[[#This Row],[id_padre]]=Tabla_Caja[[#This Row],[Id]],"NOK","OK")</f>
        <v>OK</v>
      </c>
      <c r="V68" s="2"/>
      <c r="W68" s="2"/>
      <c r="X68" s="2"/>
    </row>
    <row r="69" spans="1:24" hidden="1" x14ac:dyDescent="0.5">
      <c r="A69" s="2">
        <f>MAX(Tabla_CKS[Id])</f>
        <v>553</v>
      </c>
      <c r="B69" s="2">
        <v>620</v>
      </c>
      <c r="C69">
        <f>IF(Tabla_Caja[[#This Row],[id_padre]]="",0,_xlfn.XLOOKUP(Tabla_Caja[[#This Row],[id_padre]],Tabla_Caja[Id],Tabla_Caja[Nivel],0,0,1)+1)</f>
        <v>3</v>
      </c>
      <c r="D69" s="2" t="s">
        <v>540</v>
      </c>
      <c r="E69" s="2">
        <f>IF(Tabla_Caja[[#This Row],[id_anterior]]=1,ROW()-1,SUM(ROW()-1,Tabla_Caja[[#This Row],[id_anterior]]))</f>
        <v>621</v>
      </c>
      <c r="F69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CAJA_INFORMES_DEPOSITOS_DEPOSITOS_DIARIOS</v>
      </c>
      <c r="G69" s="2" t="str">
        <f>CLEAN(PROPER(Tabla_Caja[[#This Row],[Nombre Opción]]))</f>
        <v>Depositos Diarios</v>
      </c>
      <c r="H69" s="2" t="s">
        <v>1735</v>
      </c>
      <c r="I69" s="2" t="str">
        <f>_xlfn.XLOOKUP(Tabla_Caja[[#This Row],[id_padre]],Tabla_Caja[Id],Tabla_Caja[Codigo_Tecnico],"",0,1)</f>
        <v>CAJA_INFORMES_DEPOSITOS</v>
      </c>
      <c r="J69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/caja/informes/depositos/depositos-diarios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depositos-diarios</v>
      </c>
      <c r="L69" s="2" t="s">
        <v>1393</v>
      </c>
      <c r="M69" s="2" t="s">
        <v>208</v>
      </c>
      <c r="N69" s="4" t="s">
        <v>360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T69" s="4" t="s">
        <v>360</v>
      </c>
      <c r="U69" s="2" t="str">
        <f>IF(Tabla_Caja[[#This Row],[id_padre]]=Tabla_Caja[[#This Row],[Id]],"NOK","OK")</f>
        <v>OK</v>
      </c>
      <c r="V69" s="2"/>
      <c r="W69" s="2"/>
      <c r="X69" s="2"/>
    </row>
    <row r="70" spans="1:24" hidden="1" x14ac:dyDescent="0.5">
      <c r="A70" s="2">
        <f>MAX(Tabla_CKS[Id])</f>
        <v>553</v>
      </c>
      <c r="B70" s="2">
        <v>620</v>
      </c>
      <c r="C70">
        <f>IF(Tabla_Caja[[#This Row],[id_padre]]="",0,_xlfn.XLOOKUP(Tabla_Caja[[#This Row],[id_padre]],Tabla_Caja[Id],Tabla_Caja[Nivel],0,0,1)+1)</f>
        <v>3</v>
      </c>
      <c r="D70" s="2" t="s">
        <v>541</v>
      </c>
      <c r="E70" s="2">
        <f>IF(Tabla_Caja[[#This Row],[id_anterior]]=1,ROW()-1,SUM(ROW()-1,Tabla_Caja[[#This Row],[id_anterior]]))</f>
        <v>622</v>
      </c>
      <c r="F70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CAJA_INFORMES_DEPOSITOS_INGRESOS_POR_DEPOSITAR</v>
      </c>
      <c r="G70" s="2" t="str">
        <f>CLEAN(PROPER(Tabla_Caja[[#This Row],[Nombre Opción]]))</f>
        <v>Ingresos Por Depositar</v>
      </c>
      <c r="H70" s="2" t="s">
        <v>1735</v>
      </c>
      <c r="I70" s="2" t="str">
        <f>_xlfn.XLOOKUP(Tabla_Caja[[#This Row],[id_padre]],Tabla_Caja[Id],Tabla_Caja[Codigo_Tecnico],"",0,1)</f>
        <v>CAJA_INFORMES_DEPOSITOS</v>
      </c>
      <c r="J70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/caja/informes/depositos/ingresos-por-depositar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ingresos-por-depositar</v>
      </c>
      <c r="L70" s="2" t="s">
        <v>1394</v>
      </c>
      <c r="M70" s="2" t="s">
        <v>208</v>
      </c>
      <c r="N70" s="4" t="s">
        <v>360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T70" s="4" t="s">
        <v>360</v>
      </c>
      <c r="U70" s="2" t="str">
        <f>IF(Tabla_Caja[[#This Row],[id_padre]]=Tabla_Caja[[#This Row],[Id]],"NOK","OK")</f>
        <v>OK</v>
      </c>
      <c r="V70" s="2"/>
      <c r="W70" s="2"/>
      <c r="X70" s="2"/>
    </row>
    <row r="71" spans="1:24" hidden="1" x14ac:dyDescent="0.5">
      <c r="A71" s="2">
        <f>MAX(Tabla_CKS[Id])</f>
        <v>553</v>
      </c>
      <c r="B71" s="2">
        <v>558</v>
      </c>
      <c r="C71">
        <f>IF(Tabla_Caja[[#This Row],[id_padre]]="",0,_xlfn.XLOOKUP(Tabla_Caja[[#This Row],[id_padre]],Tabla_Caja[Id],Tabla_Caja[Nivel],0,0,1)+1)</f>
        <v>2</v>
      </c>
      <c r="D71" s="2" t="s">
        <v>523</v>
      </c>
      <c r="E71" s="2">
        <f>IF(Tabla_Caja[[#This Row],[id_anterior]]=1,ROW()-1,SUM(ROW()-1,Tabla_Caja[[#This Row],[id_anterior]]))</f>
        <v>623</v>
      </c>
      <c r="F71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CAJA_INFORMES_CHEQUES</v>
      </c>
      <c r="G71" s="2" t="str">
        <f>CLEAN(PROPER(Tabla_Caja[[#This Row],[Nombre Opción]]))</f>
        <v>Cheques</v>
      </c>
      <c r="H71" s="2" t="s">
        <v>1735</v>
      </c>
      <c r="I71" s="2" t="str">
        <f>_xlfn.XLOOKUP(Tabla_Caja[[#This Row],[id_padre]],Tabla_Caja[Id],Tabla_Caja[Codigo_Tecnico],"",0,1)</f>
        <v>CAJA_INFORMES</v>
      </c>
      <c r="J71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/caja/informes/cheques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cheques</v>
      </c>
      <c r="L71" s="2" t="s">
        <v>1374</v>
      </c>
      <c r="M71" s="2" t="s">
        <v>208</v>
      </c>
      <c r="N71" s="4" t="s">
        <v>360</v>
      </c>
      <c r="O71" s="4" t="s">
        <v>360</v>
      </c>
      <c r="P71" s="4" t="s">
        <v>360</v>
      </c>
      <c r="Q71" s="4" t="s">
        <v>360</v>
      </c>
      <c r="R71" s="4" t="s">
        <v>360</v>
      </c>
      <c r="S71" s="4" t="s">
        <v>360</v>
      </c>
      <c r="T71" s="4" t="s">
        <v>360</v>
      </c>
      <c r="U71" s="2" t="str">
        <f>IF(Tabla_Caja[[#This Row],[id_padre]]=Tabla_Caja[[#This Row],[Id]],"NOK","OK")</f>
        <v>OK</v>
      </c>
      <c r="V71" s="2"/>
      <c r="W71" s="2"/>
      <c r="X71" s="2"/>
    </row>
    <row r="72" spans="1:24" hidden="1" x14ac:dyDescent="0.5">
      <c r="A72" s="2">
        <f>MAX(Tabla_CKS[Id])</f>
        <v>553</v>
      </c>
      <c r="B72" s="2">
        <v>623</v>
      </c>
      <c r="C72">
        <f>IF(Tabla_Caja[[#This Row],[id_padre]]="",0,_xlfn.XLOOKUP(Tabla_Caja[[#This Row],[id_padre]],Tabla_Caja[Id],Tabla_Caja[Nivel],0,0,1)+1)</f>
        <v>3</v>
      </c>
      <c r="D72" s="2" t="s">
        <v>524</v>
      </c>
      <c r="E72" s="2">
        <f>IF(Tabla_Caja[[#This Row],[id_anterior]]=1,ROW()-1,SUM(ROW()-1,Tabla_Caja[[#This Row],[id_anterior]]))</f>
        <v>624</v>
      </c>
      <c r="F7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CAJA_INFORMES_CHEQUES_EN_CAJA</v>
      </c>
      <c r="G72" s="2" t="str">
        <f>CLEAN(PROPER(Tabla_Caja[[#This Row],[Nombre Opción]]))</f>
        <v>En Caja</v>
      </c>
      <c r="H72" s="2" t="s">
        <v>1735</v>
      </c>
      <c r="I72" s="2" t="str">
        <f>_xlfn.XLOOKUP(Tabla_Caja[[#This Row],[id_padre]],Tabla_Caja[Id],Tabla_Caja[Codigo_Tecnico],"",0,1)</f>
        <v>CAJA_INFORMES_CHEQUES</v>
      </c>
      <c r="J72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/caja/informes/cheques/en-caja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en-caja</v>
      </c>
      <c r="L72" s="2" t="s">
        <v>1375</v>
      </c>
      <c r="M72" s="2" t="s">
        <v>208</v>
      </c>
      <c r="N72" s="4" t="s">
        <v>360</v>
      </c>
      <c r="O72" s="4" t="s">
        <v>360</v>
      </c>
      <c r="P72" s="4" t="s">
        <v>360</v>
      </c>
      <c r="Q72" s="4" t="s">
        <v>360</v>
      </c>
      <c r="R72" s="4" t="s">
        <v>360</v>
      </c>
      <c r="S72" s="4" t="s">
        <v>360</v>
      </c>
      <c r="T72" s="4" t="s">
        <v>360</v>
      </c>
      <c r="U72" s="2" t="str">
        <f>IF(Tabla_Caja[[#This Row],[id_padre]]=Tabla_Caja[[#This Row],[Id]],"NOK","OK")</f>
        <v>OK</v>
      </c>
      <c r="V72" s="2"/>
      <c r="W72" s="2"/>
      <c r="X72" s="2"/>
    </row>
    <row r="73" spans="1:24" hidden="1" x14ac:dyDescent="0.5">
      <c r="A73" s="2">
        <f>MAX(Tabla_CKS[Id])</f>
        <v>553</v>
      </c>
      <c r="B73" s="2">
        <v>623</v>
      </c>
      <c r="C73">
        <f>IF(Tabla_Caja[[#This Row],[id_padre]]="",0,_xlfn.XLOOKUP(Tabla_Caja[[#This Row],[id_padre]],Tabla_Caja[Id],Tabla_Caja[Nivel],0,0,1)+1)</f>
        <v>3</v>
      </c>
      <c r="D73" s="2" t="s">
        <v>530</v>
      </c>
      <c r="E73" s="2">
        <f>IF(Tabla_Caja[[#This Row],[id_anterior]]=1,ROW()-1,SUM(ROW()-1,Tabla_Caja[[#This Row],[id_anterior]]))</f>
        <v>625</v>
      </c>
      <c r="F73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CAJA_INFORMES_CHEQUES_EN_CAJA_POR_CONTABILIDAD</v>
      </c>
      <c r="G73" s="2" t="str">
        <f>CLEAN(PROPER(Tabla_Caja[[#This Row],[Nombre Opción]]))</f>
        <v>En Caja Por Contabilidad</v>
      </c>
      <c r="H73" s="2" t="s">
        <v>1735</v>
      </c>
      <c r="I73" s="2" t="str">
        <f>_xlfn.XLOOKUP(Tabla_Caja[[#This Row],[id_padre]],Tabla_Caja[Id],Tabla_Caja[Codigo_Tecnico],"",0,1)</f>
        <v>CAJA_INFORMES_CHEQUES</v>
      </c>
      <c r="J73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/caja/informes/cheques/en-caja-por-contabilidad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en-caja-por-contabilidad</v>
      </c>
      <c r="L73" s="2" t="s">
        <v>1367</v>
      </c>
      <c r="M73" s="2" t="s">
        <v>208</v>
      </c>
      <c r="N73" s="4" t="s">
        <v>360</v>
      </c>
      <c r="O73" s="4" t="s">
        <v>360</v>
      </c>
      <c r="P73" s="4" t="s">
        <v>360</v>
      </c>
      <c r="Q73" s="4" t="s">
        <v>360</v>
      </c>
      <c r="R73" s="4" t="s">
        <v>360</v>
      </c>
      <c r="S73" s="4" t="s">
        <v>360</v>
      </c>
      <c r="T73" s="4" t="s">
        <v>360</v>
      </c>
      <c r="U73" s="2" t="str">
        <f>IF(Tabla_Caja[[#This Row],[id_padre]]=Tabla_Caja[[#This Row],[Id]],"NOK","OK")</f>
        <v>OK</v>
      </c>
      <c r="V73" s="2"/>
      <c r="W73" s="2"/>
      <c r="X73" s="2"/>
    </row>
    <row r="74" spans="1:24" hidden="1" x14ac:dyDescent="0.5">
      <c r="A74" s="2">
        <f>MAX(Tabla_CKS[Id])</f>
        <v>553</v>
      </c>
      <c r="B74" s="2">
        <v>623</v>
      </c>
      <c r="C74">
        <f>IF(Tabla_Caja[[#This Row],[id_padre]]="",0,_xlfn.XLOOKUP(Tabla_Caja[[#This Row],[id_padre]],Tabla_Caja[Id],Tabla_Caja[Nivel],0,0,1)+1)</f>
        <v>3</v>
      </c>
      <c r="D74" s="2" t="s">
        <v>525</v>
      </c>
      <c r="E74" s="2">
        <f>IF(Tabla_Caja[[#This Row],[id_anterior]]=1,ROW()-1,SUM(ROW()-1,Tabla_Caja[[#This Row],[id_anterior]]))</f>
        <v>626</v>
      </c>
      <c r="F74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CAJA_INFORMES_CHEQUES_ENTREGADOS</v>
      </c>
      <c r="G74" s="2" t="str">
        <f>CLEAN(PROPER(Tabla_Caja[[#This Row],[Nombre Opción]]))</f>
        <v>Entregados</v>
      </c>
      <c r="H74" s="2" t="s">
        <v>1735</v>
      </c>
      <c r="I74" s="2" t="str">
        <f>_xlfn.XLOOKUP(Tabla_Caja[[#This Row],[id_padre]],Tabla_Caja[Id],Tabla_Caja[Codigo_Tecnico],"",0,1)</f>
        <v>CAJA_INFORMES_CHEQUES</v>
      </c>
      <c r="J74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/caja/informes/cheques/entregados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entregados</v>
      </c>
      <c r="L74" s="2" t="s">
        <v>1376</v>
      </c>
      <c r="M74" s="2" t="s">
        <v>208</v>
      </c>
      <c r="N74" s="4" t="s">
        <v>360</v>
      </c>
      <c r="O74" s="4" t="s">
        <v>360</v>
      </c>
      <c r="P74" s="4" t="s">
        <v>360</v>
      </c>
      <c r="Q74" s="4" t="s">
        <v>360</v>
      </c>
      <c r="R74" s="4" t="s">
        <v>360</v>
      </c>
      <c r="S74" s="4" t="s">
        <v>360</v>
      </c>
      <c r="T74" s="4" t="s">
        <v>360</v>
      </c>
      <c r="U74" s="2" t="str">
        <f>IF(Tabla_Caja[[#This Row],[id_padre]]=Tabla_Caja[[#This Row],[Id]],"NOK","OK")</f>
        <v>OK</v>
      </c>
      <c r="V74" s="2"/>
      <c r="W74" s="2"/>
      <c r="X74" s="2"/>
    </row>
    <row r="75" spans="1:24" hidden="1" x14ac:dyDescent="0.5">
      <c r="A75" s="2">
        <f>MAX(Tabla_CKS[Id])</f>
        <v>553</v>
      </c>
      <c r="B75" s="2">
        <v>623</v>
      </c>
      <c r="C75">
        <f>IF(Tabla_Caja[[#This Row],[id_padre]]="",0,_xlfn.XLOOKUP(Tabla_Caja[[#This Row],[id_padre]],Tabla_Caja[Id],Tabla_Caja[Nivel],0,0,1)+1)</f>
        <v>3</v>
      </c>
      <c r="D75" s="2" t="s">
        <v>531</v>
      </c>
      <c r="E75" s="2">
        <f>IF(Tabla_Caja[[#This Row],[id_anterior]]=1,ROW()-1,SUM(ROW()-1,Tabla_Caja[[#This Row],[id_anterior]]))</f>
        <v>627</v>
      </c>
      <c r="F75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CAJA_INFORMES_CHEQUES_CADUCADOS</v>
      </c>
      <c r="G75" s="2" t="str">
        <f>CLEAN(PROPER(Tabla_Caja[[#This Row],[Nombre Opción]]))</f>
        <v>Caducados</v>
      </c>
      <c r="H75" s="2" t="s">
        <v>1735</v>
      </c>
      <c r="I75" s="2" t="str">
        <f>_xlfn.XLOOKUP(Tabla_Caja[[#This Row],[id_padre]],Tabla_Caja[Id],Tabla_Caja[Codigo_Tecnico],"",0,1)</f>
        <v>CAJA_INFORMES_CHEQUES</v>
      </c>
      <c r="J75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/caja/informes/cheques/caducados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caducados</v>
      </c>
      <c r="L75" s="2" t="s">
        <v>1381</v>
      </c>
      <c r="M75" s="2" t="s">
        <v>208</v>
      </c>
      <c r="N75" s="4" t="s">
        <v>360</v>
      </c>
      <c r="O75" s="4" t="s">
        <v>360</v>
      </c>
      <c r="P75" s="4" t="s">
        <v>360</v>
      </c>
      <c r="Q75" s="4" t="s">
        <v>360</v>
      </c>
      <c r="R75" s="4" t="s">
        <v>360</v>
      </c>
      <c r="S75" s="4" t="s">
        <v>360</v>
      </c>
      <c r="T75" s="4" t="s">
        <v>360</v>
      </c>
      <c r="U75" s="2" t="str">
        <f>IF(Tabla_Caja[[#This Row],[id_padre]]=Tabla_Caja[[#This Row],[Id]],"NOK","OK")</f>
        <v>OK</v>
      </c>
      <c r="V75" s="2"/>
      <c r="W75" s="2"/>
      <c r="X75" s="2"/>
    </row>
    <row r="76" spans="1:24" hidden="1" x14ac:dyDescent="0.5">
      <c r="A76" s="2">
        <f>MAX(Tabla_CKS[Id])</f>
        <v>553</v>
      </c>
      <c r="B76" s="2">
        <v>558</v>
      </c>
      <c r="C76">
        <f>IF(Tabla_Caja[[#This Row],[id_padre]]="",0,_xlfn.XLOOKUP(Tabla_Caja[[#This Row],[id_padre]],Tabla_Caja[Id],Tabla_Caja[Nivel],0,0,1)+1)</f>
        <v>2</v>
      </c>
      <c r="D76" s="2" t="s">
        <v>505</v>
      </c>
      <c r="E76" s="2">
        <f>IF(Tabla_Caja[[#This Row],[id_anterior]]=1,ROW()-1,SUM(ROW()-1,Tabla_Caja[[#This Row],[id_anterior]]))</f>
        <v>628</v>
      </c>
      <c r="F76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CAJA_INFORMES_CUSTODIA</v>
      </c>
      <c r="G76" s="2" t="str">
        <f>CLEAN(PROPER(Tabla_Caja[[#This Row],[Nombre Opción]]))</f>
        <v>Custodia</v>
      </c>
      <c r="H76" s="2" t="s">
        <v>1735</v>
      </c>
      <c r="I76" s="2" t="str">
        <f>_xlfn.XLOOKUP(Tabla_Caja[[#This Row],[id_padre]],Tabla_Caja[Id],Tabla_Caja[Codigo_Tecnico],"",0,1)</f>
        <v>CAJA_INFORMES</v>
      </c>
      <c r="J76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/caja/informes/custodia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custodia</v>
      </c>
      <c r="L76" s="2" t="s">
        <v>1356</v>
      </c>
      <c r="M76" s="2" t="s">
        <v>208</v>
      </c>
      <c r="N76" s="4" t="s">
        <v>360</v>
      </c>
      <c r="O76" s="4" t="s">
        <v>360</v>
      </c>
      <c r="P76" s="4" t="s">
        <v>360</v>
      </c>
      <c r="Q76" s="4" t="s">
        <v>360</v>
      </c>
      <c r="R76" s="4" t="s">
        <v>360</v>
      </c>
      <c r="S76" s="4" t="s">
        <v>360</v>
      </c>
      <c r="T76" s="4" t="s">
        <v>360</v>
      </c>
      <c r="U76" s="2" t="str">
        <f>IF(Tabla_Caja[[#This Row],[id_padre]]=Tabla_Caja[[#This Row],[Id]],"NOK","OK")</f>
        <v>OK</v>
      </c>
      <c r="V76" s="2"/>
      <c r="W76" s="2"/>
      <c r="X76" s="2"/>
    </row>
    <row r="77" spans="1:24" hidden="1" x14ac:dyDescent="0.5">
      <c r="A77" s="2">
        <f>MAX(Tabla_CKS[Id])</f>
        <v>553</v>
      </c>
      <c r="B77" s="2">
        <v>628</v>
      </c>
      <c r="C77">
        <f>IF(Tabla_Caja[[#This Row],[id_padre]]="",0,_xlfn.XLOOKUP(Tabla_Caja[[#This Row],[id_padre]],Tabla_Caja[Id],Tabla_Caja[Nivel],0,0,1)+1)</f>
        <v>3</v>
      </c>
      <c r="D77" s="2" t="s">
        <v>532</v>
      </c>
      <c r="E77" s="2">
        <f>IF(Tabla_Caja[[#This Row],[id_anterior]]=1,ROW()-1,SUM(ROW()-1,Tabla_Caja[[#This Row],[id_anterior]]))</f>
        <v>629</v>
      </c>
      <c r="F77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CAJA_INFORMES_CUSTODIA_DOCUMENTOS_CUSTODIA</v>
      </c>
      <c r="G77" s="2" t="str">
        <f>CLEAN(PROPER(Tabla_Caja[[#This Row],[Nombre Opción]]))</f>
        <v>Documentos En Custodia</v>
      </c>
      <c r="H77" s="2" t="s">
        <v>1735</v>
      </c>
      <c r="I77" s="2" t="str">
        <f>_xlfn.XLOOKUP(Tabla_Caja[[#This Row],[id_padre]],Tabla_Caja[Id],Tabla_Caja[Codigo_Tecnico],"",0,1)</f>
        <v>CAJA_INFORMES_CUSTODIA</v>
      </c>
      <c r="J77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/caja/informes/custodia/documentos-custodia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documentos-custodia</v>
      </c>
      <c r="L77" s="2" t="s">
        <v>1382</v>
      </c>
      <c r="M77" s="2" t="s">
        <v>208</v>
      </c>
      <c r="N77" s="4" t="s">
        <v>360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T77" s="4" t="s">
        <v>360</v>
      </c>
      <c r="U77" s="2" t="str">
        <f>IF(Tabla_Caja[[#This Row],[id_padre]]=Tabla_Caja[[#This Row],[Id]],"NOK","OK")</f>
        <v>OK</v>
      </c>
      <c r="V77" s="2"/>
      <c r="W77" s="2"/>
      <c r="X77" s="2"/>
    </row>
    <row r="78" spans="1:24" hidden="1" x14ac:dyDescent="0.5">
      <c r="A78" s="2">
        <f>MAX(Tabla_CKS[Id])</f>
        <v>553</v>
      </c>
      <c r="B78" s="2">
        <v>628</v>
      </c>
      <c r="C78">
        <f>IF(Tabla_Caja[[#This Row],[id_padre]]="",0,_xlfn.XLOOKUP(Tabla_Caja[[#This Row],[id_padre]],Tabla_Caja[Id],Tabla_Caja[Nivel],0,0,1)+1)</f>
        <v>3</v>
      </c>
      <c r="D78" s="2" t="s">
        <v>533</v>
      </c>
      <c r="E78" s="2">
        <f>IF(Tabla_Caja[[#This Row],[id_anterior]]=1,ROW()-1,SUM(ROW()-1,Tabla_Caja[[#This Row],[id_anterior]]))</f>
        <v>630</v>
      </c>
      <c r="F78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CAJA_INFORMES_CUSTODIA_DOCUMENTOS_CUSTODIA_VENCIDOS</v>
      </c>
      <c r="G78" s="2" t="str">
        <f>CLEAN(PROPER(Tabla_Caja[[#This Row],[Nombre Opción]]))</f>
        <v>Documentos En Custodia Vencidos</v>
      </c>
      <c r="H78" s="2" t="s">
        <v>1735</v>
      </c>
      <c r="I78" s="2" t="str">
        <f>_xlfn.XLOOKUP(Tabla_Caja[[#This Row],[id_padre]],Tabla_Caja[Id],Tabla_Caja[Codigo_Tecnico],"",0,1)</f>
        <v>CAJA_INFORMES_CUSTODIA</v>
      </c>
      <c r="J78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/caja/informes/custodia/documentos-custodia-vencidos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documentos-custodia-vencidos</v>
      </c>
      <c r="L78" s="2" t="s">
        <v>1383</v>
      </c>
      <c r="M78" s="2" t="s">
        <v>208</v>
      </c>
      <c r="N78" s="4" t="s">
        <v>360</v>
      </c>
      <c r="O78" s="4" t="s">
        <v>360</v>
      </c>
      <c r="P78" s="4" t="s">
        <v>360</v>
      </c>
      <c r="Q78" s="4" t="s">
        <v>360</v>
      </c>
      <c r="R78" s="4" t="s">
        <v>360</v>
      </c>
      <c r="S78" s="4" t="s">
        <v>360</v>
      </c>
      <c r="T78" s="4" t="s">
        <v>360</v>
      </c>
      <c r="U78" s="2" t="str">
        <f>IF(Tabla_Caja[[#This Row],[id_padre]]=Tabla_Caja[[#This Row],[Id]],"NOK","OK")</f>
        <v>OK</v>
      </c>
      <c r="V78" s="2"/>
      <c r="W78" s="2"/>
      <c r="X78" s="2"/>
    </row>
    <row r="79" spans="1:24" hidden="1" x14ac:dyDescent="0.5">
      <c r="A79" s="2">
        <f>MAX(Tabla_CKS[Id])</f>
        <v>553</v>
      </c>
      <c r="B79" s="2">
        <v>628</v>
      </c>
      <c r="C79">
        <f>IF(Tabla_Caja[[#This Row],[id_padre]]="",0,_xlfn.XLOOKUP(Tabla_Caja[[#This Row],[id_padre]],Tabla_Caja[Id],Tabla_Caja[Nivel],0,0,1)+1)</f>
        <v>3</v>
      </c>
      <c r="D79" s="2" t="s">
        <v>534</v>
      </c>
      <c r="E79" s="2">
        <f>IF(Tabla_Caja[[#This Row],[id_anterior]]=1,ROW()-1,SUM(ROW()-1,Tabla_Caja[[#This Row],[id_anterior]]))</f>
        <v>631</v>
      </c>
      <c r="F79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CAJA_INFORMES_CUSTODIA_DOCUMENTOS_CUSTODIA_POR_VENCER</v>
      </c>
      <c r="G79" s="2" t="str">
        <f>CLEAN(PROPER(Tabla_Caja[[#This Row],[Nombre Opción]]))</f>
        <v>Documentos En Custodia Por Vencer</v>
      </c>
      <c r="H79" s="2" t="s">
        <v>1735</v>
      </c>
      <c r="I79" s="2" t="str">
        <f>_xlfn.XLOOKUP(Tabla_Caja[[#This Row],[id_padre]],Tabla_Caja[Id],Tabla_Caja[Codigo_Tecnico],"",0,1)</f>
        <v>CAJA_INFORMES_CUSTODIA</v>
      </c>
      <c r="J79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/caja/informes/custodia/documentos-custodia-por-vencer</v>
      </c>
      <c r="K79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documentos-custodia-por-vencer</v>
      </c>
      <c r="L79" s="2" t="s">
        <v>1384</v>
      </c>
      <c r="M79" s="2" t="s">
        <v>208</v>
      </c>
      <c r="N79" s="4" t="s">
        <v>360</v>
      </c>
      <c r="O79" s="4" t="s">
        <v>360</v>
      </c>
      <c r="P79" s="4" t="s">
        <v>360</v>
      </c>
      <c r="Q79" s="4" t="s">
        <v>360</v>
      </c>
      <c r="R79" s="4" t="s">
        <v>360</v>
      </c>
      <c r="S79" s="4" t="s">
        <v>360</v>
      </c>
      <c r="T79" s="4" t="s">
        <v>360</v>
      </c>
      <c r="U79" s="2" t="str">
        <f>IF(Tabla_Caja[[#This Row],[id_padre]]=Tabla_Caja[[#This Row],[Id]],"NOK","OK")</f>
        <v>OK</v>
      </c>
      <c r="V79" s="2"/>
      <c r="W79" s="2"/>
      <c r="X79" s="2"/>
    </row>
    <row r="80" spans="1:24" hidden="1" x14ac:dyDescent="0.5">
      <c r="A80" s="2">
        <f>MAX(Tabla_CKS[Id])</f>
        <v>553</v>
      </c>
      <c r="B80" s="2">
        <v>628</v>
      </c>
      <c r="C80">
        <f>IF(Tabla_Caja[[#This Row],[id_padre]]="",0,_xlfn.XLOOKUP(Tabla_Caja[[#This Row],[id_padre]],Tabla_Caja[Id],Tabla_Caja[Nivel],0,0,1)+1)</f>
        <v>3</v>
      </c>
      <c r="D80" s="2" t="s">
        <v>535</v>
      </c>
      <c r="E80" s="2">
        <f>IF(Tabla_Caja[[#This Row],[id_anterior]]=1,ROW()-1,SUM(ROW()-1,Tabla_Caja[[#This Row],[id_anterior]]))</f>
        <v>632</v>
      </c>
      <c r="F80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CAJA_INFORMES_CUSTODIA_DOCUMENTOS_ENTREGADOS_CUSTODIA</v>
      </c>
      <c r="G80" s="2" t="str">
        <f>CLEAN(PROPER(Tabla_Caja[[#This Row],[Nombre Opción]]))</f>
        <v>Documentos Entregados De Custodia</v>
      </c>
      <c r="H80" s="2" t="s">
        <v>1735</v>
      </c>
      <c r="I80" s="2" t="str">
        <f>_xlfn.XLOOKUP(Tabla_Caja[[#This Row],[id_padre]],Tabla_Caja[Id],Tabla_Caja[Codigo_Tecnico],"",0,1)</f>
        <v>CAJA_INFORMES_CUSTODIA</v>
      </c>
      <c r="J80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/caja/informes/custodia/documentos-entregados-custodia</v>
      </c>
      <c r="K80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documentos-entregados-custodia</v>
      </c>
      <c r="L80" s="2" t="s">
        <v>1385</v>
      </c>
      <c r="M80" s="2" t="s">
        <v>208</v>
      </c>
      <c r="N80" s="4" t="s">
        <v>360</v>
      </c>
      <c r="O80" s="4" t="s">
        <v>360</v>
      </c>
      <c r="P80" s="4" t="s">
        <v>360</v>
      </c>
      <c r="Q80" s="4" t="s">
        <v>360</v>
      </c>
      <c r="R80" s="4" t="s">
        <v>360</v>
      </c>
      <c r="S80" s="4" t="s">
        <v>360</v>
      </c>
      <c r="T80" s="4" t="s">
        <v>360</v>
      </c>
      <c r="U80" s="2" t="str">
        <f>IF(Tabla_Caja[[#This Row],[id_padre]]=Tabla_Caja[[#This Row],[Id]],"NOK","OK")</f>
        <v>OK</v>
      </c>
      <c r="V80" s="2"/>
      <c r="W80" s="2"/>
      <c r="X80" s="2"/>
    </row>
    <row r="81" spans="1:24" hidden="1" x14ac:dyDescent="0.5">
      <c r="A81" s="2">
        <f>MAX(Tabla_CKS[Id])</f>
        <v>553</v>
      </c>
      <c r="B81" s="2">
        <v>628</v>
      </c>
      <c r="C81">
        <f>IF(Tabla_Caja[[#This Row],[id_padre]]="",0,_xlfn.XLOOKUP(Tabla_Caja[[#This Row],[id_padre]],Tabla_Caja[Id],Tabla_Caja[Nivel],0,0,1)+1)</f>
        <v>3</v>
      </c>
      <c r="D81" s="2" t="s">
        <v>542</v>
      </c>
      <c r="E81" s="2">
        <f>IF(Tabla_Caja[[#This Row],[id_anterior]]=1,ROW()-1,SUM(ROW()-1,Tabla_Caja[[#This Row],[id_anterior]]))</f>
        <v>633</v>
      </c>
      <c r="F81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CAJA_INFORMES_CUSTODIA_DOCUMENTOS_VIGENTES</v>
      </c>
      <c r="G81" s="2" t="str">
        <f>CLEAN(PROPER(Tabla_Caja[[#This Row],[Nombre Opción]]))</f>
        <v>Documentos Vigentes</v>
      </c>
      <c r="H81" s="2" t="s">
        <v>1735</v>
      </c>
      <c r="I81" s="2" t="str">
        <f>_xlfn.XLOOKUP(Tabla_Caja[[#This Row],[id_padre]],Tabla_Caja[Id],Tabla_Caja[Codigo_Tecnico],"",0,1)</f>
        <v>CAJA_INFORMES_CUSTODIA</v>
      </c>
      <c r="J81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/caja/informes/custodia/documentos-vigentes</v>
      </c>
      <c r="K81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documentos-vigentes</v>
      </c>
      <c r="L81" s="2" t="s">
        <v>1398</v>
      </c>
      <c r="M81" s="2" t="s">
        <v>208</v>
      </c>
      <c r="N81" s="4" t="s">
        <v>360</v>
      </c>
      <c r="O81" s="4" t="s">
        <v>360</v>
      </c>
      <c r="P81" s="4" t="s">
        <v>360</v>
      </c>
      <c r="Q81" s="4" t="s">
        <v>360</v>
      </c>
      <c r="R81" s="4" t="s">
        <v>360</v>
      </c>
      <c r="S81" s="4" t="s">
        <v>360</v>
      </c>
      <c r="T81" s="4" t="s">
        <v>360</v>
      </c>
      <c r="U81" s="2" t="str">
        <f>IF(Tabla_Caja[[#This Row],[id_padre]]=Tabla_Caja[[#This Row],[Id]],"NOK","OK")</f>
        <v>OK</v>
      </c>
      <c r="V81" s="2"/>
      <c r="W81" s="2"/>
      <c r="X81" s="2"/>
    </row>
    <row r="82" spans="1:24" hidden="1" x14ac:dyDescent="0.5">
      <c r="A82" s="2">
        <f>MAX(Tabla_CKS[Id])</f>
        <v>553</v>
      </c>
      <c r="B82" s="2">
        <v>628</v>
      </c>
      <c r="C82">
        <f>IF(Tabla_Caja[[#This Row],[id_padre]]="",0,_xlfn.XLOOKUP(Tabla_Caja[[#This Row],[id_padre]],Tabla_Caja[Id],Tabla_Caja[Nivel],0,0,1)+1)</f>
        <v>3</v>
      </c>
      <c r="D82" s="2" t="s">
        <v>1327</v>
      </c>
      <c r="E82" s="2">
        <f>IF(Tabla_Caja[[#This Row],[id_anterior]]=1,ROW()-1,SUM(ROW()-1,Tabla_Caja[[#This Row],[id_anterior]]))</f>
        <v>634</v>
      </c>
      <c r="F82" s="2" t="str">
        <f>IF(Tabla_Caja[[#This Row],[id_padre]]="",SUBSTITUTE(UPPER(Tabla_Caja[[#This Row],[Slug]]),"-","_"),CONCATENATE(_xlfn.XLOOKUP(Tabla_Caja[[#This Row],[id_padre]],Tabla_Caja[Id],Tabla_Caja[Codigo_Tecnico],"",0,1),"_",SUBSTITUTE(UPPER(Tabla_Caja[[#This Row],[Slug]]),"-","_")))</f>
        <v>CAJA_INFORMES_CUSTODIA_REIMPRESION_COMPROBANTES_CUSTODIA</v>
      </c>
      <c r="G82" s="2" t="str">
        <f>CLEAN(PROPER(Tabla_Caja[[#This Row],[Nombre Opción]]))</f>
        <v>Reimpresion Comprobantes De Custodia</v>
      </c>
      <c r="H82" s="2" t="s">
        <v>1735</v>
      </c>
      <c r="I82" s="2" t="str">
        <f>_xlfn.XLOOKUP(Tabla_Caja[[#This Row],[id_padre]],Tabla_Caja[Id],Tabla_Caja[Codigo_Tecnico],"",0,1)</f>
        <v>CAJA_INFORMES_CUSTODIA</v>
      </c>
      <c r="J82" s="2" t="str">
        <f>IF(Tabla_Caja[[#This Row],[Nivel]]=0,CONCATENATE("/",Tabla_Caja[[#This Row],[Slug]]),CONCATENATE(_xlfn.XLOOKUP(Tabla_Caja[[#This Row],[id_padre]],Tabla_Caja[Id],Tabla_Caja[Ruta_Web],"",0,1),"/",Tabla_Caja[[#This Row],[Slug]]))</f>
        <v>/caja/informes/custodia/reimpresion-comprobantes-custodia</v>
      </c>
      <c r="K82" s="2" t="str">
        <f>SUBSTITUTE(SUBSTITUTE(SUBSTITUTE(SUBSTITUTE(SUBSTITUTE(SUBSTITUTE(SUBSTITUTE(SUBSTITUTE(SUBSTITUTE(SUBSTITUTE(SUBSTITUTE(SUBSTITUTE(SUBSTITUTE(SUBSTITUTE(SUBSTITUTE(SUBSTITUTE(SUBSTITUTE(SUBSTITUTE(SUBSTITUTE(SUBSTITUTE(SUBSTITUTE(LOWER(Tabla_Caja[[#This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reimpresion-comprobantes-custodia</v>
      </c>
      <c r="L82" s="2" t="s">
        <v>1335</v>
      </c>
      <c r="M82" s="2" t="s">
        <v>208</v>
      </c>
      <c r="N82" s="4" t="s">
        <v>360</v>
      </c>
      <c r="O82" s="4" t="s">
        <v>360</v>
      </c>
      <c r="P82" s="4" t="s">
        <v>360</v>
      </c>
      <c r="Q82" s="4" t="s">
        <v>360</v>
      </c>
      <c r="R82" s="4" t="s">
        <v>360</v>
      </c>
      <c r="S82" s="4" t="s">
        <v>360</v>
      </c>
      <c r="T82" s="4" t="s">
        <v>360</v>
      </c>
      <c r="U82" s="2" t="str">
        <f>IF(Tabla_Caja[[#This Row],[id_padre]]=Tabla_Caja[[#This Row],[Id]],"NOK","OK")</f>
        <v>OK</v>
      </c>
      <c r="V82" s="2"/>
      <c r="W82" s="2"/>
      <c r="X82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C71B04-02D1-4E69-903A-1238F2839757}">
          <x14:formula1>
            <xm:f>Modulos!$B$2:$B$12</xm:f>
          </x14:formula1>
          <xm:sqref>D2</xm:sqref>
        </x14:dataValidation>
        <x14:dataValidation type="list" allowBlank="1" showInputMessage="1" showErrorMessage="1" xr:uid="{D1397723-8F55-4EAC-BEB4-CB3856585A91}">
          <x14:formula1>
            <xm:f>Modulos!$C$2:$C$15</xm:f>
          </x14:formula1>
          <xm:sqref>M2:M82</xm:sqref>
        </x14:dataValidation>
        <x14:dataValidation type="list" allowBlank="1" showInputMessage="1" showErrorMessage="1" xr:uid="{DF58FB6B-CEF4-4FFF-A353-0076125B97EC}">
          <x14:formula1>
            <xm:f>Lista!$A$2:$A$3</xm:f>
          </x14:formula1>
          <xm:sqref>N2:T82</xm:sqref>
        </x14:dataValidation>
        <x14:dataValidation type="list" allowBlank="1" showInputMessage="1" showErrorMessage="1" xr:uid="{C8969125-71C3-458C-9814-F91C45D78780}">
          <x14:formula1>
            <xm:f>Equipo!$B$2:$B$7</xm:f>
          </x14:formula1>
          <xm:sqref>V2:V82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50F4-952D-4497-AB1A-B3D1124E5EA9}">
  <sheetPr codeName="Hoja12"/>
  <dimension ref="A1:AF103"/>
  <sheetViews>
    <sheetView zoomScale="70" zoomScaleNormal="70" workbookViewId="0">
      <pane xSplit="5" ySplit="1" topLeftCell="I2" activePane="bottomRight" state="frozen"/>
      <selection pane="topRight" activeCell="F1" sqref="F1"/>
      <selection pane="bottomLeft" activeCell="A2" sqref="A2"/>
      <selection pane="bottomRight" activeCell="D8" sqref="D8"/>
    </sheetView>
  </sheetViews>
  <sheetFormatPr baseColWidth="10" defaultColWidth="11.41015625" defaultRowHeight="14.35" x14ac:dyDescent="0.5"/>
  <cols>
    <col min="1" max="2" width="5.703125" customWidth="1"/>
    <col min="3" max="3" width="5.703125" style="2" customWidth="1"/>
    <col min="4" max="4" width="45.76171875" bestFit="1" customWidth="1"/>
    <col min="5" max="5" width="5.703125" customWidth="1"/>
    <col min="6" max="6" width="10.703125" style="2" customWidth="1"/>
    <col min="7" max="7" width="10.703125" customWidth="1"/>
    <col min="8" max="11" width="10.703125" style="4" customWidth="1"/>
    <col min="12" max="12" width="10.703125" style="2" customWidth="1"/>
    <col min="13" max="13" width="10.703125" style="4" customWidth="1"/>
    <col min="14" max="14" width="5.703125" style="4" customWidth="1"/>
    <col min="15" max="15" width="5.703125" customWidth="1"/>
    <col min="16" max="16" width="5.703125" style="4" customWidth="1"/>
    <col min="17" max="17" width="5.703125" style="2" customWidth="1"/>
    <col min="18" max="18" width="5.703125" style="5" customWidth="1"/>
    <col min="19" max="28" width="5.703125" style="4" customWidth="1"/>
    <col min="31" max="31" width="4.703125" style="4" customWidth="1"/>
    <col min="32" max="32" width="5.703125" style="4" customWidth="1"/>
    <col min="33" max="16384" width="11.41015625" style="2"/>
  </cols>
  <sheetData>
    <row r="1" spans="1:32" s="3" customFormat="1" ht="164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543</v>
      </c>
      <c r="O1" s="3" t="s">
        <v>544</v>
      </c>
      <c r="P1" s="3" t="s">
        <v>545</v>
      </c>
      <c r="Q1" s="3" t="s">
        <v>546</v>
      </c>
      <c r="R1" s="3" t="s">
        <v>547</v>
      </c>
      <c r="S1" s="3" t="s">
        <v>548</v>
      </c>
      <c r="T1" s="3" t="s">
        <v>549</v>
      </c>
      <c r="U1" s="3" t="s">
        <v>550</v>
      </c>
      <c r="V1" s="3" t="s">
        <v>551</v>
      </c>
      <c r="W1" s="3" t="s">
        <v>552</v>
      </c>
      <c r="X1" s="3" t="s">
        <v>553</v>
      </c>
      <c r="Y1" s="3" t="s">
        <v>554</v>
      </c>
      <c r="Z1" s="3" t="s">
        <v>555</v>
      </c>
      <c r="AA1" s="3" t="s">
        <v>556</v>
      </c>
      <c r="AB1" s="3" t="s">
        <v>1932</v>
      </c>
      <c r="AC1" s="3" t="s">
        <v>2005</v>
      </c>
      <c r="AD1" s="3" t="s">
        <v>2030</v>
      </c>
    </row>
    <row r="2" spans="1:32" x14ac:dyDescent="0.5">
      <c r="A2" s="2">
        <f>MAX(Tabla_Caja[Id])</f>
        <v>634</v>
      </c>
      <c r="B2" s="2" t="s">
        <v>98</v>
      </c>
      <c r="C2" s="5">
        <f>IF(Tabla_Compras[[#This Row],[id_padre]]="",0,_xlfn.XLOOKUP(Tabla_Compras[[#This Row],[id_padre]],Tabla_Compras[Id],Tabla_Compras[Nivel],0,0,1)+1)</f>
        <v>0</v>
      </c>
      <c r="D2" s="2" t="s">
        <v>209</v>
      </c>
      <c r="E2" s="2">
        <f>IF(Tabla_Compras[[#This Row],[Id_anterior]]=1,ROW()-1,SUM(ROW()-1,Tabla_Compras[[#This Row],[Id_anterior]]))</f>
        <v>635</v>
      </c>
      <c r="F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</v>
      </c>
      <c r="G2" s="2" t="str">
        <f>CLEAN(PROPER(Tabla_Compras[[#This Row],[Nombre Opción]]))</f>
        <v>Compras</v>
      </c>
      <c r="H2" s="2" t="s">
        <v>1735</v>
      </c>
      <c r="I2" s="2" t="str">
        <f>_xlfn.XLOOKUP(Tabla_Compras[[#This Row],[id_padre]],Tabla_Compras[Id],Tabla_Compras[Codigo_Tecnico],"",0,1)</f>
        <v/>
      </c>
      <c r="J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compras</v>
      </c>
      <c r="L2" s="2" t="s">
        <v>1446</v>
      </c>
      <c r="M2" s="2" t="s">
        <v>1795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4" t="s">
        <v>360</v>
      </c>
      <c r="X2" s="4" t="s">
        <v>360</v>
      </c>
      <c r="Y2" s="4" t="s">
        <v>360</v>
      </c>
      <c r="Z2" s="4" t="s">
        <v>360</v>
      </c>
      <c r="AA2" s="4" t="s">
        <v>360</v>
      </c>
      <c r="AB2" s="4" t="s">
        <v>360</v>
      </c>
      <c r="AC2" s="2" t="str">
        <f>IF(Tabla_Compras[[#This Row],[id_padre]]=Tabla_Compras[[#This Row],[Id]],"NOK","OK")</f>
        <v>OK</v>
      </c>
      <c r="AD2" s="2"/>
      <c r="AE2" s="2"/>
      <c r="AF2" s="2"/>
    </row>
    <row r="3" spans="1:32" x14ac:dyDescent="0.5">
      <c r="A3" s="2">
        <f>MAX(Tabla_Caja[Id])</f>
        <v>634</v>
      </c>
      <c r="B3">
        <v>635</v>
      </c>
      <c r="C3" s="5">
        <f>IF(Tabla_Compras[[#This Row],[id_padre]]="",0,_xlfn.XLOOKUP(Tabla_Compras[[#This Row],[id_padre]],Tabla_Compras[Id],Tabla_Compras[Nivel],0,0,1)+1)</f>
        <v>1</v>
      </c>
      <c r="D3" s="2" t="s">
        <v>18</v>
      </c>
      <c r="E3">
        <f>IF(Tabla_Compras[[#This Row],[Id_anterior]]=1,ROW()-1,SUM(ROW()-1,Tabla_Compras[[#This Row],[Id_anterior]]))</f>
        <v>636</v>
      </c>
      <c r="F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</v>
      </c>
      <c r="G3" s="2" t="str">
        <f>CLEAN(PROPER(Tabla_Compras[[#This Row],[Nombre Opción]]))</f>
        <v>Parámetros</v>
      </c>
      <c r="H3" s="2" t="s">
        <v>1735</v>
      </c>
      <c r="I3" s="2" t="str">
        <f>_xlfn.XLOOKUP(Tabla_Compras[[#This Row],[id_padre]],Tabla_Compras[Id],Tabla_Compras[Codigo_Tecnico],"",0,1)</f>
        <v>COMPRAS</v>
      </c>
      <c r="J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2" t="s">
        <v>1795</v>
      </c>
      <c r="O3" s="4"/>
      <c r="Q3" s="4"/>
      <c r="R3" s="4" t="s">
        <v>360</v>
      </c>
      <c r="T3" s="4" t="s">
        <v>360</v>
      </c>
      <c r="U3" s="4" t="s">
        <v>360</v>
      </c>
      <c r="V3" s="4" t="s">
        <v>360</v>
      </c>
      <c r="X3" s="4" t="s">
        <v>360</v>
      </c>
      <c r="Z3" s="4" t="s">
        <v>360</v>
      </c>
      <c r="AB3" s="4" t="s">
        <v>360</v>
      </c>
      <c r="AC3" s="2" t="str">
        <f>IF(Tabla_Compras[[#This Row],[id_padre]]=Tabla_Compras[[#This Row],[Id]],"NOK","OK")</f>
        <v>OK</v>
      </c>
      <c r="AD3" s="2"/>
      <c r="AE3" s="2"/>
      <c r="AF3" s="2"/>
    </row>
    <row r="4" spans="1:32" x14ac:dyDescent="0.5">
      <c r="A4" s="2">
        <f>MAX(Tabla_Caja[Id])</f>
        <v>634</v>
      </c>
      <c r="B4">
        <v>635</v>
      </c>
      <c r="C4" s="5">
        <f>IF(Tabla_Compras[[#This Row],[id_padre]]="",0,_xlfn.XLOOKUP(Tabla_Compras[[#This Row],[id_padre]],Tabla_Compras[Id],Tabla_Compras[Nivel],0,0,1)+1)</f>
        <v>1</v>
      </c>
      <c r="D4" s="2" t="s">
        <v>19</v>
      </c>
      <c r="E4">
        <f>IF(Tabla_Compras[[#This Row],[Id_anterior]]=1,ROW()-1,SUM(ROW()-1,Tabla_Compras[[#This Row],[Id_anterior]]))</f>
        <v>637</v>
      </c>
      <c r="F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</v>
      </c>
      <c r="G4" s="2" t="str">
        <f>CLEAN(PROPER(Tabla_Compras[[#This Row],[Nombre Opción]]))</f>
        <v>Procesos</v>
      </c>
      <c r="H4" s="2" t="s">
        <v>1735</v>
      </c>
      <c r="I4" s="2" t="str">
        <f>_xlfn.XLOOKUP(Tabla_Compras[[#This Row],[id_padre]],Tabla_Compras[Id],Tabla_Compras[Codigo_Tecnico],"",0,1)</f>
        <v>COMPRAS</v>
      </c>
      <c r="J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2" t="s">
        <v>1338</v>
      </c>
      <c r="M4" s="2" t="s">
        <v>1795</v>
      </c>
      <c r="N4" s="4" t="s">
        <v>360</v>
      </c>
      <c r="O4" s="4" t="s">
        <v>360</v>
      </c>
      <c r="P4" s="4" t="s">
        <v>360</v>
      </c>
      <c r="Q4" s="4" t="s">
        <v>360</v>
      </c>
      <c r="R4" s="4" t="s">
        <v>360</v>
      </c>
      <c r="S4" s="4" t="s">
        <v>360</v>
      </c>
      <c r="U4" s="4" t="s">
        <v>360</v>
      </c>
      <c r="V4" s="4" t="s">
        <v>360</v>
      </c>
      <c r="W4" s="4" t="s">
        <v>360</v>
      </c>
      <c r="X4" s="4" t="s">
        <v>360</v>
      </c>
      <c r="Y4" s="4" t="s">
        <v>360</v>
      </c>
      <c r="Z4" s="4" t="s">
        <v>360</v>
      </c>
      <c r="AA4" s="4" t="s">
        <v>360</v>
      </c>
      <c r="AB4" s="4" t="s">
        <v>360</v>
      </c>
      <c r="AC4" s="2" t="str">
        <f>IF(Tabla_Compras[[#This Row],[id_padre]]=Tabla_Compras[[#This Row],[Id]],"NOK","OK")</f>
        <v>OK</v>
      </c>
      <c r="AD4" s="2"/>
      <c r="AE4" s="2"/>
      <c r="AF4" s="2"/>
    </row>
    <row r="5" spans="1:32" x14ac:dyDescent="0.5">
      <c r="A5" s="2">
        <f>MAX(Tabla_Caja[Id])</f>
        <v>634</v>
      </c>
      <c r="B5">
        <v>635</v>
      </c>
      <c r="C5" s="5">
        <f>IF(Tabla_Compras[[#This Row],[id_padre]]="",0,_xlfn.XLOOKUP(Tabla_Compras[[#This Row],[id_padre]],Tabla_Compras[Id],Tabla_Compras[Nivel],0,0,1)+1)</f>
        <v>1</v>
      </c>
      <c r="D5" s="2" t="s">
        <v>20</v>
      </c>
      <c r="E5">
        <f>IF(Tabla_Compras[[#This Row],[Id_anterior]]=1,ROW()-1,SUM(ROW()-1,Tabla_Compras[[#This Row],[Id_anterior]]))</f>
        <v>638</v>
      </c>
      <c r="F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</v>
      </c>
      <c r="G5" s="2" t="str">
        <f>CLEAN(PROPER(Tabla_Compras[[#This Row],[Nombre Opción]]))</f>
        <v>Consultas</v>
      </c>
      <c r="H5" s="2" t="s">
        <v>1735</v>
      </c>
      <c r="I5" s="2" t="str">
        <f>_xlfn.XLOOKUP(Tabla_Compras[[#This Row],[id_padre]],Tabla_Compras[Id],Tabla_Compras[Codigo_Tecnico],"",0,1)</f>
        <v>COMPRAS</v>
      </c>
      <c r="J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2" t="s">
        <v>1339</v>
      </c>
      <c r="M5" s="2" t="s">
        <v>1795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4" t="s">
        <v>360</v>
      </c>
      <c r="U5" s="4" t="s">
        <v>360</v>
      </c>
      <c r="V5" s="4" t="s">
        <v>360</v>
      </c>
      <c r="W5" s="4" t="s">
        <v>360</v>
      </c>
      <c r="X5" s="4" t="s">
        <v>360</v>
      </c>
      <c r="Y5" s="4" t="s">
        <v>360</v>
      </c>
      <c r="Z5" s="4" t="s">
        <v>360</v>
      </c>
      <c r="AB5" s="4" t="s">
        <v>360</v>
      </c>
      <c r="AC5" s="2" t="str">
        <f>IF(Tabla_Compras[[#This Row],[id_padre]]=Tabla_Compras[[#This Row],[Id]],"NOK","OK")</f>
        <v>OK</v>
      </c>
      <c r="AD5" s="2"/>
      <c r="AE5" s="2"/>
      <c r="AF5" s="2"/>
    </row>
    <row r="6" spans="1:32" x14ac:dyDescent="0.5">
      <c r="A6" s="2">
        <f>MAX(Tabla_Caja[Id])</f>
        <v>634</v>
      </c>
      <c r="B6">
        <v>635</v>
      </c>
      <c r="C6" s="5">
        <f>IF(Tabla_Compras[[#This Row],[id_padre]]="",0,_xlfn.XLOOKUP(Tabla_Compras[[#This Row],[id_padre]],Tabla_Compras[Id],Tabla_Compras[Nivel],0,0,1)+1)</f>
        <v>1</v>
      </c>
      <c r="D6" s="2" t="s">
        <v>21</v>
      </c>
      <c r="E6">
        <f>IF(Tabla_Compras[[#This Row],[Id_anterior]]=1,ROW()-1,SUM(ROW()-1,Tabla_Compras[[#This Row],[Id_anterior]]))</f>
        <v>639</v>
      </c>
      <c r="F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</v>
      </c>
      <c r="G6" s="2" t="str">
        <f>CLEAN(PROPER(Tabla_Compras[[#This Row],[Nombre Opción]]))</f>
        <v>Informes</v>
      </c>
      <c r="H6" s="2" t="s">
        <v>1735</v>
      </c>
      <c r="I6" s="2" t="str">
        <f>_xlfn.XLOOKUP(Tabla_Compras[[#This Row],[id_padre]],Tabla_Compras[Id],Tabla_Compras[Codigo_Tecnico],"",0,1)</f>
        <v>COMPRAS</v>
      </c>
      <c r="J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2" t="s">
        <v>1340</v>
      </c>
      <c r="M6" s="2" t="s">
        <v>1795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U6" s="4" t="s">
        <v>360</v>
      </c>
      <c r="V6" s="4" t="s">
        <v>360</v>
      </c>
      <c r="W6" s="4" t="s">
        <v>360</v>
      </c>
      <c r="X6" s="4" t="s">
        <v>360</v>
      </c>
      <c r="Y6" s="4" t="s">
        <v>360</v>
      </c>
      <c r="Z6" s="4" t="s">
        <v>360</v>
      </c>
      <c r="AB6" s="4" t="s">
        <v>360</v>
      </c>
      <c r="AC6" s="2" t="str">
        <f>IF(Tabla_Compras[[#This Row],[id_padre]]=Tabla_Compras[[#This Row],[Id]],"NOK","OK")</f>
        <v>OK</v>
      </c>
      <c r="AD6" s="2"/>
      <c r="AE6" s="2"/>
      <c r="AF6" s="2"/>
    </row>
    <row r="7" spans="1:32" x14ac:dyDescent="0.5">
      <c r="A7" s="2">
        <f>MAX(Tabla_Caja[Id])</f>
        <v>634</v>
      </c>
      <c r="B7">
        <v>635</v>
      </c>
      <c r="C7" s="5">
        <f>IF(Tabla_Compras[[#This Row],[id_padre]]="",0,_xlfn.XLOOKUP(Tabla_Compras[[#This Row],[id_padre]],Tabla_Compras[Id],Tabla_Compras[Nivel],0,0,1)+1)</f>
        <v>1</v>
      </c>
      <c r="D7" s="2" t="s">
        <v>22</v>
      </c>
      <c r="E7">
        <f>IF(Tabla_Compras[[#This Row],[Id_anterior]]=1,ROW()-1,SUM(ROW()-1,Tabla_Compras[[#This Row],[Id_anterior]]))</f>
        <v>640</v>
      </c>
      <c r="F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COMPRAS_CIERRE</v>
      </c>
      <c r="G7" s="2" t="str">
        <f>CLEAN(PROPER(Tabla_Compras[[#This Row],[Nombre Opción]]))</f>
        <v>Cierre</v>
      </c>
      <c r="H7" s="2" t="s">
        <v>1735</v>
      </c>
      <c r="I7" s="2" t="str">
        <f>_xlfn.XLOOKUP(Tabla_Compras[[#This Row],[id_padre]],Tabla_Compras[Id],Tabla_Compras[Codigo_Tecnico],"",0,1)</f>
        <v>COMPRAS</v>
      </c>
      <c r="J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/compras/cierre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</v>
      </c>
      <c r="L7" s="2" t="s">
        <v>1400</v>
      </c>
      <c r="M7" s="2" t="s">
        <v>1795</v>
      </c>
      <c r="N7" s="4" t="s">
        <v>360</v>
      </c>
      <c r="O7" s="4" t="s">
        <v>360</v>
      </c>
      <c r="P7" s="4" t="s">
        <v>360</v>
      </c>
      <c r="Q7" s="4" t="s">
        <v>360</v>
      </c>
      <c r="R7" s="4" t="s">
        <v>360</v>
      </c>
      <c r="S7" s="4" t="s">
        <v>360</v>
      </c>
      <c r="T7" s="4" t="s">
        <v>360</v>
      </c>
      <c r="U7" s="4" t="s">
        <v>360</v>
      </c>
      <c r="V7" s="4" t="s">
        <v>360</v>
      </c>
      <c r="W7" s="4" t="s">
        <v>360</v>
      </c>
      <c r="X7" s="4" t="s">
        <v>360</v>
      </c>
      <c r="AB7" s="4" t="s">
        <v>360</v>
      </c>
      <c r="AC7" s="2" t="str">
        <f>IF(Tabla_Compras[[#This Row],[id_padre]]=Tabla_Compras[[#This Row],[Id]],"NOK","OK")</f>
        <v>OK</v>
      </c>
      <c r="AD7" s="2"/>
      <c r="AE7" s="2"/>
      <c r="AF7" s="2"/>
    </row>
    <row r="8" spans="1:32" x14ac:dyDescent="0.5">
      <c r="A8" s="2">
        <f>MAX(Tabla_Caja[Id])</f>
        <v>634</v>
      </c>
      <c r="B8">
        <v>636</v>
      </c>
      <c r="C8" s="5">
        <f>IF(Tabla_Compras[[#This Row],[id_padre]]="",0,_xlfn.XLOOKUP(Tabla_Compras[[#This Row],[id_padre]],Tabla_Compras[Id],Tabla_Compras[Nivel],0,0,1)+1)</f>
        <v>2</v>
      </c>
      <c r="D8" s="2" t="s">
        <v>557</v>
      </c>
      <c r="E8">
        <f>IF(Tabla_Compras[[#This Row],[Id_anterior]]=1,ROW()-1,SUM(ROW()-1,Tabla_Compras[[#This Row],[Id_anterior]]))</f>
        <v>641</v>
      </c>
      <c r="F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COMPRAS_PARAMETROS_MANTENIMIENTO_UNIDAD</v>
      </c>
      <c r="G8" s="2" t="str">
        <f>CLEAN(PROPER(Tabla_Compras[[#This Row],[Nombre Opción]]))</f>
        <v>Mantenimiento Unidad</v>
      </c>
      <c r="H8" s="2" t="s">
        <v>1735</v>
      </c>
      <c r="I8" s="2" t="str">
        <f>_xlfn.XLOOKUP(Tabla_Compras[[#This Row],[id_padre]],Tabla_Compras[Id],Tabla_Compras[Codigo_Tecnico],"",0,1)</f>
        <v>COMPRAS_PARAMETROS</v>
      </c>
      <c r="J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/compras/parametros/mantenimiento-unidad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mantenimiento-unidad</v>
      </c>
      <c r="L8" s="2" t="s">
        <v>1341</v>
      </c>
      <c r="M8" s="2" t="s">
        <v>1795</v>
      </c>
      <c r="O8" s="4"/>
      <c r="Q8" s="4"/>
      <c r="R8" s="4"/>
      <c r="U8" s="4" t="s">
        <v>360</v>
      </c>
      <c r="V8" s="4" t="s">
        <v>360</v>
      </c>
      <c r="X8" s="4" t="s">
        <v>360</v>
      </c>
      <c r="AB8" s="4" t="s">
        <v>360</v>
      </c>
      <c r="AC8" s="2" t="str">
        <f>IF(Tabla_Compras[[#This Row],[id_padre]]=Tabla_Compras[[#This Row],[Id]],"NOK","OK")</f>
        <v>OK</v>
      </c>
      <c r="AD8" s="2"/>
      <c r="AE8" s="2"/>
      <c r="AF8" s="2"/>
    </row>
    <row r="9" spans="1:32" x14ac:dyDescent="0.5">
      <c r="A9" s="2">
        <f>MAX(Tabla_Caja[Id])</f>
        <v>634</v>
      </c>
      <c r="B9">
        <v>636</v>
      </c>
      <c r="C9" s="5">
        <f>IF(Tabla_Compras[[#This Row],[id_padre]]="",0,_xlfn.XLOOKUP(Tabla_Compras[[#This Row],[id_padre]],Tabla_Compras[Id],Tabla_Compras[Nivel],0,0,1)+1)</f>
        <v>2</v>
      </c>
      <c r="D9" s="2" t="s">
        <v>558</v>
      </c>
      <c r="E9">
        <f>IF(Tabla_Compras[[#This Row],[Id_anterior]]=1,ROW()-1,SUM(ROW()-1,Tabla_Compras[[#This Row],[Id_anterior]]))</f>
        <v>642</v>
      </c>
      <c r="F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COMPRAS_PARAMETROS_PRIORIDADES</v>
      </c>
      <c r="G9" s="2" t="str">
        <f>CLEAN(PROPER(Tabla_Compras[[#This Row],[Nombre Opción]]))</f>
        <v>Prioridades</v>
      </c>
      <c r="H9" s="2" t="s">
        <v>1735</v>
      </c>
      <c r="I9" s="2" t="str">
        <f>_xlfn.XLOOKUP(Tabla_Compras[[#This Row],[id_padre]],Tabla_Compras[Id],Tabla_Compras[Codigo_Tecnico],"",0,1)</f>
        <v>COMPRAS_PARAMETROS</v>
      </c>
      <c r="J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/compras/parametros/prioridades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prioridades</v>
      </c>
      <c r="L9" s="2" t="s">
        <v>1530</v>
      </c>
      <c r="M9" s="2" t="s">
        <v>1795</v>
      </c>
      <c r="O9" s="4"/>
      <c r="Q9" s="4"/>
      <c r="R9" s="4"/>
      <c r="U9" s="4" t="s">
        <v>360</v>
      </c>
      <c r="V9" s="4" t="s">
        <v>360</v>
      </c>
      <c r="X9" s="4" t="s">
        <v>360</v>
      </c>
      <c r="AB9" s="4" t="s">
        <v>360</v>
      </c>
      <c r="AC9" s="2" t="str">
        <f>IF(Tabla_Compras[[#This Row],[id_padre]]=Tabla_Compras[[#This Row],[Id]],"NOK","OK")</f>
        <v>OK</v>
      </c>
      <c r="AD9" s="2"/>
      <c r="AE9" s="2"/>
      <c r="AF9" s="2"/>
    </row>
    <row r="10" spans="1:32" x14ac:dyDescent="0.5">
      <c r="A10" s="2">
        <f>MAX(Tabla_Caja[Id])</f>
        <v>634</v>
      </c>
      <c r="B10">
        <v>636</v>
      </c>
      <c r="C10" s="5">
        <f>IF(Tabla_Compras[[#This Row],[id_padre]]="",0,_xlfn.XLOOKUP(Tabla_Compras[[#This Row],[id_padre]],Tabla_Compras[Id],Tabla_Compras[Nivel],0,0,1)+1)</f>
        <v>2</v>
      </c>
      <c r="D10" s="2" t="s">
        <v>559</v>
      </c>
      <c r="E10">
        <f>IF(Tabla_Compras[[#This Row],[Id_anterior]]=1,ROW()-1,SUM(ROW()-1,Tabla_Compras[[#This Row],[Id_anterior]]))</f>
        <v>643</v>
      </c>
      <c r="F1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COMPRAS_PARAMETROS_ORIGENES_ADJUDICACION</v>
      </c>
      <c r="G10" s="2" t="str">
        <f>CLEAN(PROPER(Tabla_Compras[[#This Row],[Nombre Opción]]))</f>
        <v>Origenes De Adjudicacion</v>
      </c>
      <c r="H10" s="2" t="s">
        <v>1735</v>
      </c>
      <c r="I10" s="2" t="str">
        <f>_xlfn.XLOOKUP(Tabla_Compras[[#This Row],[id_padre]],Tabla_Compras[Id],Tabla_Compras[Codigo_Tecnico],"",0,1)</f>
        <v>COMPRAS_PARAMETROS</v>
      </c>
      <c r="J1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/compras/parametros/origenes-adjudicacion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origenes-adjudicacion</v>
      </c>
      <c r="L10" s="2" t="s">
        <v>1531</v>
      </c>
      <c r="M10" s="2" t="s">
        <v>1795</v>
      </c>
      <c r="O10" s="4"/>
      <c r="Q10" s="4"/>
      <c r="R10" s="4"/>
      <c r="U10" s="4" t="s">
        <v>360</v>
      </c>
      <c r="V10" s="4" t="s">
        <v>360</v>
      </c>
      <c r="X10" s="4" t="s">
        <v>360</v>
      </c>
      <c r="AB10" s="4" t="s">
        <v>360</v>
      </c>
      <c r="AC10" s="2" t="str">
        <f>IF(Tabla_Compras[[#This Row],[id_padre]]=Tabla_Compras[[#This Row],[Id]],"NOK","OK")</f>
        <v>OK</v>
      </c>
      <c r="AD10" s="2"/>
      <c r="AE10" s="2"/>
      <c r="AF10" s="2"/>
    </row>
    <row r="11" spans="1:32" x14ac:dyDescent="0.5">
      <c r="A11" s="2">
        <f>MAX(Tabla_Caja[Id])</f>
        <v>634</v>
      </c>
      <c r="B11">
        <v>636</v>
      </c>
      <c r="C11" s="5">
        <f>IF(Tabla_Compras[[#This Row],[id_padre]]="",0,_xlfn.XLOOKUP(Tabla_Compras[[#This Row],[id_padre]],Tabla_Compras[Id],Tabla_Compras[Nivel],0,0,1)+1)</f>
        <v>2</v>
      </c>
      <c r="D11" s="2" t="s">
        <v>560</v>
      </c>
      <c r="E11">
        <f>IF(Tabla_Compras[[#This Row],[Id_anterior]]=1,ROW()-1,SUM(ROW()-1,Tabla_Compras[[#This Row],[Id_anterior]]))</f>
        <v>644</v>
      </c>
      <c r="F1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COMPRAS_PARAMETROS_RAZONES_ADJUDICACION</v>
      </c>
      <c r="G11" s="2" t="str">
        <f>CLEAN(PROPER(Tabla_Compras[[#This Row],[Nombre Opción]]))</f>
        <v>Razones De Adjudicacion</v>
      </c>
      <c r="H11" s="2" t="s">
        <v>1735</v>
      </c>
      <c r="I11" s="2" t="str">
        <f>_xlfn.XLOOKUP(Tabla_Compras[[#This Row],[id_padre]],Tabla_Compras[Id],Tabla_Compras[Codigo_Tecnico],"",0,1)</f>
        <v>COMPRAS_PARAMETROS</v>
      </c>
      <c r="J1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/compras/parametros/razones-adjudicacion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razones-adjudicacion</v>
      </c>
      <c r="L11" s="2" t="s">
        <v>1424</v>
      </c>
      <c r="M11" s="2" t="s">
        <v>1795</v>
      </c>
      <c r="O11" s="4"/>
      <c r="Q11" s="4"/>
      <c r="R11" s="4"/>
      <c r="U11" s="4" t="s">
        <v>360</v>
      </c>
      <c r="V11" s="4" t="s">
        <v>360</v>
      </c>
      <c r="X11" s="4" t="s">
        <v>360</v>
      </c>
      <c r="AB11" s="4" t="s">
        <v>360</v>
      </c>
      <c r="AC11" s="2" t="str">
        <f>IF(Tabla_Compras[[#This Row],[id_padre]]=Tabla_Compras[[#This Row],[Id]],"NOK","OK")</f>
        <v>OK</v>
      </c>
      <c r="AD11" s="2"/>
      <c r="AE11" s="2"/>
      <c r="AF11" s="2"/>
    </row>
    <row r="12" spans="1:32" x14ac:dyDescent="0.5">
      <c r="A12" s="2">
        <f>MAX(Tabla_Caja[Id])</f>
        <v>634</v>
      </c>
      <c r="B12">
        <v>636</v>
      </c>
      <c r="C12" s="5">
        <f>IF(Tabla_Compras[[#This Row],[id_padre]]="",0,_xlfn.XLOOKUP(Tabla_Compras[[#This Row],[id_padre]],Tabla_Compras[Id],Tabla_Compras[Nivel],0,0,1)+1)</f>
        <v>2</v>
      </c>
      <c r="D12" s="2" t="s">
        <v>561</v>
      </c>
      <c r="E12">
        <f>IF(Tabla_Compras[[#This Row],[Id_anterior]]=1,ROW()-1,SUM(ROW()-1,Tabla_Compras[[#This Row],[Id_anterior]]))</f>
        <v>645</v>
      </c>
      <c r="F1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COMPRAS_PARAMETROS_GRUPOS_ARTICULOS</v>
      </c>
      <c r="G12" s="2" t="str">
        <f>CLEAN(PROPER(Tabla_Compras[[#This Row],[Nombre Opción]]))</f>
        <v>Grupos De Articulos</v>
      </c>
      <c r="H12" s="2" t="s">
        <v>1735</v>
      </c>
      <c r="I12" s="2" t="str">
        <f>_xlfn.XLOOKUP(Tabla_Compras[[#This Row],[id_padre]],Tabla_Compras[Id],Tabla_Compras[Codigo_Tecnico],"",0,1)</f>
        <v>COMPRAS_PARAMETROS</v>
      </c>
      <c r="J1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/compras/parametros/grupos-articulos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grupos-articulos</v>
      </c>
      <c r="L12" s="2" t="s">
        <v>1407</v>
      </c>
      <c r="M12" s="2" t="s">
        <v>1795</v>
      </c>
      <c r="O12" s="4"/>
      <c r="Q12" s="4"/>
      <c r="R12" s="4"/>
      <c r="U12" s="4" t="s">
        <v>360</v>
      </c>
      <c r="V12" s="4" t="s">
        <v>360</v>
      </c>
      <c r="X12" s="4" t="s">
        <v>360</v>
      </c>
      <c r="AB12" s="4" t="s">
        <v>360</v>
      </c>
      <c r="AC12" s="2" t="str">
        <f>IF(Tabla_Compras[[#This Row],[id_padre]]=Tabla_Compras[[#This Row],[Id]],"NOK","OK")</f>
        <v>OK</v>
      </c>
      <c r="AD12" s="2"/>
      <c r="AE12" s="2"/>
      <c r="AF12" s="2"/>
    </row>
    <row r="13" spans="1:32" x14ac:dyDescent="0.5">
      <c r="A13" s="2">
        <f>MAX(Tabla_Caja[Id])</f>
        <v>634</v>
      </c>
      <c r="B13">
        <v>636</v>
      </c>
      <c r="C13" s="5">
        <f>IF(Tabla_Compras[[#This Row],[id_padre]]="",0,_xlfn.XLOOKUP(Tabla_Compras[[#This Row],[id_padre]],Tabla_Compras[Id],Tabla_Compras[Nivel],0,0,1)+1)</f>
        <v>2</v>
      </c>
      <c r="D13" s="2" t="s">
        <v>562</v>
      </c>
      <c r="E13">
        <f>IF(Tabla_Compras[[#This Row],[Id_anterior]]=1,ROW()-1,SUM(ROW()-1,Tabla_Compras[[#This Row],[Id_anterior]]))</f>
        <v>646</v>
      </c>
      <c r="F1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COMPRAS_PARAMETROS_SUBGRUPOS_ARTICULOS</v>
      </c>
      <c r="G13" s="2" t="str">
        <f>CLEAN(PROPER(Tabla_Compras[[#This Row],[Nombre Opción]]))</f>
        <v>Subgrupos De Articulos</v>
      </c>
      <c r="H13" s="2" t="s">
        <v>1735</v>
      </c>
      <c r="I13" s="2" t="str">
        <f>_xlfn.XLOOKUP(Tabla_Compras[[#This Row],[id_padre]],Tabla_Compras[Id],Tabla_Compras[Codigo_Tecnico],"",0,1)</f>
        <v>COMPRAS_PARAMETROS</v>
      </c>
      <c r="J1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/compras/parametros/subgrupos-articulos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subgrupos-articulos</v>
      </c>
      <c r="L13" s="2" t="s">
        <v>1514</v>
      </c>
      <c r="M13" s="2" t="s">
        <v>1795</v>
      </c>
      <c r="O13" s="4"/>
      <c r="Q13" s="4"/>
      <c r="R13" s="4"/>
      <c r="U13" s="4" t="s">
        <v>360</v>
      </c>
      <c r="V13" s="4" t="s">
        <v>360</v>
      </c>
      <c r="X13" s="4" t="s">
        <v>360</v>
      </c>
      <c r="AB13" s="4" t="s">
        <v>360</v>
      </c>
      <c r="AC13" s="2" t="str">
        <f>IF(Tabla_Compras[[#This Row],[id_padre]]=Tabla_Compras[[#This Row],[Id]],"NOK","OK")</f>
        <v>OK</v>
      </c>
      <c r="AD13" s="2"/>
      <c r="AE13" s="2"/>
      <c r="AF13" s="2"/>
    </row>
    <row r="14" spans="1:32" x14ac:dyDescent="0.5">
      <c r="A14" s="2">
        <f>MAX(Tabla_Caja[Id])</f>
        <v>634</v>
      </c>
      <c r="B14">
        <v>636</v>
      </c>
      <c r="C14" s="5">
        <f>IF(Tabla_Compras[[#This Row],[id_padre]]="",0,_xlfn.XLOOKUP(Tabla_Compras[[#This Row],[id_padre]],Tabla_Compras[Id],Tabla_Compras[Nivel],0,0,1)+1)</f>
        <v>2</v>
      </c>
      <c r="D14" s="2" t="s">
        <v>131</v>
      </c>
      <c r="E14">
        <f>IF(Tabla_Compras[[#This Row],[Id_anterior]]=1,ROW()-1,SUM(ROW()-1,Tabla_Compras[[#This Row],[Id_anterior]]))</f>
        <v>647</v>
      </c>
      <c r="F1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COMPRAS_PARAMETROS_CATALOGO_ARTICULOS</v>
      </c>
      <c r="G14" s="2" t="str">
        <f>CLEAN(PROPER(Tabla_Compras[[#This Row],[Nombre Opción]]))</f>
        <v>Catalogo De Articulos</v>
      </c>
      <c r="H14" s="2" t="s">
        <v>1735</v>
      </c>
      <c r="I14" s="2" t="str">
        <f>_xlfn.XLOOKUP(Tabla_Compras[[#This Row],[id_padre]],Tabla_Compras[Id],Tabla_Compras[Codigo_Tecnico],"",0,1)</f>
        <v>COMPRAS_PARAMETROS</v>
      </c>
      <c r="J1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/compras/parametros/catalogo-articulos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catalogo-articulos</v>
      </c>
      <c r="L14" s="2" t="s">
        <v>1463</v>
      </c>
      <c r="M14" s="2" t="s">
        <v>1795</v>
      </c>
      <c r="O14" s="4"/>
      <c r="Q14" s="4"/>
      <c r="R14" s="4"/>
      <c r="U14" s="4" t="s">
        <v>360</v>
      </c>
      <c r="V14" s="4" t="s">
        <v>360</v>
      </c>
      <c r="X14" s="4" t="s">
        <v>360</v>
      </c>
      <c r="AB14" s="4" t="s">
        <v>360</v>
      </c>
      <c r="AC14" s="2" t="str">
        <f>IF(Tabla_Compras[[#This Row],[id_padre]]=Tabla_Compras[[#This Row],[Id]],"NOK","OK")</f>
        <v>OK</v>
      </c>
      <c r="AD14" s="2"/>
      <c r="AE14" s="2"/>
      <c r="AF14" s="2"/>
    </row>
    <row r="15" spans="1:32" x14ac:dyDescent="0.5">
      <c r="A15" s="2">
        <f>MAX(Tabla_Caja[Id])</f>
        <v>634</v>
      </c>
      <c r="B15">
        <v>636</v>
      </c>
      <c r="C15" s="5">
        <f>IF(Tabla_Compras[[#This Row],[id_padre]]="",0,_xlfn.XLOOKUP(Tabla_Compras[[#This Row],[id_padre]],Tabla_Compras[Id],Tabla_Compras[Nivel],0,0,1)+1)</f>
        <v>2</v>
      </c>
      <c r="D15" s="2" t="s">
        <v>376</v>
      </c>
      <c r="E15">
        <f>IF(Tabla_Compras[[#This Row],[Id_anterior]]=1,ROW()-1,SUM(ROW()-1,Tabla_Compras[[#This Row],[Id_anterior]]))</f>
        <v>648</v>
      </c>
      <c r="F1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COMPRAS_PARAMETROS_EMPLEADOS_AUTORIZADOS</v>
      </c>
      <c r="G15" s="2" t="str">
        <f>CLEAN(PROPER(Tabla_Compras[[#This Row],[Nombre Opción]]))</f>
        <v>Empleados Autorizados</v>
      </c>
      <c r="H15" s="2" t="s">
        <v>1735</v>
      </c>
      <c r="I15" s="2" t="str">
        <f>_xlfn.XLOOKUP(Tabla_Compras[[#This Row],[id_padre]],Tabla_Compras[Id],Tabla_Compras[Codigo_Tecnico],"",0,1)</f>
        <v>COMPRAS_PARAMETROS</v>
      </c>
      <c r="J1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/compras/parametros/empleados-autorizados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empleados-autorizados</v>
      </c>
      <c r="L15" s="2" t="s">
        <v>1515</v>
      </c>
      <c r="M15" s="2" t="s">
        <v>1795</v>
      </c>
      <c r="O15" s="4"/>
      <c r="Q15" s="4"/>
      <c r="R15" s="4" t="s">
        <v>360</v>
      </c>
      <c r="T15" s="4" t="s">
        <v>360</v>
      </c>
      <c r="V15" s="4" t="s">
        <v>360</v>
      </c>
      <c r="X15" s="4" t="s">
        <v>360</v>
      </c>
      <c r="AB15" s="4" t="s">
        <v>360</v>
      </c>
      <c r="AC15" s="2" t="str">
        <f>IF(Tabla_Compras[[#This Row],[id_padre]]=Tabla_Compras[[#This Row],[Id]],"NOK","OK")</f>
        <v>OK</v>
      </c>
      <c r="AD15" s="2"/>
      <c r="AE15" s="2"/>
      <c r="AF15" s="2"/>
    </row>
    <row r="16" spans="1:32" x14ac:dyDescent="0.5">
      <c r="A16" s="2">
        <f>MAX(Tabla_Caja[Id])</f>
        <v>634</v>
      </c>
      <c r="B16">
        <v>636</v>
      </c>
      <c r="C16" s="5">
        <f>IF(Tabla_Compras[[#This Row],[id_padre]]="",0,_xlfn.XLOOKUP(Tabla_Compras[[#This Row],[id_padre]],Tabla_Compras[Id],Tabla_Compras[Nivel],0,0,1)+1)</f>
        <v>2</v>
      </c>
      <c r="D16" s="2" t="s">
        <v>55</v>
      </c>
      <c r="E16">
        <f>IF(Tabla_Compras[[#This Row],[Id_anterior]]=1,ROW()-1,SUM(ROW()-1,Tabla_Compras[[#This Row],[Id_anterior]]))</f>
        <v>649</v>
      </c>
      <c r="F1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COMPRAS_PARAMETROS_MANTENCION_PROVEEDORES</v>
      </c>
      <c r="G16" s="2" t="str">
        <f>CLEAN(PROPER(Tabla_Compras[[#This Row],[Nombre Opción]]))</f>
        <v>Mantencion De Proveedores</v>
      </c>
      <c r="H16" s="2" t="s">
        <v>1735</v>
      </c>
      <c r="I16" s="2" t="str">
        <f>_xlfn.XLOOKUP(Tabla_Compras[[#This Row],[id_padre]],Tabla_Compras[Id],Tabla_Compras[Codigo_Tecnico],"",0,1)</f>
        <v>COMPRAS_PARAMETROS</v>
      </c>
      <c r="J1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/compras/parametros/mantencion-proveedores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mantencion-proveedores</v>
      </c>
      <c r="L16" s="2" t="s">
        <v>1348</v>
      </c>
      <c r="M16" s="2" t="s">
        <v>1795</v>
      </c>
      <c r="N16" s="4" t="s">
        <v>360</v>
      </c>
      <c r="O16" s="4" t="s">
        <v>360</v>
      </c>
      <c r="P16" s="4" t="s">
        <v>360</v>
      </c>
      <c r="Q16" s="4" t="s">
        <v>360</v>
      </c>
      <c r="R16" s="4" t="s">
        <v>360</v>
      </c>
      <c r="S16" s="4" t="s">
        <v>360</v>
      </c>
      <c r="U16" s="4" t="s">
        <v>360</v>
      </c>
      <c r="V16" s="4" t="s">
        <v>360</v>
      </c>
      <c r="W16" s="4" t="s">
        <v>360</v>
      </c>
      <c r="X16" s="4" t="s">
        <v>360</v>
      </c>
      <c r="Z16" s="4" t="s">
        <v>360</v>
      </c>
      <c r="AB16" s="4" t="s">
        <v>360</v>
      </c>
      <c r="AC16" s="2" t="str">
        <f>IF(Tabla_Compras[[#This Row],[id_padre]]=Tabla_Compras[[#This Row],[Id]],"NOK","OK")</f>
        <v>OK</v>
      </c>
      <c r="AD16" s="2"/>
      <c r="AE16" s="2"/>
      <c r="AF16" s="2"/>
    </row>
    <row r="17" spans="1:32" x14ac:dyDescent="0.5">
      <c r="A17" s="2">
        <f>MAX(Tabla_Caja[Id])</f>
        <v>634</v>
      </c>
      <c r="B17">
        <v>636</v>
      </c>
      <c r="C17" s="5">
        <f>IF(Tabla_Compras[[#This Row],[id_padre]]="",0,_xlfn.XLOOKUP(Tabla_Compras[[#This Row],[id_padre]],Tabla_Compras[Id],Tabla_Compras[Nivel],0,0,1)+1)</f>
        <v>2</v>
      </c>
      <c r="D17" s="2" t="s">
        <v>563</v>
      </c>
      <c r="E17" s="2">
        <f>IF(Tabla_Compras[[#This Row],[Id_anterior]]=1,ROW()-1,SUM(ROW()-1,Tabla_Compras[[#This Row],[Id_anterior]]))</f>
        <v>650</v>
      </c>
      <c r="F1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COMPRAS_PARAMETROS_PIES_FIRMA_COT_ADJ_O_C_SAFI</v>
      </c>
      <c r="G17" s="2" t="str">
        <f>CLEAN(PROPER(Tabla_Compras[[#This Row],[Nombre Opción]]))</f>
        <v>Pies De Firma Cot-Adj-O/C Safi</v>
      </c>
      <c r="H17" s="2" t="s">
        <v>1735</v>
      </c>
      <c r="I17" s="2" t="str">
        <f>_xlfn.XLOOKUP(Tabla_Compras[[#This Row],[id_padre]],Tabla_Compras[Id],Tabla_Compras[Codigo_Tecnico],"",0,1)</f>
        <v>COMPRAS_PARAMETROS</v>
      </c>
      <c r="J1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/compras/parametros/pies-firma-cot-adj-o-c-safi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pies-firma-cot-adj-o-c-safi</v>
      </c>
      <c r="L17" s="2" t="s">
        <v>1471</v>
      </c>
      <c r="M17" s="2" t="s">
        <v>1795</v>
      </c>
      <c r="O17" s="4"/>
      <c r="Q17" s="4" t="s">
        <v>360</v>
      </c>
      <c r="R17" s="4" t="s">
        <v>360</v>
      </c>
      <c r="U17" s="4" t="s">
        <v>360</v>
      </c>
      <c r="V17" s="4" t="s">
        <v>360</v>
      </c>
      <c r="X17" s="4" t="s">
        <v>360</v>
      </c>
      <c r="AB17" s="4" t="s">
        <v>360</v>
      </c>
      <c r="AC17" s="2" t="str">
        <f>IF(Tabla_Compras[[#This Row],[id_padre]]=Tabla_Compras[[#This Row],[Id]],"NOK","OK")</f>
        <v>OK</v>
      </c>
      <c r="AD17" s="2"/>
      <c r="AE17" s="2"/>
      <c r="AF17" s="2"/>
    </row>
    <row r="18" spans="1:32" x14ac:dyDescent="0.5">
      <c r="A18" s="2">
        <f>MAX(Tabla_Caja[Id])</f>
        <v>634</v>
      </c>
      <c r="B18">
        <v>636</v>
      </c>
      <c r="C18" s="5">
        <f>IF(Tabla_Compras[[#This Row],[id_padre]]="",0,_xlfn.XLOOKUP(Tabla_Compras[[#This Row],[id_padre]],Tabla_Compras[Id],Tabla_Compras[Nivel],0,0,1)+1)</f>
        <v>2</v>
      </c>
      <c r="D18" s="2" t="s">
        <v>456</v>
      </c>
      <c r="E18" s="2">
        <f>IF(Tabla_Compras[[#This Row],[Id_anterior]]=1,ROW()-1,SUM(ROW()-1,Tabla_Compras[[#This Row],[Id_anterior]]))</f>
        <v>651</v>
      </c>
      <c r="F1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COMPRAS_PARAMETROS_PIE_FIRMA</v>
      </c>
      <c r="G18" s="2" t="str">
        <f>CLEAN(PROPER(Tabla_Compras[[#This Row],[Nombre Opción]]))</f>
        <v>Pie De Firma</v>
      </c>
      <c r="H18" s="2" t="s">
        <v>1735</v>
      </c>
      <c r="I18" s="2" t="str">
        <f>_xlfn.XLOOKUP(Tabla_Compras[[#This Row],[id_padre]],Tabla_Compras[Id],Tabla_Compras[Codigo_Tecnico],"",0,1)</f>
        <v>COMPRAS_PARAMETROS</v>
      </c>
      <c r="J1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/compras/parametros/pie-firma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pie-firma</v>
      </c>
      <c r="L18" s="2" t="s">
        <v>1405</v>
      </c>
      <c r="M18" s="2" t="s">
        <v>1795</v>
      </c>
      <c r="N18" s="4" t="s">
        <v>360</v>
      </c>
      <c r="O18" s="4"/>
      <c r="P18" s="4" t="s">
        <v>360</v>
      </c>
      <c r="Q18" s="4" t="s">
        <v>360</v>
      </c>
      <c r="R18" s="4" t="s">
        <v>360</v>
      </c>
      <c r="S18" s="4" t="s">
        <v>360</v>
      </c>
      <c r="V18" s="4" t="s">
        <v>360</v>
      </c>
      <c r="X18" s="4" t="s">
        <v>360</v>
      </c>
      <c r="Y18" s="4" t="s">
        <v>360</v>
      </c>
      <c r="Z18" s="4" t="s">
        <v>360</v>
      </c>
      <c r="AB18" s="4" t="s">
        <v>360</v>
      </c>
      <c r="AC18" s="2" t="str">
        <f>IF(Tabla_Compras[[#This Row],[id_padre]]=Tabla_Compras[[#This Row],[Id]],"NOK","OK")</f>
        <v>OK</v>
      </c>
      <c r="AD18" s="2"/>
      <c r="AE18" s="2"/>
      <c r="AF18" s="2"/>
    </row>
    <row r="19" spans="1:32" x14ac:dyDescent="0.5">
      <c r="A19" s="2">
        <f>MAX(Tabla_Caja[Id])</f>
        <v>634</v>
      </c>
      <c r="B19" s="2">
        <v>651</v>
      </c>
      <c r="C19" s="5">
        <f>IF(Tabla_Compras[[#This Row],[id_padre]]="",0,_xlfn.XLOOKUP(Tabla_Compras[[#This Row],[id_padre]],Tabla_Compras[Id],Tabla_Compras[Nivel],0,0,1)+1)</f>
        <v>3</v>
      </c>
      <c r="D19" s="2" t="s">
        <v>564</v>
      </c>
      <c r="E19" s="2">
        <f>IF(Tabla_Compras[[#This Row],[Id_anterior]]=1,ROW()-1,SUM(ROW()-1,Tabla_Compras[[#This Row],[Id_anterior]]))</f>
        <v>652</v>
      </c>
      <c r="F1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COMPRAS_PARAMETROS_PIE_FIRMA_ACTA_RECEPCION</v>
      </c>
      <c r="G19" s="2" t="str">
        <f>CLEAN(PROPER(Tabla_Compras[[#This Row],[Nombre Opción]]))</f>
        <v>Acta De Recepcion</v>
      </c>
      <c r="H19" s="2" t="s">
        <v>1735</v>
      </c>
      <c r="I19" s="2" t="str">
        <f>_xlfn.XLOOKUP(Tabla_Compras[[#This Row],[id_padre]],Tabla_Compras[Id],Tabla_Compras[Codigo_Tecnico],"",0,1)</f>
        <v>COMPRAS_PARAMETROS_PIE_FIRMA</v>
      </c>
      <c r="J1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/compras/parametros/pie-firma/acta-recepcion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acta-recepcion</v>
      </c>
      <c r="L19" s="2" t="s">
        <v>1349</v>
      </c>
      <c r="M19" s="2" t="s">
        <v>1795</v>
      </c>
      <c r="N19" s="4" t="s">
        <v>360</v>
      </c>
      <c r="O19" s="4"/>
      <c r="P19" s="4" t="s">
        <v>360</v>
      </c>
      <c r="Q19" s="4" t="s">
        <v>360</v>
      </c>
      <c r="R19" s="4" t="s">
        <v>360</v>
      </c>
      <c r="S19" s="4" t="s">
        <v>360</v>
      </c>
      <c r="V19" s="4" t="s">
        <v>360</v>
      </c>
      <c r="X19" s="4" t="s">
        <v>360</v>
      </c>
      <c r="Y19" s="4" t="s">
        <v>360</v>
      </c>
      <c r="Z19" s="4" t="s">
        <v>360</v>
      </c>
      <c r="AB19" s="4" t="s">
        <v>360</v>
      </c>
      <c r="AC19" s="2" t="str">
        <f>IF(Tabla_Compras[[#This Row],[id_padre]]=Tabla_Compras[[#This Row],[Id]],"NOK","OK")</f>
        <v>OK</v>
      </c>
      <c r="AD19" s="2"/>
      <c r="AE19" s="2"/>
      <c r="AF19" s="2"/>
    </row>
    <row r="20" spans="1:32" x14ac:dyDescent="0.5">
      <c r="A20" s="2">
        <f>MAX(Tabla_Caja[Id])</f>
        <v>634</v>
      </c>
      <c r="B20" s="2">
        <v>652</v>
      </c>
      <c r="C20" s="5">
        <f>IF(Tabla_Compras[[#This Row],[id_padre]]="",0,_xlfn.XLOOKUP(Tabla_Compras[[#This Row],[id_padre]],Tabla_Compras[Id],Tabla_Compras[Nivel],0,0,1)+1)</f>
        <v>4</v>
      </c>
      <c r="D20" s="2" t="s">
        <v>565</v>
      </c>
      <c r="E20" s="2">
        <f>IF(Tabla_Compras[[#This Row],[Id_anterior]]=1,ROW()-1,SUM(ROW()-1,Tabla_Compras[[#This Row],[Id_anterior]]))</f>
        <v>653</v>
      </c>
      <c r="F2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COMPRAS_PARAMETROS_PIE_FIRMA_ACTA_RECEPCION_O_C_SAFI</v>
      </c>
      <c r="G20" s="2" t="str">
        <f>CLEAN(PROPER(Tabla_Compras[[#This Row],[Nombre Opción]]))</f>
        <v>O/C Safi</v>
      </c>
      <c r="H20" s="2" t="s">
        <v>1735</v>
      </c>
      <c r="I20" s="2" t="str">
        <f>_xlfn.XLOOKUP(Tabla_Compras[[#This Row],[id_padre]],Tabla_Compras[Id],Tabla_Compras[Codigo_Tecnico],"",0,1)</f>
        <v>COMPRAS_PARAMETROS_PIE_FIRMA_ACTA_RECEPCION</v>
      </c>
      <c r="J2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/compras/parametros/pie-firma/acta-recepcion/o-c-safi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o-c-safi</v>
      </c>
      <c r="L20" s="2" t="s">
        <v>1343</v>
      </c>
      <c r="M20" s="2" t="s">
        <v>1795</v>
      </c>
      <c r="N20" s="4" t="s">
        <v>360</v>
      </c>
      <c r="O20" s="4"/>
      <c r="P20" s="4" t="s">
        <v>360</v>
      </c>
      <c r="Q20" s="4" t="s">
        <v>360</v>
      </c>
      <c r="R20" s="4" t="s">
        <v>360</v>
      </c>
      <c r="S20" s="4" t="s">
        <v>360</v>
      </c>
      <c r="V20" s="4" t="s">
        <v>360</v>
      </c>
      <c r="X20" s="4" t="s">
        <v>360</v>
      </c>
      <c r="Y20" s="4" t="s">
        <v>360</v>
      </c>
      <c r="Z20" s="4" t="s">
        <v>360</v>
      </c>
      <c r="AB20" s="4" t="s">
        <v>360</v>
      </c>
      <c r="AC20" s="2" t="str">
        <f>IF(Tabla_Compras[[#This Row],[id_padre]]=Tabla_Compras[[#This Row],[Id]],"NOK","OK")</f>
        <v>OK</v>
      </c>
      <c r="AD20" s="2"/>
      <c r="AE20" s="2"/>
      <c r="AF20" s="2"/>
    </row>
    <row r="21" spans="1:32" x14ac:dyDescent="0.5">
      <c r="A21" s="2">
        <f>MAX(Tabla_Caja[Id])</f>
        <v>634</v>
      </c>
      <c r="B21" s="2">
        <v>652</v>
      </c>
      <c r="C21" s="5">
        <f>IF(Tabla_Compras[[#This Row],[id_padre]]="",0,_xlfn.XLOOKUP(Tabla_Compras[[#This Row],[id_padre]],Tabla_Compras[Id],Tabla_Compras[Nivel],0,0,1)+1)</f>
        <v>4</v>
      </c>
      <c r="D21" s="2" t="s">
        <v>566</v>
      </c>
      <c r="E21" s="2">
        <f>IF(Tabla_Compras[[#This Row],[Id_anterior]]=1,ROW()-1,SUM(ROW()-1,Tabla_Compras[[#This Row],[Id_anterior]]))</f>
        <v>654</v>
      </c>
      <c r="F2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COMPRAS_PARAMETROS_PIE_FIRMA_ACTA_RECEPCION_O_C_MERCADO_PUBLICO</v>
      </c>
      <c r="G21" s="2" t="str">
        <f>CLEAN(PROPER(Tabla_Compras[[#This Row],[Nombre Opción]]))</f>
        <v>O/C Mercado Publico</v>
      </c>
      <c r="H21" s="2" t="s">
        <v>1735</v>
      </c>
      <c r="I21" s="2" t="str">
        <f>_xlfn.XLOOKUP(Tabla_Compras[[#This Row],[id_padre]],Tabla_Compras[Id],Tabla_Compras[Codigo_Tecnico],"",0,1)</f>
        <v>COMPRAS_PARAMETROS_PIE_FIRMA_ACTA_RECEPCION</v>
      </c>
      <c r="J2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/compras/parametros/pie-firma/acta-recepcion/o-c-mercado-publico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o-c-mercado-publico</v>
      </c>
      <c r="L21" s="2" t="s">
        <v>1399</v>
      </c>
      <c r="M21" s="2" t="s">
        <v>1795</v>
      </c>
      <c r="N21" s="4" t="s">
        <v>360</v>
      </c>
      <c r="O21" s="4" t="s">
        <v>360</v>
      </c>
      <c r="P21" s="4" t="s">
        <v>360</v>
      </c>
      <c r="Q21" s="4" t="s">
        <v>360</v>
      </c>
      <c r="R21" s="4" t="s">
        <v>360</v>
      </c>
      <c r="U21" s="4" t="s">
        <v>360</v>
      </c>
      <c r="V21" s="4" t="s">
        <v>360</v>
      </c>
      <c r="X21" s="4" t="s">
        <v>360</v>
      </c>
      <c r="Z21" s="4" t="s">
        <v>360</v>
      </c>
      <c r="AB21" s="4" t="s">
        <v>360</v>
      </c>
      <c r="AC21" s="2" t="str">
        <f>IF(Tabla_Compras[[#This Row],[id_padre]]=Tabla_Compras[[#This Row],[Id]],"NOK","OK")</f>
        <v>OK</v>
      </c>
      <c r="AD21" s="2"/>
      <c r="AE21" s="2"/>
      <c r="AF21" s="2"/>
    </row>
    <row r="22" spans="1:32" x14ac:dyDescent="0.5">
      <c r="A22" s="2">
        <f>MAX(Tabla_Caja[Id])</f>
        <v>634</v>
      </c>
      <c r="B22" s="2">
        <v>636</v>
      </c>
      <c r="C22" s="5">
        <f>IF(Tabla_Compras[[#This Row],[id_padre]]="",0,_xlfn.XLOOKUP(Tabla_Compras[[#This Row],[id_padre]],Tabla_Compras[Id],Tabla_Compras[Nivel],0,0,1)+1)</f>
        <v>2</v>
      </c>
      <c r="D22" s="2" t="s">
        <v>567</v>
      </c>
      <c r="E22" s="2">
        <f>IF(Tabla_Compras[[#This Row],[Id_anterior]]=1,ROW()-1,SUM(ROW()-1,Tabla_Compras[[#This Row],[Id_anterior]]))</f>
        <v>655</v>
      </c>
      <c r="F2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COMPRAS_PARAMETROS_PLANTILLA_RESOLUCION_EXENTA_ED_ORDEN_COMPRA</v>
      </c>
      <c r="G22" s="2" t="str">
        <f>CLEAN(PROPER(Tabla_Compras[[#This Row],[Nombre Opción]]))</f>
        <v>Plantilla Resolucion Exenta Ed Orden De Compra</v>
      </c>
      <c r="H22" s="2" t="s">
        <v>1735</v>
      </c>
      <c r="I22" s="2" t="str">
        <f>_xlfn.XLOOKUP(Tabla_Compras[[#This Row],[id_padre]],Tabla_Compras[Id],Tabla_Compras[Codigo_Tecnico],"",0,1)</f>
        <v>COMPRAS_PARAMETROS</v>
      </c>
      <c r="J2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/compras/parametros/plantilla-resolucion-exenta-ed-orden-compra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plantilla-resolucion-exenta-ed-orden-compra</v>
      </c>
      <c r="L22" s="2" t="s">
        <v>1532</v>
      </c>
      <c r="M22" s="2" t="s">
        <v>1795</v>
      </c>
      <c r="O22" s="4"/>
      <c r="Q22" s="4" t="s">
        <v>360</v>
      </c>
      <c r="R22" s="4" t="s">
        <v>360</v>
      </c>
      <c r="V22" s="4" t="s">
        <v>360</v>
      </c>
      <c r="AB22" s="4" t="s">
        <v>360</v>
      </c>
      <c r="AC22" s="2" t="str">
        <f>IF(Tabla_Compras[[#This Row],[id_padre]]=Tabla_Compras[[#This Row],[Id]],"NOK","OK")</f>
        <v>OK</v>
      </c>
      <c r="AD22" s="2"/>
      <c r="AE22" s="2"/>
      <c r="AF22" s="2"/>
    </row>
    <row r="23" spans="1:32" hidden="1" x14ac:dyDescent="0.5">
      <c r="A23" s="2">
        <f>MAX(Tabla_Caja[Id])</f>
        <v>634</v>
      </c>
      <c r="B23" s="2">
        <v>637</v>
      </c>
      <c r="C23" s="5">
        <f>IF(Tabla_Compras[[#This Row],[id_padre]]="",0,_xlfn.XLOOKUP(Tabla_Compras[[#This Row],[id_padre]],Tabla_Compras[Id],Tabla_Compras[Nivel],0,0,1)+1)</f>
        <v>2</v>
      </c>
      <c r="D23" s="2" t="s">
        <v>568</v>
      </c>
      <c r="E23" s="2">
        <f>IF(Tabla_Compras[[#This Row],[Id_anterior]]=1,ROW()-1,SUM(ROW()-1,Tabla_Compras[[#This Row],[Id_anterior]]))</f>
        <v>656</v>
      </c>
      <c r="F2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COMPRAS_PROCESOS_SOLICITUDES_BIENES_Y_SERVICIOS</v>
      </c>
      <c r="G23" s="2" t="str">
        <f>CLEAN(PROPER(Tabla_Compras[[#This Row],[Nombre Opción]]))</f>
        <v>Solicitudes De Bienes Y Servicios</v>
      </c>
      <c r="H23" s="2" t="s">
        <v>1735</v>
      </c>
      <c r="I23" s="2" t="str">
        <f>_xlfn.XLOOKUP(Tabla_Compras[[#This Row],[id_padre]],Tabla_Compras[Id],Tabla_Compras[Codigo_Tecnico],"",0,1)</f>
        <v>COMPRAS_PROCESOS</v>
      </c>
      <c r="J2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/compras/procesos/solicitudes-bienes-y-servicios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solicitudes-bienes-y-servicios</v>
      </c>
      <c r="L23" s="2" t="s">
        <v>1533</v>
      </c>
      <c r="M23" s="2" t="s">
        <v>1795</v>
      </c>
      <c r="O23" s="4"/>
      <c r="Q23" s="4" t="s">
        <v>360</v>
      </c>
      <c r="R23" s="4" t="s">
        <v>360</v>
      </c>
      <c r="S23" s="4" t="s">
        <v>360</v>
      </c>
      <c r="V23" s="4" t="s">
        <v>360</v>
      </c>
      <c r="W23" s="4" t="s">
        <v>360</v>
      </c>
      <c r="X23" s="4" t="s">
        <v>360</v>
      </c>
      <c r="AB23" s="4" t="s">
        <v>360</v>
      </c>
      <c r="AC23" s="2" t="str">
        <f>IF(Tabla_Compras[[#This Row],[id_padre]]=Tabla_Compras[[#This Row],[Id]],"NOK","OK")</f>
        <v>OK</v>
      </c>
      <c r="AD23" s="2"/>
      <c r="AE23" s="2"/>
      <c r="AF23" s="2"/>
    </row>
    <row r="24" spans="1:32" hidden="1" x14ac:dyDescent="0.5">
      <c r="A24" s="2">
        <f>MAX(Tabla_Caja[Id])</f>
        <v>634</v>
      </c>
      <c r="B24" s="2">
        <v>656</v>
      </c>
      <c r="C24" s="5">
        <f>IF(Tabla_Compras[[#This Row],[id_padre]]="",0,_xlfn.XLOOKUP(Tabla_Compras[[#This Row],[id_padre]],Tabla_Compras[Id],Tabla_Compras[Nivel],0,0,1)+1)</f>
        <v>3</v>
      </c>
      <c r="D24" s="2" t="s">
        <v>569</v>
      </c>
      <c r="E24" s="2">
        <f>IF(Tabla_Compras[[#This Row],[Id_anterior]]=1,ROW()-1,SUM(ROW()-1,Tabla_Compras[[#This Row],[Id_anterior]]))</f>
        <v>657</v>
      </c>
      <c r="F2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COMPRAS_PROCESOS_SOLICITUDES_BIENES_Y_SERVICIOS_INGRESO_MODIFICACION</v>
      </c>
      <c r="G24" s="2" t="str">
        <f>CLEAN(PROPER(Tabla_Compras[[#This Row],[Nombre Opción]]))</f>
        <v>Ingreso / Modificacion</v>
      </c>
      <c r="H24" s="2" t="s">
        <v>1735</v>
      </c>
      <c r="I24" s="2" t="str">
        <f>_xlfn.XLOOKUP(Tabla_Compras[[#This Row],[id_padre]],Tabla_Compras[Id],Tabla_Compras[Codigo_Tecnico],"",0,1)</f>
        <v>COMPRAS_PROCESOS_SOLICITUDES_BIENES_Y_SERVICIOS</v>
      </c>
      <c r="J2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/compras/procesos/solicitudes-bienes-y-servicios/ingreso-modificacion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ingreso-modificacion</v>
      </c>
      <c r="L24" s="2" t="s">
        <v>1352</v>
      </c>
      <c r="M24" s="2" t="s">
        <v>1795</v>
      </c>
      <c r="O24" s="4"/>
      <c r="Q24" s="4" t="s">
        <v>360</v>
      </c>
      <c r="R24" s="4" t="s">
        <v>360</v>
      </c>
      <c r="S24" s="4" t="s">
        <v>360</v>
      </c>
      <c r="V24" s="4" t="s">
        <v>360</v>
      </c>
      <c r="W24" s="4" t="s">
        <v>360</v>
      </c>
      <c r="X24" s="4" t="s">
        <v>360</v>
      </c>
      <c r="AB24" s="4" t="s">
        <v>360</v>
      </c>
      <c r="AC24" s="2" t="str">
        <f>IF(Tabla_Compras[[#This Row],[id_padre]]=Tabla_Compras[[#This Row],[Id]],"NOK","OK")</f>
        <v>OK</v>
      </c>
      <c r="AD24" s="2"/>
      <c r="AE24" s="2"/>
      <c r="AF24" s="2"/>
    </row>
    <row r="25" spans="1:32" hidden="1" x14ac:dyDescent="0.5">
      <c r="A25" s="2">
        <f>MAX(Tabla_Caja[Id])</f>
        <v>634</v>
      </c>
      <c r="B25" s="2">
        <v>656</v>
      </c>
      <c r="C25" s="5">
        <f>IF(Tabla_Compras[[#This Row],[id_padre]]="",0,_xlfn.XLOOKUP(Tabla_Compras[[#This Row],[id_padre]],Tabla_Compras[Id],Tabla_Compras[Nivel],0,0,1)+1)</f>
        <v>3</v>
      </c>
      <c r="D25" s="2" t="s">
        <v>570</v>
      </c>
      <c r="E25" s="2">
        <f>IF(Tabla_Compras[[#This Row],[Id_anterior]]=1,ROW()-1,SUM(ROW()-1,Tabla_Compras[[#This Row],[Id_anterior]]))</f>
        <v>658</v>
      </c>
      <c r="F2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COMPRAS_PROCESOS_SOLICITUDES_BIENES_Y_SERVICIOS_ANULACION_SOLICITUDES</v>
      </c>
      <c r="G25" s="2" t="str">
        <f>CLEAN(PROPER(Tabla_Compras[[#This Row],[Nombre Opción]]))</f>
        <v>Anulacion De Solicitudes</v>
      </c>
      <c r="H25" s="2" t="s">
        <v>1735</v>
      </c>
      <c r="I25" s="2" t="str">
        <f>_xlfn.XLOOKUP(Tabla_Compras[[#This Row],[id_padre]],Tabla_Compras[Id],Tabla_Compras[Codigo_Tecnico],"",0,1)</f>
        <v>COMPRAS_PROCESOS_SOLICITUDES_BIENES_Y_SERVICIOS</v>
      </c>
      <c r="J2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/compras/procesos/solicitudes-bienes-y-servicios/anulacion-solicitudes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anulacion-solicitudes</v>
      </c>
      <c r="L25" s="2" t="s">
        <v>1447</v>
      </c>
      <c r="M25" s="2" t="s">
        <v>1795</v>
      </c>
      <c r="N25" s="4" t="s">
        <v>360</v>
      </c>
      <c r="O25" s="4" t="s">
        <v>360</v>
      </c>
      <c r="P25" s="4" t="s">
        <v>360</v>
      </c>
      <c r="Q25" s="4" t="s">
        <v>360</v>
      </c>
      <c r="R25" s="4" t="s">
        <v>360</v>
      </c>
      <c r="S25" s="4" t="s">
        <v>360</v>
      </c>
      <c r="T25" s="4" t="s">
        <v>360</v>
      </c>
      <c r="U25" s="4" t="s">
        <v>360</v>
      </c>
      <c r="V25" s="4" t="s">
        <v>360</v>
      </c>
      <c r="W25" s="4" t="s">
        <v>360</v>
      </c>
      <c r="X25" s="4" t="s">
        <v>360</v>
      </c>
      <c r="AB25" s="4" t="s">
        <v>360</v>
      </c>
      <c r="AC25" s="2" t="str">
        <f>IF(Tabla_Compras[[#This Row],[id_padre]]=Tabla_Compras[[#This Row],[Id]],"NOK","OK")</f>
        <v>OK</v>
      </c>
      <c r="AD25" s="2"/>
      <c r="AE25" s="2"/>
      <c r="AF25" s="2"/>
    </row>
    <row r="26" spans="1:32" hidden="1" x14ac:dyDescent="0.5">
      <c r="A26" s="2">
        <f>MAX(Tabla_Caja[Id])</f>
        <v>634</v>
      </c>
      <c r="B26" s="2">
        <v>637</v>
      </c>
      <c r="C26" s="5">
        <f>IF(Tabla_Compras[[#This Row],[id_padre]]="",0,_xlfn.XLOOKUP(Tabla_Compras[[#This Row],[id_padre]],Tabla_Compras[Id],Tabla_Compras[Nivel],0,0,1)+1)</f>
        <v>2</v>
      </c>
      <c r="D26" s="2" t="s">
        <v>572</v>
      </c>
      <c r="E26" s="2">
        <f>IF(Tabla_Compras[[#This Row],[Id_anterior]]=1,ROW()-1,SUM(ROW()-1,Tabla_Compras[[#This Row],[Id_anterior]]))</f>
        <v>659</v>
      </c>
      <c r="F2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COMPRAS_PROCESOS_COTIZACIONES</v>
      </c>
      <c r="G26" s="2" t="str">
        <f>CLEAN(PROPER(Tabla_Compras[[#This Row],[Nombre Opción]]))</f>
        <v>Cotizaciones</v>
      </c>
      <c r="H26" s="2" t="s">
        <v>1735</v>
      </c>
      <c r="I26" s="2" t="str">
        <f>_xlfn.XLOOKUP(Tabla_Compras[[#This Row],[id_padre]],Tabla_Compras[Id],Tabla_Compras[Codigo_Tecnico],"",0,1)</f>
        <v>COMPRAS_PROCESOS</v>
      </c>
      <c r="J2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/compras/procesos/cotizaciones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cotizaciones</v>
      </c>
      <c r="L26" s="2" t="s">
        <v>1415</v>
      </c>
      <c r="M26" s="2" t="s">
        <v>1795</v>
      </c>
      <c r="O26" s="4"/>
      <c r="Q26" s="4" t="s">
        <v>360</v>
      </c>
      <c r="R26" s="4" t="s">
        <v>360</v>
      </c>
      <c r="S26" s="4" t="s">
        <v>360</v>
      </c>
      <c r="V26" s="4" t="s">
        <v>360</v>
      </c>
      <c r="X26" s="4" t="s">
        <v>360</v>
      </c>
      <c r="AB26" s="4" t="s">
        <v>360</v>
      </c>
      <c r="AC26" s="2" t="str">
        <f>IF(Tabla_Compras[[#This Row],[id_padre]]=Tabla_Compras[[#This Row],[Id]],"NOK","OK")</f>
        <v>OK</v>
      </c>
      <c r="AD26" s="2"/>
      <c r="AE26" s="2"/>
      <c r="AF26" s="2"/>
    </row>
    <row r="27" spans="1:32" hidden="1" x14ac:dyDescent="0.5">
      <c r="A27" s="2">
        <f>MAX(Tabla_Caja[Id])</f>
        <v>634</v>
      </c>
      <c r="B27" s="2">
        <v>659</v>
      </c>
      <c r="C27" s="5">
        <f>IF(Tabla_Compras[[#This Row],[id_padre]]="",0,_xlfn.XLOOKUP(Tabla_Compras[[#This Row],[id_padre]],Tabla_Compras[Id],Tabla_Compras[Nivel],0,0,1)+1)</f>
        <v>3</v>
      </c>
      <c r="D27" s="2" t="s">
        <v>573</v>
      </c>
      <c r="E27" s="2">
        <f>IF(Tabla_Compras[[#This Row],[Id_anterior]]=1,ROW()-1,SUM(ROW()-1,Tabla_Compras[[#This Row],[Id_anterior]]))</f>
        <v>660</v>
      </c>
      <c r="F2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COMPRAS_PROCESOS_COTIZACIONES_ELECCION_PROVEEDORES</v>
      </c>
      <c r="G27" s="2" t="str">
        <f>CLEAN(PROPER(Tabla_Compras[[#This Row],[Nombre Opción]]))</f>
        <v>Eleccion De Proveedores</v>
      </c>
      <c r="H27" s="2" t="s">
        <v>1735</v>
      </c>
      <c r="I27" s="2" t="str">
        <f>_xlfn.XLOOKUP(Tabla_Compras[[#This Row],[id_padre]],Tabla_Compras[Id],Tabla_Compras[Codigo_Tecnico],"",0,1)</f>
        <v>COMPRAS_PROCESOS_COTIZACIONES</v>
      </c>
      <c r="J2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/compras/procesos/cotizaciones/eleccion-proveedores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eleccion-proveedores</v>
      </c>
      <c r="L27" s="2" t="s">
        <v>1534</v>
      </c>
      <c r="M27" s="2" t="s">
        <v>1795</v>
      </c>
      <c r="O27" s="4"/>
      <c r="Q27" s="4" t="s">
        <v>360</v>
      </c>
      <c r="R27" s="4" t="s">
        <v>360</v>
      </c>
      <c r="S27" s="4" t="s">
        <v>360</v>
      </c>
      <c r="V27" s="4" t="s">
        <v>360</v>
      </c>
      <c r="X27" s="4" t="s">
        <v>360</v>
      </c>
      <c r="AB27" s="4" t="s">
        <v>360</v>
      </c>
      <c r="AC27" s="2" t="str">
        <f>IF(Tabla_Compras[[#This Row],[id_padre]]=Tabla_Compras[[#This Row],[Id]],"NOK","OK")</f>
        <v>OK</v>
      </c>
      <c r="AD27" s="2"/>
      <c r="AE27" s="2"/>
      <c r="AF27" s="2"/>
    </row>
    <row r="28" spans="1:32" hidden="1" x14ac:dyDescent="0.5">
      <c r="A28" s="2">
        <f>MAX(Tabla_Caja[Id])</f>
        <v>634</v>
      </c>
      <c r="B28" s="2">
        <v>659</v>
      </c>
      <c r="C28" s="5">
        <f>IF(Tabla_Compras[[#This Row],[id_padre]]="",0,_xlfn.XLOOKUP(Tabla_Compras[[#This Row],[id_padre]],Tabla_Compras[Id],Tabla_Compras[Nivel],0,0,1)+1)</f>
        <v>3</v>
      </c>
      <c r="D28" s="2" t="s">
        <v>574</v>
      </c>
      <c r="E28" s="2">
        <f>IF(Tabla_Compras[[#This Row],[Id_anterior]]=1,ROW()-1,SUM(ROW()-1,Tabla_Compras[[#This Row],[Id_anterior]]))</f>
        <v>661</v>
      </c>
      <c r="F2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COMPRAS_PROCESOS_COTIZACIONES_GENERACION_COTIZACION</v>
      </c>
      <c r="G28" s="2" t="str">
        <f>CLEAN(PROPER(Tabla_Compras[[#This Row],[Nombre Opción]]))</f>
        <v>Generacion De Cotizacion</v>
      </c>
      <c r="H28" s="2" t="s">
        <v>1735</v>
      </c>
      <c r="I28" s="2" t="str">
        <f>_xlfn.XLOOKUP(Tabla_Compras[[#This Row],[id_padre]],Tabla_Compras[Id],Tabla_Compras[Codigo_Tecnico],"",0,1)</f>
        <v>COMPRAS_PROCESOS_COTIZACIONES</v>
      </c>
      <c r="J2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/compras/procesos/cotizaciones/generacion-cotizacion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generacion-cotizacion</v>
      </c>
      <c r="L28" s="2" t="s">
        <v>1482</v>
      </c>
      <c r="M28" s="2" t="s">
        <v>1795</v>
      </c>
      <c r="O28" s="4"/>
      <c r="Q28" s="4" t="s">
        <v>360</v>
      </c>
      <c r="R28" s="4" t="s">
        <v>360</v>
      </c>
      <c r="S28" s="4" t="s">
        <v>360</v>
      </c>
      <c r="V28" s="4" t="s">
        <v>360</v>
      </c>
      <c r="X28" s="4" t="s">
        <v>360</v>
      </c>
      <c r="AB28" s="4" t="s">
        <v>360</v>
      </c>
      <c r="AC28" s="2" t="str">
        <f>IF(Tabla_Compras[[#This Row],[id_padre]]=Tabla_Compras[[#This Row],[Id]],"NOK","OK")</f>
        <v>OK</v>
      </c>
      <c r="AD28" s="2"/>
      <c r="AE28" s="2"/>
      <c r="AF28" s="2"/>
    </row>
    <row r="29" spans="1:32" hidden="1" x14ac:dyDescent="0.5">
      <c r="A29" s="2">
        <f>MAX(Tabla_Caja[Id])</f>
        <v>634</v>
      </c>
      <c r="B29" s="2">
        <v>659</v>
      </c>
      <c r="C29" s="5">
        <f>IF(Tabla_Compras[[#This Row],[id_padre]]="",0,_xlfn.XLOOKUP(Tabla_Compras[[#This Row],[id_padre]],Tabla_Compras[Id],Tabla_Compras[Nivel],0,0,1)+1)</f>
        <v>3</v>
      </c>
      <c r="D29" s="2" t="s">
        <v>575</v>
      </c>
      <c r="E29" s="2">
        <f>IF(Tabla_Compras[[#This Row],[Id_anterior]]=1,ROW()-1,SUM(ROW()-1,Tabla_Compras[[#This Row],[Id_anterior]]))</f>
        <v>662</v>
      </c>
      <c r="F2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COMPRAS_PROCESOS_COTIZACIONES_RESPUESTAS_SOLICITUDES</v>
      </c>
      <c r="G29" s="2" t="str">
        <f>CLEAN(PROPER(Tabla_Compras[[#This Row],[Nombre Opción]]))</f>
        <v>Respuestas De Solicitudes</v>
      </c>
      <c r="H29" s="2" t="s">
        <v>1735</v>
      </c>
      <c r="I29" s="2" t="str">
        <f>_xlfn.XLOOKUP(Tabla_Compras[[#This Row],[id_padre]],Tabla_Compras[Id],Tabla_Compras[Codigo_Tecnico],"",0,1)</f>
        <v>COMPRAS_PROCESOS_COTIZACIONES</v>
      </c>
      <c r="J2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/compras/procesos/cotizaciones/respuestas-solicitudes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respuestas-solicitudes</v>
      </c>
      <c r="L29" s="2" t="s">
        <v>1535</v>
      </c>
      <c r="M29" s="2" t="s">
        <v>1795</v>
      </c>
      <c r="O29" s="4"/>
      <c r="Q29" s="4" t="s">
        <v>360</v>
      </c>
      <c r="R29" s="4" t="s">
        <v>360</v>
      </c>
      <c r="S29" s="4" t="s">
        <v>360</v>
      </c>
      <c r="V29" s="4" t="s">
        <v>360</v>
      </c>
      <c r="X29" s="4" t="s">
        <v>360</v>
      </c>
      <c r="AB29" s="4" t="s">
        <v>360</v>
      </c>
      <c r="AC29" s="2" t="str">
        <f>IF(Tabla_Compras[[#This Row],[id_padre]]=Tabla_Compras[[#This Row],[Id]],"NOK","OK")</f>
        <v>OK</v>
      </c>
      <c r="AD29" s="2"/>
      <c r="AE29" s="2"/>
      <c r="AF29" s="2"/>
    </row>
    <row r="30" spans="1:32" hidden="1" x14ac:dyDescent="0.5">
      <c r="A30" s="2">
        <f>MAX(Tabla_Caja[Id])</f>
        <v>634</v>
      </c>
      <c r="B30" s="2">
        <v>659</v>
      </c>
      <c r="C30" s="5">
        <f>IF(Tabla_Compras[[#This Row],[id_padre]]="",0,_xlfn.XLOOKUP(Tabla_Compras[[#This Row],[id_padre]],Tabla_Compras[Id],Tabla_Compras[Nivel],0,0,1)+1)</f>
        <v>3</v>
      </c>
      <c r="D30" s="2" t="s">
        <v>576</v>
      </c>
      <c r="E30" s="2">
        <f>IF(Tabla_Compras[[#This Row],[Id_anterior]]=1,ROW()-1,SUM(ROW()-1,Tabla_Compras[[#This Row],[Id_anterior]]))</f>
        <v>663</v>
      </c>
      <c r="F3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COMPRAS_PROCESOS_COTIZACIONES_ADJUDICACION_Y_AUTORIZACION</v>
      </c>
      <c r="G30" s="2" t="str">
        <f>CLEAN(PROPER(Tabla_Compras[[#This Row],[Nombre Opción]]))</f>
        <v>Adjudicacion Y Autorizacion</v>
      </c>
      <c r="H30" s="2" t="s">
        <v>1735</v>
      </c>
      <c r="I30" s="2" t="str">
        <f>_xlfn.XLOOKUP(Tabla_Compras[[#This Row],[id_padre]],Tabla_Compras[Id],Tabla_Compras[Codigo_Tecnico],"",0,1)</f>
        <v>COMPRAS_PROCESOS_COTIZACIONES</v>
      </c>
      <c r="J3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/compras/procesos/cotizaciones/adjudicacion-y-autorizacion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adjudicacion-y-autorizacion</v>
      </c>
      <c r="L30" s="2" t="s">
        <v>1457</v>
      </c>
      <c r="M30" s="2" t="s">
        <v>1795</v>
      </c>
      <c r="O30" s="4"/>
      <c r="Q30" s="4" t="s">
        <v>360</v>
      </c>
      <c r="R30" s="4" t="s">
        <v>360</v>
      </c>
      <c r="S30" s="4" t="s">
        <v>360</v>
      </c>
      <c r="V30" s="4" t="s">
        <v>360</v>
      </c>
      <c r="X30" s="4" t="s">
        <v>360</v>
      </c>
      <c r="AB30" s="4" t="s">
        <v>360</v>
      </c>
      <c r="AC30" s="2" t="str">
        <f>IF(Tabla_Compras[[#This Row],[id_padre]]=Tabla_Compras[[#This Row],[Id]],"NOK","OK")</f>
        <v>OK</v>
      </c>
      <c r="AD30" s="2"/>
      <c r="AE30" s="2"/>
      <c r="AF30" s="2"/>
    </row>
    <row r="31" spans="1:32" hidden="1" x14ac:dyDescent="0.5">
      <c r="A31" s="2">
        <f>MAX(Tabla_Caja[Id])</f>
        <v>634</v>
      </c>
      <c r="B31" s="2">
        <v>659</v>
      </c>
      <c r="C31" s="5">
        <f>IF(Tabla_Compras[[#This Row],[id_padre]]="",0,_xlfn.XLOOKUP(Tabla_Compras[[#This Row],[id_padre]],Tabla_Compras[Id],Tabla_Compras[Nivel],0,0,1)+1)</f>
        <v>3</v>
      </c>
      <c r="D31" s="2" t="s">
        <v>577</v>
      </c>
      <c r="E31" s="2">
        <f>IF(Tabla_Compras[[#This Row],[Id_anterior]]=1,ROW()-1,SUM(ROW()-1,Tabla_Compras[[#This Row],[Id_anterior]]))</f>
        <v>664</v>
      </c>
      <c r="F3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COMPRAS_PROCESOS_COTIZACIONES_LISTADO_SOLICITUDES_COTIZACION</v>
      </c>
      <c r="G31" s="2" t="str">
        <f>CLEAN(PROPER(Tabla_Compras[[#This Row],[Nombre Opción]]))</f>
        <v>Listado De Solicitudes De Cotizacion</v>
      </c>
      <c r="H31" s="2" t="s">
        <v>1735</v>
      </c>
      <c r="I31" s="2" t="str">
        <f>_xlfn.XLOOKUP(Tabla_Compras[[#This Row],[id_padre]],Tabla_Compras[Id],Tabla_Compras[Codigo_Tecnico],"",0,1)</f>
        <v>COMPRAS_PROCESOS_COTIZACIONES</v>
      </c>
      <c r="J3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/compras/procesos/cotizaciones/listado-solicitudes-cotizacion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listado-solicitudes-cotizacion</v>
      </c>
      <c r="L31" s="2" t="s">
        <v>1487</v>
      </c>
      <c r="M31" s="2" t="s">
        <v>1795</v>
      </c>
      <c r="O31" s="4"/>
      <c r="Q31" s="4" t="s">
        <v>360</v>
      </c>
      <c r="R31" s="4" t="s">
        <v>360</v>
      </c>
      <c r="S31" s="4" t="s">
        <v>360</v>
      </c>
      <c r="V31" s="4" t="s">
        <v>360</v>
      </c>
      <c r="X31" s="4" t="s">
        <v>360</v>
      </c>
      <c r="AB31" s="4" t="s">
        <v>360</v>
      </c>
      <c r="AC31" s="2" t="str">
        <f>IF(Tabla_Compras[[#This Row],[id_padre]]=Tabla_Compras[[#This Row],[Id]],"NOK","OK")</f>
        <v>OK</v>
      </c>
      <c r="AD31" s="2"/>
      <c r="AE31" s="2"/>
      <c r="AF31" s="2"/>
    </row>
    <row r="32" spans="1:32" hidden="1" x14ac:dyDescent="0.5">
      <c r="A32" s="2">
        <f>MAX(Tabla_Caja[Id])</f>
        <v>634</v>
      </c>
      <c r="B32" s="2">
        <v>659</v>
      </c>
      <c r="C32" s="5">
        <f>IF(Tabla_Compras[[#This Row],[id_padre]]="",0,_xlfn.XLOOKUP(Tabla_Compras[[#This Row],[id_padre]],Tabla_Compras[Id],Tabla_Compras[Nivel],0,0,1)+1)</f>
        <v>3</v>
      </c>
      <c r="D32" s="2" t="s">
        <v>578</v>
      </c>
      <c r="E32" s="2">
        <f>IF(Tabla_Compras[[#This Row],[Id_anterior]]=1,ROW()-1,SUM(ROW()-1,Tabla_Compras[[#This Row],[Id_anterior]]))</f>
        <v>665</v>
      </c>
      <c r="F3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COMPRAS_PROCESOS_COTIZACIONES_CUADRO_COMPARATIVO</v>
      </c>
      <c r="G32" s="2" t="str">
        <f>CLEAN(PROPER(Tabla_Compras[[#This Row],[Nombre Opción]]))</f>
        <v>Cuadro Comparativo</v>
      </c>
      <c r="H32" s="2" t="s">
        <v>1735</v>
      </c>
      <c r="I32" s="2" t="str">
        <f>_xlfn.XLOOKUP(Tabla_Compras[[#This Row],[id_padre]],Tabla_Compras[Id],Tabla_Compras[Codigo_Tecnico],"",0,1)</f>
        <v>COMPRAS_PROCESOS_COTIZACIONES</v>
      </c>
      <c r="J3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/compras/procesos/cotizaciones/cuadro-comparativo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cuadro-comparativo</v>
      </c>
      <c r="L32" s="2" t="s">
        <v>1408</v>
      </c>
      <c r="M32" s="2" t="s">
        <v>1795</v>
      </c>
      <c r="O32" s="4"/>
      <c r="Q32" s="4" t="s">
        <v>360</v>
      </c>
      <c r="R32" s="4" t="s">
        <v>360</v>
      </c>
      <c r="S32" s="4" t="s">
        <v>360</v>
      </c>
      <c r="V32" s="4" t="s">
        <v>360</v>
      </c>
      <c r="X32" s="4" t="s">
        <v>360</v>
      </c>
      <c r="AB32" s="4" t="s">
        <v>360</v>
      </c>
      <c r="AC32" s="2" t="str">
        <f>IF(Tabla_Compras[[#This Row],[id_padre]]=Tabla_Compras[[#This Row],[Id]],"NOK","OK")</f>
        <v>OK</v>
      </c>
      <c r="AD32" s="2"/>
      <c r="AE32" s="2"/>
      <c r="AF32" s="2"/>
    </row>
    <row r="33" spans="1:32" hidden="1" x14ac:dyDescent="0.5">
      <c r="A33" s="2">
        <f>MAX(Tabla_Caja[Id])</f>
        <v>634</v>
      </c>
      <c r="B33" s="2">
        <v>659</v>
      </c>
      <c r="C33" s="5">
        <f>IF(Tabla_Compras[[#This Row],[id_padre]]="",0,_xlfn.XLOOKUP(Tabla_Compras[[#This Row],[id_padre]],Tabla_Compras[Id],Tabla_Compras[Nivel],0,0,1)+1)</f>
        <v>3</v>
      </c>
      <c r="D33" s="2" t="s">
        <v>579</v>
      </c>
      <c r="E33" s="2">
        <f>IF(Tabla_Compras[[#This Row],[Id_anterior]]=1,ROW()-1,SUM(ROW()-1,Tabla_Compras[[#This Row],[Id_anterior]]))</f>
        <v>666</v>
      </c>
      <c r="F3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COMPRAS_PROCESOS_COTIZACIONES_ACTA_ADJUDICACION</v>
      </c>
      <c r="G33" s="2" t="str">
        <f>CLEAN(PROPER(Tabla_Compras[[#This Row],[Nombre Opción]]))</f>
        <v>Acta De Adjudicacion</v>
      </c>
      <c r="H33" s="2" t="s">
        <v>1735</v>
      </c>
      <c r="I33" s="2" t="str">
        <f>_xlfn.XLOOKUP(Tabla_Compras[[#This Row],[id_padre]],Tabla_Compras[Id],Tabla_Compras[Codigo_Tecnico],"",0,1)</f>
        <v>COMPRAS_PROCESOS_COTIZACIONES</v>
      </c>
      <c r="J3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/compras/procesos/cotizaciones/acta-adjudicacion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acta-adjudicacion</v>
      </c>
      <c r="L33" s="2" t="s">
        <v>1519</v>
      </c>
      <c r="M33" s="2" t="s">
        <v>1795</v>
      </c>
      <c r="O33" s="4"/>
      <c r="Q33" s="4" t="s">
        <v>360</v>
      </c>
      <c r="R33" s="4" t="s">
        <v>360</v>
      </c>
      <c r="S33" s="4" t="s">
        <v>360</v>
      </c>
      <c r="V33" s="4" t="s">
        <v>360</v>
      </c>
      <c r="X33" s="4" t="s">
        <v>360</v>
      </c>
      <c r="AB33" s="4" t="s">
        <v>360</v>
      </c>
      <c r="AC33" s="2" t="str">
        <f>IF(Tabla_Compras[[#This Row],[id_padre]]=Tabla_Compras[[#This Row],[Id]],"NOK","OK")</f>
        <v>OK</v>
      </c>
      <c r="AD33" s="2"/>
      <c r="AE33" s="2"/>
      <c r="AF33" s="2"/>
    </row>
    <row r="34" spans="1:32" hidden="1" x14ac:dyDescent="0.5">
      <c r="A34" s="2">
        <f>MAX(Tabla_Caja[Id])</f>
        <v>634</v>
      </c>
      <c r="B34" s="2">
        <v>637</v>
      </c>
      <c r="C34" s="5">
        <f>IF(Tabla_Compras[[#This Row],[id_padre]]="",0,_xlfn.XLOOKUP(Tabla_Compras[[#This Row],[id_padre]],Tabla_Compras[Id],Tabla_Compras[Nivel],0,0,1)+1)</f>
        <v>2</v>
      </c>
      <c r="D34" s="2" t="s">
        <v>580</v>
      </c>
      <c r="E34" s="2">
        <f>IF(Tabla_Compras[[#This Row],[Id_anterior]]=1,ROW()-1,SUM(ROW()-1,Tabla_Compras[[#This Row],[Id_anterior]]))</f>
        <v>667</v>
      </c>
      <c r="F3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</v>
      </c>
      <c r="G34" s="2" t="str">
        <f>CLEAN(PROPER(Tabla_Compras[[#This Row],[Nombre Opción]]))</f>
        <v>Ordenes De Compra</v>
      </c>
      <c r="H34" s="2" t="s">
        <v>1735</v>
      </c>
      <c r="I34" s="2" t="str">
        <f>_xlfn.XLOOKUP(Tabla_Compras[[#This Row],[id_padre]],Tabla_Compras[Id],Tabla_Compras[Codigo_Tecnico],"",0,1)</f>
        <v>COMPRAS_PROCESOS</v>
      </c>
      <c r="J3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ordenes-compra</v>
      </c>
      <c r="L34" s="2" t="s">
        <v>1364</v>
      </c>
      <c r="M34" s="2" t="s">
        <v>1795</v>
      </c>
      <c r="O34" s="4"/>
      <c r="Q34" s="4" t="s">
        <v>360</v>
      </c>
      <c r="R34" s="4" t="s">
        <v>360</v>
      </c>
      <c r="S34" s="4" t="s">
        <v>360</v>
      </c>
      <c r="V34" s="4" t="s">
        <v>360</v>
      </c>
      <c r="X34" s="4" t="s">
        <v>360</v>
      </c>
      <c r="AB34" s="4" t="s">
        <v>360</v>
      </c>
      <c r="AC34" s="2" t="str">
        <f>IF(Tabla_Compras[[#This Row],[id_padre]]=Tabla_Compras[[#This Row],[Id]],"NOK","OK")</f>
        <v>OK</v>
      </c>
      <c r="AD34" s="2"/>
      <c r="AE34" s="2"/>
      <c r="AF34" s="2"/>
    </row>
    <row r="35" spans="1:32" hidden="1" x14ac:dyDescent="0.5">
      <c r="A35" s="2">
        <f>MAX(Tabla_Caja[Id])</f>
        <v>634</v>
      </c>
      <c r="B35" s="2">
        <v>667</v>
      </c>
      <c r="C35" s="5">
        <f>IF(Tabla_Compras[[#This Row],[id_padre]]="",0,_xlfn.XLOOKUP(Tabla_Compras[[#This Row],[id_padre]],Tabla_Compras[Id],Tabla_Compras[Nivel],0,0,1)+1)</f>
        <v>3</v>
      </c>
      <c r="D35" s="2" t="s">
        <v>581</v>
      </c>
      <c r="E35" s="2">
        <f>IF(Tabla_Compras[[#This Row],[Id_anterior]]=1,ROW()-1,SUM(ROW()-1,Tabla_Compras[[#This Row],[Id_anterior]]))</f>
        <v>668</v>
      </c>
      <c r="F3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COMPRAS_PROCESOS_ORDENES_COMPRA_GENERACION</v>
      </c>
      <c r="G35" s="2" t="str">
        <f>CLEAN(PROPER(Tabla_Compras[[#This Row],[Nombre Opción]]))</f>
        <v>Generacion</v>
      </c>
      <c r="H35" s="2" t="s">
        <v>1735</v>
      </c>
      <c r="I35" s="2" t="str">
        <f>_xlfn.XLOOKUP(Tabla_Compras[[#This Row],[id_padre]],Tabla_Compras[Id],Tabla_Compras[Codigo_Tecnico],"",0,1)</f>
        <v>COMPRAS_PROCESOS_ORDENES_COMPRA</v>
      </c>
      <c r="J3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/compras/procesos/ordenes-compra/generacion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generacion</v>
      </c>
      <c r="L35" s="2" t="s">
        <v>1536</v>
      </c>
      <c r="M35" s="2" t="s">
        <v>1795</v>
      </c>
      <c r="O35" s="4"/>
      <c r="Q35" s="4" t="s">
        <v>360</v>
      </c>
      <c r="R35" s="4" t="s">
        <v>360</v>
      </c>
      <c r="S35" s="4" t="s">
        <v>360</v>
      </c>
      <c r="V35" s="4" t="s">
        <v>360</v>
      </c>
      <c r="X35" s="4" t="s">
        <v>360</v>
      </c>
      <c r="AB35" s="4" t="s">
        <v>360</v>
      </c>
      <c r="AC35" s="2" t="str">
        <f>IF(Tabla_Compras[[#This Row],[id_padre]]=Tabla_Compras[[#This Row],[Id]],"NOK","OK")</f>
        <v>OK</v>
      </c>
      <c r="AD35" s="2"/>
      <c r="AE35" s="2"/>
      <c r="AF35" s="2"/>
    </row>
    <row r="36" spans="1:32" hidden="1" x14ac:dyDescent="0.5">
      <c r="A36" s="2">
        <f>MAX(Tabla_Caja[Id])</f>
        <v>634</v>
      </c>
      <c r="B36" s="2">
        <v>667</v>
      </c>
      <c r="C36" s="5">
        <f>IF(Tabla_Compras[[#This Row],[id_padre]]="",0,_xlfn.XLOOKUP(Tabla_Compras[[#This Row],[id_padre]],Tabla_Compras[Id],Tabla_Compras[Nivel],0,0,1)+1)</f>
        <v>3</v>
      </c>
      <c r="D36" s="2" t="s">
        <v>582</v>
      </c>
      <c r="E36" s="2">
        <f>IF(Tabla_Compras[[#This Row],[Id_anterior]]=1,ROW()-1,SUM(ROW()-1,Tabla_Compras[[#This Row],[Id_anterior]]))</f>
        <v>669</v>
      </c>
      <c r="F3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COMPRAS_PROCESOS_ORDENES_COMPRA_ANULACION_ORDEN_COMPRA</v>
      </c>
      <c r="G36" s="2" t="str">
        <f>CLEAN(PROPER(Tabla_Compras[[#This Row],[Nombre Opción]]))</f>
        <v>Anulacion De Orden De Compra</v>
      </c>
      <c r="H36" s="2" t="s">
        <v>1735</v>
      </c>
      <c r="I36" s="2" t="str">
        <f>_xlfn.XLOOKUP(Tabla_Compras[[#This Row],[id_padre]],Tabla_Compras[Id],Tabla_Compras[Codigo_Tecnico],"",0,1)</f>
        <v>COMPRAS_PROCESOS_ORDENES_COMPRA</v>
      </c>
      <c r="J3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/compras/procesos/ordenes-compra/anulacion-orden-compra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anulacion-orden-compra</v>
      </c>
      <c r="L36" s="2" t="s">
        <v>1346</v>
      </c>
      <c r="M36" s="2" t="s">
        <v>1795</v>
      </c>
      <c r="O36" s="4"/>
      <c r="Q36" s="4" t="s">
        <v>360</v>
      </c>
      <c r="R36" s="4" t="s">
        <v>360</v>
      </c>
      <c r="S36" s="4" t="s">
        <v>360</v>
      </c>
      <c r="V36" s="4" t="s">
        <v>360</v>
      </c>
      <c r="X36" s="4" t="s">
        <v>360</v>
      </c>
      <c r="AB36" s="4" t="s">
        <v>360</v>
      </c>
      <c r="AC36" s="2" t="str">
        <f>IF(Tabla_Compras[[#This Row],[id_padre]]=Tabla_Compras[[#This Row],[Id]],"NOK","OK")</f>
        <v>OK</v>
      </c>
      <c r="AD36" s="2"/>
      <c r="AE36" s="2"/>
      <c r="AF36" s="2"/>
    </row>
    <row r="37" spans="1:32" hidden="1" x14ac:dyDescent="0.5">
      <c r="A37" s="2">
        <f>MAX(Tabla_Caja[Id])</f>
        <v>634</v>
      </c>
      <c r="B37" s="2">
        <v>667</v>
      </c>
      <c r="C37" s="5">
        <f>IF(Tabla_Compras[[#This Row],[id_padre]]="",0,_xlfn.XLOOKUP(Tabla_Compras[[#This Row],[id_padre]],Tabla_Compras[Id],Tabla_Compras[Nivel],0,0,1)+1)</f>
        <v>3</v>
      </c>
      <c r="D37" s="2" t="s">
        <v>583</v>
      </c>
      <c r="E37" s="2">
        <f>IF(Tabla_Compras[[#This Row],[Id_anterior]]=1,ROW()-1,SUM(ROW()-1,Tabla_Compras[[#This Row],[Id_anterior]]))</f>
        <v>670</v>
      </c>
      <c r="F3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COMPRAS_PROCESOS_ORDENES_COMPRA_FINALIZACION_DIRECTA_ORDEN_COMPRA</v>
      </c>
      <c r="G37" s="2" t="str">
        <f>CLEAN(PROPER(Tabla_Compras[[#This Row],[Nombre Opción]]))</f>
        <v>Finalizacion Directa De Orden De Compra</v>
      </c>
      <c r="H37" s="2" t="s">
        <v>1735</v>
      </c>
      <c r="I37" s="2" t="str">
        <f>_xlfn.XLOOKUP(Tabla_Compras[[#This Row],[id_padre]],Tabla_Compras[Id],Tabla_Compras[Codigo_Tecnico],"",0,1)</f>
        <v>COMPRAS_PROCESOS_ORDENES_COMPRA</v>
      </c>
      <c r="J3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/compras/procesos/ordenes-compra/finalizacion-directa-orden-compra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finalizacion-directa-orden-compra</v>
      </c>
      <c r="L37" s="2" t="s">
        <v>1508</v>
      </c>
      <c r="M37" s="2" t="s">
        <v>1795</v>
      </c>
      <c r="O37" s="4"/>
      <c r="Q37" s="4" t="s">
        <v>360</v>
      </c>
      <c r="R37" s="4" t="s">
        <v>360</v>
      </c>
      <c r="S37" s="4" t="s">
        <v>360</v>
      </c>
      <c r="V37" s="4" t="s">
        <v>360</v>
      </c>
      <c r="X37" s="4" t="s">
        <v>360</v>
      </c>
      <c r="Y37" s="4" t="s">
        <v>360</v>
      </c>
      <c r="Z37" s="4" t="s">
        <v>360</v>
      </c>
      <c r="AB37" s="4" t="s">
        <v>360</v>
      </c>
      <c r="AC37" s="2" t="str">
        <f>IF(Tabla_Compras[[#This Row],[id_padre]]=Tabla_Compras[[#This Row],[Id]],"NOK","OK")</f>
        <v>OK</v>
      </c>
      <c r="AD37" s="2"/>
      <c r="AE37" s="2"/>
      <c r="AF37" s="2"/>
    </row>
    <row r="38" spans="1:32" hidden="1" x14ac:dyDescent="0.5">
      <c r="A38" s="2">
        <f>MAX(Tabla_Caja[Id])</f>
        <v>634</v>
      </c>
      <c r="B38" s="2">
        <v>667</v>
      </c>
      <c r="C38" s="5">
        <f>IF(Tabla_Compras[[#This Row],[id_padre]]="",0,_xlfn.XLOOKUP(Tabla_Compras[[#This Row],[id_padre]],Tabla_Compras[Id],Tabla_Compras[Nivel],0,0,1)+1)</f>
        <v>3</v>
      </c>
      <c r="D38" s="2" t="s">
        <v>584</v>
      </c>
      <c r="E38" s="2">
        <f>IF(Tabla_Compras[[#This Row],[Id_anterior]]=1,ROW()-1,SUM(ROW()-1,Tabla_Compras[[#This Row],[Id_anterior]]))</f>
        <v>671</v>
      </c>
      <c r="F3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COMPRAS_PROCESOS_ORDENES_COMPRA_REIMPRESION_ORDENES</v>
      </c>
      <c r="G38" s="2" t="str">
        <f>CLEAN(PROPER(Tabla_Compras[[#This Row],[Nombre Opción]]))</f>
        <v>Reimpresion De Ordenes</v>
      </c>
      <c r="H38" s="2" t="s">
        <v>1735</v>
      </c>
      <c r="I38" s="2" t="str">
        <f>_xlfn.XLOOKUP(Tabla_Compras[[#This Row],[id_padre]],Tabla_Compras[Id],Tabla_Compras[Codigo_Tecnico],"",0,1)</f>
        <v>COMPRAS_PROCESOS_ORDENES_COMPRA</v>
      </c>
      <c r="J3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/compras/procesos/ordenes-compra/reimpresion-ordenes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reimpresion-ordenes</v>
      </c>
      <c r="L38" s="2" t="s">
        <v>1335</v>
      </c>
      <c r="M38" s="2" t="s">
        <v>1795</v>
      </c>
      <c r="O38" s="4"/>
      <c r="Q38" s="4" t="s">
        <v>360</v>
      </c>
      <c r="R38" s="4" t="s">
        <v>360</v>
      </c>
      <c r="S38" s="4" t="s">
        <v>360</v>
      </c>
      <c r="V38" s="4" t="s">
        <v>360</v>
      </c>
      <c r="X38" s="4" t="s">
        <v>360</v>
      </c>
      <c r="AB38" s="4" t="s">
        <v>360</v>
      </c>
      <c r="AC38" s="2" t="str">
        <f>IF(Tabla_Compras[[#This Row],[id_padre]]=Tabla_Compras[[#This Row],[Id]],"NOK","OK")</f>
        <v>OK</v>
      </c>
      <c r="AD38" s="2"/>
      <c r="AE38" s="2"/>
      <c r="AF38" s="2"/>
    </row>
    <row r="39" spans="1:32" hidden="1" x14ac:dyDescent="0.5">
      <c r="A39" s="2">
        <f>MAX(Tabla_Caja[Id])</f>
        <v>634</v>
      </c>
      <c r="B39" s="2">
        <v>667</v>
      </c>
      <c r="C39" s="5">
        <f>IF(Tabla_Compras[[#This Row],[id_padre]]="",0,_xlfn.XLOOKUP(Tabla_Compras[[#This Row],[id_padre]],Tabla_Compras[Id],Tabla_Compras[Nivel],0,0,1)+1)</f>
        <v>3</v>
      </c>
      <c r="D39" s="2" t="s">
        <v>585</v>
      </c>
      <c r="E39" s="2">
        <f>IF(Tabla_Compras[[#This Row],[Id_anterior]]=1,ROW()-1,SUM(ROW()-1,Tabla_Compras[[#This Row],[Id_anterior]]))</f>
        <v>672</v>
      </c>
      <c r="F3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COMPRAS_PROCESOS_ORDENES_COMPRA_PENDIENTES_EMISION</v>
      </c>
      <c r="G39" s="2" t="str">
        <f>CLEAN(PROPER(Tabla_Compras[[#This Row],[Nombre Opción]]))</f>
        <v>Pendientes De Emision</v>
      </c>
      <c r="H39" s="2" t="s">
        <v>1735</v>
      </c>
      <c r="I39" s="2" t="str">
        <f>_xlfn.XLOOKUP(Tabla_Compras[[#This Row],[id_padre]],Tabla_Compras[Id],Tabla_Compras[Codigo_Tecnico],"",0,1)</f>
        <v>COMPRAS_PROCESOS_ORDENES_COMPRA</v>
      </c>
      <c r="J3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/compras/procesos/ordenes-compra/pendientes-emision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pendientes-emision</v>
      </c>
      <c r="L39" s="2" t="s">
        <v>1501</v>
      </c>
      <c r="M39" s="2" t="s">
        <v>1795</v>
      </c>
      <c r="O39" s="4"/>
      <c r="Q39" s="4" t="s">
        <v>360</v>
      </c>
      <c r="R39" s="4" t="s">
        <v>360</v>
      </c>
      <c r="S39" s="4" t="s">
        <v>360</v>
      </c>
      <c r="V39" s="4" t="s">
        <v>360</v>
      </c>
      <c r="X39" s="4" t="s">
        <v>360</v>
      </c>
      <c r="AB39" s="4" t="s">
        <v>360</v>
      </c>
      <c r="AC39" s="2" t="str">
        <f>IF(Tabla_Compras[[#This Row],[id_padre]]=Tabla_Compras[[#This Row],[Id]],"NOK","OK")</f>
        <v>OK</v>
      </c>
      <c r="AD39" s="2"/>
      <c r="AE39" s="2"/>
      <c r="AF39" s="2"/>
    </row>
    <row r="40" spans="1:32" hidden="1" x14ac:dyDescent="0.5">
      <c r="A40" s="2">
        <f>MAX(Tabla_Caja[Id])</f>
        <v>634</v>
      </c>
      <c r="B40" s="2">
        <v>667</v>
      </c>
      <c r="C40" s="5">
        <f>IF(Tabla_Compras[[#This Row],[id_padre]]="",0,_xlfn.XLOOKUP(Tabla_Compras[[#This Row],[id_padre]],Tabla_Compras[Id],Tabla_Compras[Nivel],0,0,1)+1)</f>
        <v>3</v>
      </c>
      <c r="D40" s="2" t="s">
        <v>586</v>
      </c>
      <c r="E40" s="2">
        <f>IF(Tabla_Compras[[#This Row],[Id_anterior]]=1,ROW()-1,SUM(ROW()-1,Tabla_Compras[[#This Row],[Id_anterior]]))</f>
        <v>673</v>
      </c>
      <c r="F4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COMPRAS_PROCESOS_ORDENES_COMPRA_DEPURA_SALDOS_PENDIENTES_ORDEN_COMPRA</v>
      </c>
      <c r="G40" s="2" t="str">
        <f>CLEAN(PROPER(Tabla_Compras[[#This Row],[Nombre Opción]]))</f>
        <v>Depura Saldos Pendientes Orden De Compra</v>
      </c>
      <c r="H40" s="2" t="s">
        <v>1735</v>
      </c>
      <c r="I40" s="2" t="str">
        <f>_xlfn.XLOOKUP(Tabla_Compras[[#This Row],[id_padre]],Tabla_Compras[Id],Tabla_Compras[Codigo_Tecnico],"",0,1)</f>
        <v>COMPRAS_PROCESOS_ORDENES_COMPRA</v>
      </c>
      <c r="J4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/compras/procesos/ordenes-compra/depura-saldos-pendientes-orden-compra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depura-saldos-pendientes-orden-compra</v>
      </c>
      <c r="L40" s="2" t="s">
        <v>1537</v>
      </c>
      <c r="M40" s="2" t="s">
        <v>1795</v>
      </c>
      <c r="N40" s="4" t="s">
        <v>360</v>
      </c>
      <c r="O40" s="4" t="s">
        <v>360</v>
      </c>
      <c r="P40" s="4" t="s">
        <v>360</v>
      </c>
      <c r="Q40" s="4" t="s">
        <v>360</v>
      </c>
      <c r="R40" s="4" t="s">
        <v>360</v>
      </c>
      <c r="S40" s="4" t="s">
        <v>360</v>
      </c>
      <c r="T40" s="4" t="s">
        <v>360</v>
      </c>
      <c r="U40" s="4" t="s">
        <v>360</v>
      </c>
      <c r="V40" s="4" t="s">
        <v>360</v>
      </c>
      <c r="W40" s="4" t="s">
        <v>360</v>
      </c>
      <c r="X40" s="4" t="s">
        <v>360</v>
      </c>
      <c r="Y40" s="4" t="s">
        <v>360</v>
      </c>
      <c r="Z40" s="4" t="s">
        <v>360</v>
      </c>
      <c r="AB40" s="4" t="s">
        <v>360</v>
      </c>
      <c r="AC40" s="2" t="str">
        <f>IF(Tabla_Compras[[#This Row],[id_padre]]=Tabla_Compras[[#This Row],[Id]],"NOK","OK")</f>
        <v>OK</v>
      </c>
      <c r="AD40" s="2"/>
      <c r="AE40" s="2"/>
      <c r="AF40" s="2"/>
    </row>
    <row r="41" spans="1:32" hidden="1" x14ac:dyDescent="0.5">
      <c r="A41" s="2">
        <f>MAX(Tabla_Caja[Id])</f>
        <v>634</v>
      </c>
      <c r="B41" s="2">
        <v>667</v>
      </c>
      <c r="C41" s="5">
        <f>IF(Tabla_Compras[[#This Row],[id_padre]]="",0,_xlfn.XLOOKUP(Tabla_Compras[[#This Row],[id_padre]],Tabla_Compras[Id],Tabla_Compras[Nivel],0,0,1)+1)</f>
        <v>3</v>
      </c>
      <c r="D41" s="2" t="s">
        <v>587</v>
      </c>
      <c r="E41" s="2">
        <f>IF(Tabla_Compras[[#This Row],[Id_anterior]]=1,ROW()-1,SUM(ROW()-1,Tabla_Compras[[#This Row],[Id_anterior]]))</f>
        <v>674</v>
      </c>
      <c r="F4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COMPRAS_PROCESOS_ORDENES_COMPRA_DISPONIILIZA_ORDEN_COMPRA</v>
      </c>
      <c r="G41" s="2" t="str">
        <f>CLEAN(PROPER(Tabla_Compras[[#This Row],[Nombre Opción]]))</f>
        <v>Disponiiliza Orden De Compra</v>
      </c>
      <c r="H41" s="2" t="s">
        <v>1735</v>
      </c>
      <c r="I41" s="2" t="str">
        <f>_xlfn.XLOOKUP(Tabla_Compras[[#This Row],[id_padre]],Tabla_Compras[Id],Tabla_Compras[Codigo_Tecnico],"",0,1)</f>
        <v>COMPRAS_PROCESOS_ORDENES_COMPRA</v>
      </c>
      <c r="J4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/compras/procesos/ordenes-compra/disponiiliza-orden-compra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disponiiliza-orden-compra</v>
      </c>
      <c r="L41" s="2" t="s">
        <v>1459</v>
      </c>
      <c r="M41" s="2" t="s">
        <v>1795</v>
      </c>
      <c r="O41" s="4"/>
      <c r="Q41" s="4"/>
      <c r="R41" s="4"/>
      <c r="Z41" s="4" t="s">
        <v>360</v>
      </c>
      <c r="AB41" s="4" t="s">
        <v>360</v>
      </c>
      <c r="AC41" s="2" t="str">
        <f>IF(Tabla_Compras[[#This Row],[id_padre]]=Tabla_Compras[[#This Row],[Id]],"NOK","OK")</f>
        <v>OK</v>
      </c>
      <c r="AD41" s="2"/>
      <c r="AE41" s="2"/>
      <c r="AF41" s="2"/>
    </row>
    <row r="42" spans="1:32" hidden="1" x14ac:dyDescent="0.5">
      <c r="A42" s="2">
        <f>MAX(Tabla_Caja[Id])</f>
        <v>634</v>
      </c>
      <c r="B42" s="2">
        <v>667</v>
      </c>
      <c r="C42" s="5">
        <f>IF(Tabla_Compras[[#This Row],[id_padre]]="",0,_xlfn.XLOOKUP(Tabla_Compras[[#This Row],[id_padre]],Tabla_Compras[Id],Tabla_Compras[Nivel],0,0,1)+1)</f>
        <v>3</v>
      </c>
      <c r="D42" s="2" t="s">
        <v>588</v>
      </c>
      <c r="E42" s="2">
        <f>IF(Tabla_Compras[[#This Row],[Id_anterior]]=1,ROW()-1,SUM(ROW()-1,Tabla_Compras[[#This Row],[Id_anterior]]))</f>
        <v>675</v>
      </c>
      <c r="F4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COMPRAS_PROCESOS_ORDENES_COMPRA_MANTENCION_O_C_MERCADO_PUBLICO</v>
      </c>
      <c r="G42" s="2" t="str">
        <f>CLEAN(PROPER(Tabla_Compras[[#This Row],[Nombre Opción]]))</f>
        <v>Mantencion O/C Mercado Publico</v>
      </c>
      <c r="H42" s="2" t="s">
        <v>1735</v>
      </c>
      <c r="I42" s="2" t="str">
        <f>_xlfn.XLOOKUP(Tabla_Compras[[#This Row],[id_padre]],Tabla_Compras[Id],Tabla_Compras[Codigo_Tecnico],"",0,1)</f>
        <v>COMPRAS_PROCESOS_ORDENES_COMPRA</v>
      </c>
      <c r="J4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/compras/procesos/ordenes-compra/mantencion-o-c-mercado-publico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mantencion-o-c-mercado-publico</v>
      </c>
      <c r="L42" s="2" t="s">
        <v>1399</v>
      </c>
      <c r="M42" s="2" t="s">
        <v>1795</v>
      </c>
      <c r="N42" s="4" t="s">
        <v>360</v>
      </c>
      <c r="O42" s="4" t="s">
        <v>360</v>
      </c>
      <c r="Q42" s="4" t="s">
        <v>360</v>
      </c>
      <c r="R42" s="4" t="s">
        <v>360</v>
      </c>
      <c r="S42" s="4" t="s">
        <v>360</v>
      </c>
      <c r="V42" s="4" t="s">
        <v>360</v>
      </c>
      <c r="X42" s="4" t="s">
        <v>360</v>
      </c>
      <c r="Y42" s="4" t="s">
        <v>360</v>
      </c>
      <c r="Z42" s="4" t="s">
        <v>360</v>
      </c>
      <c r="AB42" s="4" t="s">
        <v>360</v>
      </c>
      <c r="AC42" s="2" t="str">
        <f>IF(Tabla_Compras[[#This Row],[id_padre]]=Tabla_Compras[[#This Row],[Id]],"NOK","OK")</f>
        <v>OK</v>
      </c>
      <c r="AD42" s="2"/>
      <c r="AE42" s="2"/>
      <c r="AF42" s="2"/>
    </row>
    <row r="43" spans="1:32" hidden="1" x14ac:dyDescent="0.5">
      <c r="A43" s="2">
        <f>MAX(Tabla_Caja[Id])</f>
        <v>634</v>
      </c>
      <c r="B43" s="2">
        <v>667</v>
      </c>
      <c r="C43" s="5">
        <f>IF(Tabla_Compras[[#This Row],[id_padre]]="",0,_xlfn.XLOOKUP(Tabla_Compras[[#This Row],[id_padre]],Tabla_Compras[Id],Tabla_Compras[Nivel],0,0,1)+1)</f>
        <v>3</v>
      </c>
      <c r="D43" s="2" t="s">
        <v>589</v>
      </c>
      <c r="E43" s="2">
        <f>IF(Tabla_Compras[[#This Row],[Id_anterior]]=1,ROW()-1,SUM(ROW()-1,Tabla_Compras[[#This Row],[Id_anterior]]))</f>
        <v>676</v>
      </c>
      <c r="F4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COMPRAS_PROCESOS_ORDENES_COMPRA_HOMOLOGAR_ARTICULOS_MERCADO_PUBLICO</v>
      </c>
      <c r="G43" s="2" t="str">
        <f>CLEAN(PROPER(Tabla_Compras[[#This Row],[Nombre Opción]]))</f>
        <v>Homologar Articulos Mercado Publico</v>
      </c>
      <c r="H43" s="2" t="s">
        <v>1735</v>
      </c>
      <c r="I43" s="2" t="str">
        <f>_xlfn.XLOOKUP(Tabla_Compras[[#This Row],[id_padre]],Tabla_Compras[Id],Tabla_Compras[Codigo_Tecnico],"",0,1)</f>
        <v>COMPRAS_PROCESOS_ORDENES_COMPRA</v>
      </c>
      <c r="J4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/compras/procesos/ordenes-compra/homologar-articulos-mercado-publico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homologar-articulos-mercado-publico</v>
      </c>
      <c r="L43" s="2" t="s">
        <v>1379</v>
      </c>
      <c r="M43" s="2" t="s">
        <v>1795</v>
      </c>
      <c r="O43" s="4"/>
      <c r="Q43" s="4"/>
      <c r="R43" s="4"/>
      <c r="V43" s="4" t="s">
        <v>360</v>
      </c>
      <c r="AA43" s="4" t="s">
        <v>360</v>
      </c>
      <c r="AB43" s="4" t="s">
        <v>360</v>
      </c>
      <c r="AC43" s="2" t="str">
        <f>IF(Tabla_Compras[[#This Row],[id_padre]]=Tabla_Compras[[#This Row],[Id]],"NOK","OK")</f>
        <v>OK</v>
      </c>
      <c r="AD43" s="2"/>
      <c r="AE43" s="2"/>
      <c r="AF43" s="2"/>
    </row>
    <row r="44" spans="1:32" hidden="1" x14ac:dyDescent="0.5">
      <c r="A44" s="2">
        <f>MAX(Tabla_Caja[Id])</f>
        <v>634</v>
      </c>
      <c r="B44" s="2">
        <v>676</v>
      </c>
      <c r="C44" s="5">
        <f>IF(Tabla_Compras[[#This Row],[id_padre]]="",0,_xlfn.XLOOKUP(Tabla_Compras[[#This Row],[id_padre]],Tabla_Compras[Id],Tabla_Compras[Nivel],0,0,1)+1)</f>
        <v>4</v>
      </c>
      <c r="D44" s="2" t="s">
        <v>590</v>
      </c>
      <c r="E44" s="2">
        <f>IF(Tabla_Compras[[#This Row],[Id_anterior]]=1,ROW()-1,SUM(ROW()-1,Tabla_Compras[[#This Row],[Id_anterior]]))</f>
        <v>677</v>
      </c>
      <c r="F4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COMPRAS_PROCESOS_ORDENES_COMPRA_HOMOLOGAR_ARTICULOS_MERCADO_PUBLICO_ALIMENTACION</v>
      </c>
      <c r="G44" s="2" t="str">
        <f>CLEAN(PROPER(Tabla_Compras[[#This Row],[Nombre Opción]]))</f>
        <v>Alimentacion</v>
      </c>
      <c r="H44" s="2" t="s">
        <v>1735</v>
      </c>
      <c r="I44" s="2" t="str">
        <f>_xlfn.XLOOKUP(Tabla_Compras[[#This Row],[id_padre]],Tabla_Compras[Id],Tabla_Compras[Codigo_Tecnico],"",0,1)</f>
        <v>COMPRAS_PROCESOS_ORDENES_COMPRA_HOMOLOGAR_ARTICULOS_MERCADO_PUBLICO</v>
      </c>
      <c r="J4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/compras/procesos/ordenes-compra/homologar-articulos-mercado-publico/alimentacion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alimentacion</v>
      </c>
      <c r="L44" s="2" t="s">
        <v>1538</v>
      </c>
      <c r="M44" s="2" t="s">
        <v>1795</v>
      </c>
      <c r="O44" s="4"/>
      <c r="Q44" s="4"/>
      <c r="R44" s="4"/>
      <c r="V44" s="4" t="s">
        <v>360</v>
      </c>
      <c r="AA44" s="4" t="s">
        <v>360</v>
      </c>
      <c r="AB44" s="4" t="s">
        <v>360</v>
      </c>
      <c r="AC44" s="2" t="str">
        <f>IF(Tabla_Compras[[#This Row],[id_padre]]=Tabla_Compras[[#This Row],[Id]],"NOK","OK")</f>
        <v>OK</v>
      </c>
      <c r="AD44" s="2"/>
      <c r="AE44" s="2"/>
      <c r="AF44" s="2"/>
    </row>
    <row r="45" spans="1:32" hidden="1" x14ac:dyDescent="0.5">
      <c r="A45" s="2">
        <f>MAX(Tabla_Caja[Id])</f>
        <v>634</v>
      </c>
      <c r="B45" s="2">
        <v>637</v>
      </c>
      <c r="C45" s="5">
        <f>IF(Tabla_Compras[[#This Row],[id_padre]]="",0,_xlfn.XLOOKUP(Tabla_Compras[[#This Row],[id_padre]],Tabla_Compras[Id],Tabla_Compras[Nivel],0,0,1)+1)</f>
        <v>2</v>
      </c>
      <c r="D45" s="2" t="s">
        <v>564</v>
      </c>
      <c r="E45" s="2">
        <f>IF(Tabla_Compras[[#This Row],[Id_anterior]]=1,ROW()-1,SUM(ROW()-1,Tabla_Compras[[#This Row],[Id_anterior]]))</f>
        <v>678</v>
      </c>
      <c r="F4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</v>
      </c>
      <c r="G45" s="2" t="str">
        <f>CLEAN(PROPER(Tabla_Compras[[#This Row],[Nombre Opción]]))</f>
        <v>Acta De Recepcion</v>
      </c>
      <c r="H45" s="2" t="s">
        <v>1735</v>
      </c>
      <c r="I45" s="2" t="str">
        <f>_xlfn.XLOOKUP(Tabla_Compras[[#This Row],[id_padre]],Tabla_Compras[Id],Tabla_Compras[Codigo_Tecnico],"",0,1)</f>
        <v>COMPRAS_PROCESOS</v>
      </c>
      <c r="J4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acta-recepcion</v>
      </c>
      <c r="L45" s="2" t="s">
        <v>1412</v>
      </c>
      <c r="M45" s="2" t="s">
        <v>1795</v>
      </c>
      <c r="O45" s="4"/>
      <c r="Q45" s="4"/>
      <c r="R45" s="4"/>
      <c r="V45" s="4" t="s">
        <v>360</v>
      </c>
      <c r="Y45" s="4" t="s">
        <v>360</v>
      </c>
      <c r="Z45" s="4" t="s">
        <v>360</v>
      </c>
      <c r="AA45" s="4" t="s">
        <v>360</v>
      </c>
      <c r="AB45" s="4" t="s">
        <v>360</v>
      </c>
      <c r="AC45" s="2" t="str">
        <f>IF(Tabla_Compras[[#This Row],[id_padre]]=Tabla_Compras[[#This Row],[Id]],"NOK","OK")</f>
        <v>OK</v>
      </c>
      <c r="AD45" s="2"/>
      <c r="AE45" s="2"/>
      <c r="AF45" s="2"/>
    </row>
    <row r="46" spans="1:32" hidden="1" x14ac:dyDescent="0.5">
      <c r="A46" s="2">
        <f>MAX(Tabla_Caja[Id])</f>
        <v>634</v>
      </c>
      <c r="B46" s="2">
        <v>678</v>
      </c>
      <c r="C46" s="5">
        <f>IF(Tabla_Compras[[#This Row],[id_padre]]="",0,_xlfn.XLOOKUP(Tabla_Compras[[#This Row],[id_padre]],Tabla_Compras[Id],Tabla_Compras[Nivel],0,0,1)+1)</f>
        <v>3</v>
      </c>
      <c r="D46" s="2" t="s">
        <v>569</v>
      </c>
      <c r="E46" s="2">
        <f>IF(Tabla_Compras[[#This Row],[Id_anterior]]=1,ROW()-1,SUM(ROW()-1,Tabla_Compras[[#This Row],[Id_anterior]]))</f>
        <v>679</v>
      </c>
      <c r="F4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COMPRAS_PROCESOS_ACTA_RECEPCION_INGRESO_MODIFICACION</v>
      </c>
      <c r="G46" s="2" t="str">
        <f>CLEAN(PROPER(Tabla_Compras[[#This Row],[Nombre Opción]]))</f>
        <v>Ingreso / Modificacion</v>
      </c>
      <c r="H46" s="2" t="s">
        <v>1735</v>
      </c>
      <c r="I46" s="2" t="str">
        <f>_xlfn.XLOOKUP(Tabla_Compras[[#This Row],[id_padre]],Tabla_Compras[Id],Tabla_Compras[Codigo_Tecnico],"",0,1)</f>
        <v>COMPRAS_PROCESOS_ACTA_RECEPCION</v>
      </c>
      <c r="J4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/compras/procesos/acta-recepcion/ingreso-modificacion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ingreso-modificacion</v>
      </c>
      <c r="L46" s="2" t="s">
        <v>1472</v>
      </c>
      <c r="M46" s="2" t="s">
        <v>1795</v>
      </c>
      <c r="O46" s="4"/>
      <c r="Q46" s="4"/>
      <c r="R46" s="4"/>
      <c r="V46" s="4" t="s">
        <v>360</v>
      </c>
      <c r="Y46" s="4" t="s">
        <v>360</v>
      </c>
      <c r="Z46" s="4" t="s">
        <v>360</v>
      </c>
      <c r="AA46" s="4" t="s">
        <v>360</v>
      </c>
      <c r="AB46" s="4" t="s">
        <v>360</v>
      </c>
      <c r="AC46" s="2" t="str">
        <f>IF(Tabla_Compras[[#This Row],[id_padre]]=Tabla_Compras[[#This Row],[Id]],"NOK","OK")</f>
        <v>OK</v>
      </c>
      <c r="AD46" s="2"/>
      <c r="AE46" s="2"/>
      <c r="AF46" s="2"/>
    </row>
    <row r="47" spans="1:32" hidden="1" x14ac:dyDescent="0.5">
      <c r="A47" s="2">
        <f>MAX(Tabla_Caja[Id])</f>
        <v>634</v>
      </c>
      <c r="B47" s="2">
        <v>678</v>
      </c>
      <c r="C47" s="5">
        <f>IF(Tabla_Compras[[#This Row],[id_padre]]="",0,_xlfn.XLOOKUP(Tabla_Compras[[#This Row],[id_padre]],Tabla_Compras[Id],Tabla_Compras[Nivel],0,0,1)+1)</f>
        <v>3</v>
      </c>
      <c r="D47" s="2" t="s">
        <v>591</v>
      </c>
      <c r="E47" s="2">
        <f>IF(Tabla_Compras[[#This Row],[Id_anterior]]=1,ROW()-1,SUM(ROW()-1,Tabla_Compras[[#This Row],[Id_anterior]]))</f>
        <v>680</v>
      </c>
      <c r="F4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COMPRAS_PROCESOS_ACTA_RECEPCION_ANULACION_SIN_ASIENTO_CONTABLE</v>
      </c>
      <c r="G47" s="2" t="str">
        <f>CLEAN(PROPER(Tabla_Compras[[#This Row],[Nombre Opción]]))</f>
        <v>Anulacion Sin Asiento Contable</v>
      </c>
      <c r="H47" s="2" t="s">
        <v>1735</v>
      </c>
      <c r="I47" s="2" t="str">
        <f>_xlfn.XLOOKUP(Tabla_Compras[[#This Row],[id_padre]],Tabla_Compras[Id],Tabla_Compras[Codigo_Tecnico],"",0,1)</f>
        <v>COMPRAS_PROCESOS_ACTA_RECEPCION</v>
      </c>
      <c r="J4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/compras/procesos/acta-recepcion/anulacion-sin-asiento-contable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anulacion-sin-asiento-contable</v>
      </c>
      <c r="L47" s="2" t="s">
        <v>1368</v>
      </c>
      <c r="M47" s="2" t="s">
        <v>1795</v>
      </c>
      <c r="O47" s="4"/>
      <c r="Q47" s="4"/>
      <c r="R47" s="4"/>
      <c r="V47" s="4" t="s">
        <v>360</v>
      </c>
      <c r="Y47" s="4" t="s">
        <v>360</v>
      </c>
      <c r="Z47" s="4" t="s">
        <v>360</v>
      </c>
      <c r="AA47" s="4" t="s">
        <v>360</v>
      </c>
      <c r="AB47" s="4" t="s">
        <v>360</v>
      </c>
      <c r="AC47" s="2" t="str">
        <f>IF(Tabla_Compras[[#This Row],[id_padre]]=Tabla_Compras[[#This Row],[Id]],"NOK","OK")</f>
        <v>OK</v>
      </c>
      <c r="AD47" s="2"/>
      <c r="AE47" s="2"/>
      <c r="AF47" s="2"/>
    </row>
    <row r="48" spans="1:32" hidden="1" x14ac:dyDescent="0.5">
      <c r="A48" s="2">
        <f>MAX(Tabla_Caja[Id])</f>
        <v>634</v>
      </c>
      <c r="B48" s="2">
        <v>678</v>
      </c>
      <c r="C48" s="5">
        <f>IF(Tabla_Compras[[#This Row],[id_padre]]="",0,_xlfn.XLOOKUP(Tabla_Compras[[#This Row],[id_padre]],Tabla_Compras[Id],Tabla_Compras[Nivel],0,0,1)+1)</f>
        <v>3</v>
      </c>
      <c r="D48" s="2" t="s">
        <v>592</v>
      </c>
      <c r="E48" s="2">
        <f>IF(Tabla_Compras[[#This Row],[Id_anterior]]=1,ROW()-1,SUM(ROW()-1,Tabla_Compras[[#This Row],[Id_anterior]]))</f>
        <v>681</v>
      </c>
      <c r="F4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COMPRAS_PROCESOS_ACTA_RECEPCION_ANULACION_CON_ASIENTO_CONTABLE</v>
      </c>
      <c r="G48" s="2" t="str">
        <f>CLEAN(PROPER(Tabla_Compras[[#This Row],[Nombre Opción]]))</f>
        <v>Anulacion Con Asiento Contable</v>
      </c>
      <c r="H48" s="2" t="s">
        <v>1735</v>
      </c>
      <c r="I48" s="2" t="str">
        <f>_xlfn.XLOOKUP(Tabla_Compras[[#This Row],[id_padre]],Tabla_Compras[Id],Tabla_Compras[Codigo_Tecnico],"",0,1)</f>
        <v>COMPRAS_PROCESOS_ACTA_RECEPCION</v>
      </c>
      <c r="J4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/compras/procesos/acta-recepcion/anulacion-con-asiento-contable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anulacion-con-asiento-contable</v>
      </c>
      <c r="L48" s="2" t="s">
        <v>1345</v>
      </c>
      <c r="M48" s="2" t="s">
        <v>1795</v>
      </c>
      <c r="O48" s="4"/>
      <c r="Q48" s="4"/>
      <c r="R48" s="4"/>
      <c r="V48" s="4" t="s">
        <v>360</v>
      </c>
      <c r="Y48" s="4" t="s">
        <v>360</v>
      </c>
      <c r="Z48" s="4" t="s">
        <v>360</v>
      </c>
      <c r="AA48" s="4" t="s">
        <v>360</v>
      </c>
      <c r="AB48" s="4" t="s">
        <v>360</v>
      </c>
      <c r="AC48" s="2" t="str">
        <f>IF(Tabla_Compras[[#This Row],[id_padre]]=Tabla_Compras[[#This Row],[Id]],"NOK","OK")</f>
        <v>OK</v>
      </c>
      <c r="AD48" s="2"/>
      <c r="AE48" s="2"/>
      <c r="AF48" s="2"/>
    </row>
    <row r="49" spans="1:32" hidden="1" x14ac:dyDescent="0.5">
      <c r="A49" s="2">
        <f>MAX(Tabla_Caja[Id])</f>
        <v>634</v>
      </c>
      <c r="B49" s="2">
        <v>678</v>
      </c>
      <c r="C49" s="5">
        <f>IF(Tabla_Compras[[#This Row],[id_padre]]="",0,_xlfn.XLOOKUP(Tabla_Compras[[#This Row],[id_padre]],Tabla_Compras[Id],Tabla_Compras[Nivel],0,0,1)+1)</f>
        <v>3</v>
      </c>
      <c r="D49" s="2" t="s">
        <v>593</v>
      </c>
      <c r="E49" s="2">
        <f>IF(Tabla_Compras[[#This Row],[Id_anterior]]=1,ROW()-1,SUM(ROW()-1,Tabla_Compras[[#This Row],[Id_anterior]]))</f>
        <v>682</v>
      </c>
      <c r="F4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COMPRAS_PROCESOS_ACTA_RECEPCION_ENVIO_PRODUCTOS_ALIMENTACION</v>
      </c>
      <c r="G49" s="2" t="str">
        <f>CLEAN(PROPER(Tabla_Compras[[#This Row],[Nombre Opción]]))</f>
        <v>Envio Productos A Alimentacion</v>
      </c>
      <c r="H49" s="2" t="s">
        <v>1735</v>
      </c>
      <c r="I49" s="2" t="str">
        <f>_xlfn.XLOOKUP(Tabla_Compras[[#This Row],[id_padre]],Tabla_Compras[Id],Tabla_Compras[Codigo_Tecnico],"",0,1)</f>
        <v>COMPRAS_PROCESOS_ACTA_RECEPCION</v>
      </c>
      <c r="J4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/compras/procesos/acta-recepcion/envio-productos-alimentacion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envio-productos-alimentacion</v>
      </c>
      <c r="L49" s="2" t="s">
        <v>1539</v>
      </c>
      <c r="M49" s="2" t="s">
        <v>1795</v>
      </c>
      <c r="O49" s="4"/>
      <c r="Q49" s="4"/>
      <c r="R49" s="4"/>
      <c r="V49" s="4" t="s">
        <v>360</v>
      </c>
      <c r="AA49" s="4" t="s">
        <v>360</v>
      </c>
      <c r="AB49" s="4" t="s">
        <v>360</v>
      </c>
      <c r="AC49" s="2" t="str">
        <f>IF(Tabla_Compras[[#This Row],[id_padre]]=Tabla_Compras[[#This Row],[Id]],"NOK","OK")</f>
        <v>OK</v>
      </c>
      <c r="AD49" s="2"/>
      <c r="AE49" s="2"/>
      <c r="AF49" s="2"/>
    </row>
    <row r="50" spans="1:32" hidden="1" x14ac:dyDescent="0.5">
      <c r="A50" s="2">
        <f>MAX(Tabla_Caja[Id])</f>
        <v>634</v>
      </c>
      <c r="B50" s="2">
        <v>678</v>
      </c>
      <c r="C50" s="5">
        <f>IF(Tabla_Compras[[#This Row],[id_padre]]="",0,_xlfn.XLOOKUP(Tabla_Compras[[#This Row],[id_padre]],Tabla_Compras[Id],Tabla_Compras[Nivel],0,0,1)+1)</f>
        <v>3</v>
      </c>
      <c r="D50" s="2" t="s">
        <v>594</v>
      </c>
      <c r="E50" s="2">
        <f>IF(Tabla_Compras[[#This Row],[Id_anterior]]=1,ROW()-1,SUM(ROW()-1,Tabla_Compras[[#This Row],[Id_anterior]]))</f>
        <v>683</v>
      </c>
      <c r="F5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COMPRAS_PROCESOS_ACTA_RECEPCION_ACTUALIZA</v>
      </c>
      <c r="G50" s="2" t="str">
        <f>CLEAN(PROPER(Tabla_Compras[[#This Row],[Nombre Opción]]))</f>
        <v>Actualiza</v>
      </c>
      <c r="H50" s="2" t="s">
        <v>1735</v>
      </c>
      <c r="I50" s="2" t="str">
        <f>_xlfn.XLOOKUP(Tabla_Compras[[#This Row],[id_padre]],Tabla_Compras[Id],Tabla_Compras[Codigo_Tecnico],"",0,1)</f>
        <v>COMPRAS_PROCESOS_ACTA_RECEPCION</v>
      </c>
      <c r="J5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/compras/procesos/acta-recepcion/actualiza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</v>
      </c>
      <c r="L50" s="2" t="s">
        <v>1420</v>
      </c>
      <c r="M50" s="2" t="s">
        <v>1795</v>
      </c>
      <c r="O50" s="4"/>
      <c r="Q50" s="4"/>
      <c r="R50" s="4"/>
      <c r="V50" s="4" t="s">
        <v>360</v>
      </c>
      <c r="X50" s="4" t="s">
        <v>360</v>
      </c>
      <c r="Z50" s="4" t="s">
        <v>360</v>
      </c>
      <c r="AB50" s="4" t="s">
        <v>360</v>
      </c>
      <c r="AC50" s="2" t="str">
        <f>IF(Tabla_Compras[[#This Row],[id_padre]]=Tabla_Compras[[#This Row],[Id]],"NOK","OK")</f>
        <v>OK</v>
      </c>
      <c r="AD50" s="2"/>
      <c r="AE50" s="2"/>
      <c r="AF50" s="2"/>
    </row>
    <row r="51" spans="1:32" hidden="1" x14ac:dyDescent="0.5">
      <c r="A51" s="2">
        <f>MAX(Tabla_Caja[Id])</f>
        <v>634</v>
      </c>
      <c r="B51" s="2">
        <v>678</v>
      </c>
      <c r="C51" s="5">
        <f>IF(Tabla_Compras[[#This Row],[id_padre]]="",0,_xlfn.XLOOKUP(Tabla_Compras[[#This Row],[id_padre]],Tabla_Compras[Id],Tabla_Compras[Nivel],0,0,1)+1)</f>
        <v>3</v>
      </c>
      <c r="D51" s="2" t="s">
        <v>595</v>
      </c>
      <c r="E51" s="2">
        <f>IF(Tabla_Compras[[#This Row],[Id_anterior]]=1,ROW()-1,SUM(ROW()-1,Tabla_Compras[[#This Row],[Id_anterior]]))</f>
        <v>684</v>
      </c>
      <c r="F5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COMPRAS_PROCESOS_ACTA_RECEPCION_ACTIVA_ACTA_TRANSITO</v>
      </c>
      <c r="G51" s="2" t="str">
        <f>CLEAN(PROPER(Tabla_Compras[[#This Row],[Nombre Opción]]))</f>
        <v>Activa Acta En Transito</v>
      </c>
      <c r="H51" s="2" t="s">
        <v>1735</v>
      </c>
      <c r="I51" s="2" t="str">
        <f>_xlfn.XLOOKUP(Tabla_Compras[[#This Row],[id_padre]],Tabla_Compras[Id],Tabla_Compras[Codigo_Tecnico],"",0,1)</f>
        <v>COMPRAS_PROCESOS_ACTA_RECEPCION</v>
      </c>
      <c r="J5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/compras/procesos/acta-recepcion/activa-acta-transito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activa-acta-transito</v>
      </c>
      <c r="L51" s="2" t="s">
        <v>98</v>
      </c>
      <c r="M51" s="2" t="s">
        <v>1795</v>
      </c>
      <c r="O51" s="4"/>
      <c r="Q51" s="4"/>
      <c r="R51" s="4"/>
      <c r="V51" s="4" t="s">
        <v>360</v>
      </c>
      <c r="Y51" s="4" t="s">
        <v>360</v>
      </c>
      <c r="Z51" s="4" t="s">
        <v>360</v>
      </c>
      <c r="AB51" s="4" t="s">
        <v>360</v>
      </c>
      <c r="AC51" s="2" t="str">
        <f>IF(Tabla_Compras[[#This Row],[id_padre]]=Tabla_Compras[[#This Row],[Id]],"NOK","OK")</f>
        <v>OK</v>
      </c>
      <c r="AD51" s="2"/>
      <c r="AE51" s="2"/>
      <c r="AF51" s="2"/>
    </row>
    <row r="52" spans="1:32" hidden="1" x14ac:dyDescent="0.5">
      <c r="A52" s="2">
        <f>MAX(Tabla_Caja[Id])</f>
        <v>634</v>
      </c>
      <c r="B52" s="2">
        <v>678</v>
      </c>
      <c r="C52" s="5">
        <f>IF(Tabla_Compras[[#This Row],[id_padre]]="",0,_xlfn.XLOOKUP(Tabla_Compras[[#This Row],[id_padre]],Tabla_Compras[Id],Tabla_Compras[Nivel],0,0,1)+1)</f>
        <v>3</v>
      </c>
      <c r="D52" s="2" t="s">
        <v>596</v>
      </c>
      <c r="E52" s="2">
        <f>IF(Tabla_Compras[[#This Row],[Id_anterior]]=1,ROW()-1,SUM(ROW()-1,Tabla_Compras[[#This Row],[Id_anterior]]))</f>
        <v>685</v>
      </c>
      <c r="F5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COMPRAS_PROCESOS_ACTA_RECEPCION_ENTREGA_ACTA</v>
      </c>
      <c r="G52" s="2" t="str">
        <f>CLEAN(PROPER(Tabla_Compras[[#This Row],[Nombre Opción]]))</f>
        <v>Entrega Acta</v>
      </c>
      <c r="H52" s="2" t="s">
        <v>1735</v>
      </c>
      <c r="I52" s="2" t="str">
        <f>_xlfn.XLOOKUP(Tabla_Compras[[#This Row],[id_padre]],Tabla_Compras[Id],Tabla_Compras[Codigo_Tecnico],"",0,1)</f>
        <v>COMPRAS_PROCESOS_ACTA_RECEPCION</v>
      </c>
      <c r="J5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/compras/procesos/acta-recepcion/entrega-acta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entrega-acta</v>
      </c>
      <c r="L52" s="2" t="s">
        <v>98</v>
      </c>
      <c r="M52" s="2" t="s">
        <v>1795</v>
      </c>
      <c r="O52" s="4"/>
      <c r="Q52" s="4"/>
      <c r="R52" s="4"/>
      <c r="U52" s="4" t="s">
        <v>360</v>
      </c>
      <c r="V52" s="4" t="s">
        <v>360</v>
      </c>
      <c r="X52" s="4" t="s">
        <v>360</v>
      </c>
      <c r="Y52" s="4" t="s">
        <v>360</v>
      </c>
      <c r="Z52" s="4" t="s">
        <v>360</v>
      </c>
      <c r="AB52" s="4" t="s">
        <v>360</v>
      </c>
      <c r="AC52" s="2" t="str">
        <f>IF(Tabla_Compras[[#This Row],[id_padre]]=Tabla_Compras[[#This Row],[Id]],"NOK","OK")</f>
        <v>OK</v>
      </c>
      <c r="AD52" s="2"/>
      <c r="AE52" s="2"/>
      <c r="AF52" s="2"/>
    </row>
    <row r="53" spans="1:32" hidden="1" x14ac:dyDescent="0.5">
      <c r="A53" s="2">
        <f>MAX(Tabla_Caja[Id])</f>
        <v>634</v>
      </c>
      <c r="B53" s="2">
        <v>678</v>
      </c>
      <c r="C53" s="5">
        <f>IF(Tabla_Compras[[#This Row],[id_padre]]="",0,_xlfn.XLOOKUP(Tabla_Compras[[#This Row],[id_padre]],Tabla_Compras[Id],Tabla_Compras[Nivel],0,0,1)+1)</f>
        <v>3</v>
      </c>
      <c r="D53" s="2" t="s">
        <v>597</v>
      </c>
      <c r="E53" s="2">
        <f>IF(Tabla_Compras[[#This Row],[Id_anterior]]=1,ROW()-1,SUM(ROW()-1,Tabla_Compras[[#This Row],[Id_anterior]]))</f>
        <v>686</v>
      </c>
      <c r="F5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COMPRAS_PROCESOS_ACTA_RECEPCION_RECIBE_RECHAZA_ALTA</v>
      </c>
      <c r="G53" s="2" t="str">
        <f>CLEAN(PROPER(Tabla_Compras[[#This Row],[Nombre Opción]]))</f>
        <v>Recibe / Rechaza Alta</v>
      </c>
      <c r="H53" s="2" t="s">
        <v>1735</v>
      </c>
      <c r="I53" s="2" t="str">
        <f>_xlfn.XLOOKUP(Tabla_Compras[[#This Row],[id_padre]],Tabla_Compras[Id],Tabla_Compras[Codigo_Tecnico],"",0,1)</f>
        <v>COMPRAS_PROCESOS_ACTA_RECEPCION</v>
      </c>
      <c r="J5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/compras/procesos/acta-recepcion/recibe-rechaza-alta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recibe-rechaza-alta</v>
      </c>
      <c r="L53" s="2" t="s">
        <v>98</v>
      </c>
      <c r="M53" s="2" t="s">
        <v>1795</v>
      </c>
      <c r="N53" s="4" t="s">
        <v>360</v>
      </c>
      <c r="O53" s="4" t="s">
        <v>360</v>
      </c>
      <c r="Q53" s="4"/>
      <c r="R53" s="4"/>
      <c r="V53" s="4" t="s">
        <v>360</v>
      </c>
      <c r="AB53" s="4" t="s">
        <v>360</v>
      </c>
      <c r="AC53" s="2" t="str">
        <f>IF(Tabla_Compras[[#This Row],[id_padre]]=Tabla_Compras[[#This Row],[Id]],"NOK","OK")</f>
        <v>OK</v>
      </c>
      <c r="AD53" s="2"/>
      <c r="AE53" s="2"/>
      <c r="AF53" s="2"/>
    </row>
    <row r="54" spans="1:32" hidden="1" x14ac:dyDescent="0.5">
      <c r="A54" s="2">
        <f>MAX(Tabla_Caja[Id])</f>
        <v>634</v>
      </c>
      <c r="B54" s="2">
        <v>638</v>
      </c>
      <c r="C54" s="5">
        <f>IF(Tabla_Compras[[#This Row],[id_padre]]="",0,_xlfn.XLOOKUP(Tabla_Compras[[#This Row],[id_padre]],Tabla_Compras[Id],Tabla_Compras[Nivel],0,0,1)+1)</f>
        <v>2</v>
      </c>
      <c r="D54" s="2" t="s">
        <v>598</v>
      </c>
      <c r="E54" s="2">
        <f>IF(Tabla_Compras[[#This Row],[Id_anterior]]=1,ROW()-1,SUM(ROW()-1,Tabla_Compras[[#This Row],[Id_anterior]]))</f>
        <v>687</v>
      </c>
      <c r="F5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COMPRAS_CONSULTAS_SOLICITUDES</v>
      </c>
      <c r="G54" s="2" t="str">
        <f>CLEAN(PROPER(Tabla_Compras[[#This Row],[Nombre Opción]]))</f>
        <v>Solicitudes</v>
      </c>
      <c r="H54" s="2" t="s">
        <v>1735</v>
      </c>
      <c r="I54" s="2" t="str">
        <f>_xlfn.XLOOKUP(Tabla_Compras[[#This Row],[id_padre]],Tabla_Compras[Id],Tabla_Compras[Codigo_Tecnico],"",0,1)</f>
        <v>COMPRAS_CONSULTAS</v>
      </c>
      <c r="J5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/compras/consultas/solicitudes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</v>
      </c>
      <c r="L54" s="2" t="s">
        <v>1540</v>
      </c>
      <c r="M54" s="2" t="s">
        <v>1795</v>
      </c>
      <c r="N54" s="4" t="s">
        <v>360</v>
      </c>
      <c r="O54" s="4" t="s">
        <v>360</v>
      </c>
      <c r="P54" s="4" t="s">
        <v>360</v>
      </c>
      <c r="Q54" s="4" t="s">
        <v>360</v>
      </c>
      <c r="R54" s="4" t="s">
        <v>360</v>
      </c>
      <c r="S54" s="4" t="s">
        <v>360</v>
      </c>
      <c r="T54" s="4" t="s">
        <v>360</v>
      </c>
      <c r="U54" s="4" t="s">
        <v>360</v>
      </c>
      <c r="V54" s="4" t="s">
        <v>360</v>
      </c>
      <c r="W54" s="4" t="s">
        <v>360</v>
      </c>
      <c r="X54" s="4" t="s">
        <v>360</v>
      </c>
      <c r="AB54" s="4" t="s">
        <v>360</v>
      </c>
      <c r="AC54" s="2" t="str">
        <f>IF(Tabla_Compras[[#This Row],[id_padre]]=Tabla_Compras[[#This Row],[Id]],"NOK","OK")</f>
        <v>OK</v>
      </c>
      <c r="AD54" s="2"/>
      <c r="AE54" s="2"/>
      <c r="AF54" s="2"/>
    </row>
    <row r="55" spans="1:32" hidden="1" x14ac:dyDescent="0.5">
      <c r="A55" s="2">
        <f>MAX(Tabla_Caja[Id])</f>
        <v>634</v>
      </c>
      <c r="B55" s="2">
        <v>638</v>
      </c>
      <c r="C55" s="5">
        <f>IF(Tabla_Compras[[#This Row],[id_padre]]="",0,_xlfn.XLOOKUP(Tabla_Compras[[#This Row],[id_padre]],Tabla_Compras[Id],Tabla_Compras[Nivel],0,0,1)+1)</f>
        <v>2</v>
      </c>
      <c r="D55" s="2" t="s">
        <v>580</v>
      </c>
      <c r="E55" s="2">
        <f>IF(Tabla_Compras[[#This Row],[Id_anterior]]=1,ROW()-1,SUM(ROW()-1,Tabla_Compras[[#This Row],[Id_anterior]]))</f>
        <v>688</v>
      </c>
      <c r="F5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COMPRAS_CONSULTAS_ORDENES_COMPRA</v>
      </c>
      <c r="G55" s="2" t="str">
        <f>CLEAN(PROPER(Tabla_Compras[[#This Row],[Nombre Opción]]))</f>
        <v>Ordenes De Compra</v>
      </c>
      <c r="H55" s="2" t="s">
        <v>1735</v>
      </c>
      <c r="I55" s="2" t="str">
        <f>_xlfn.XLOOKUP(Tabla_Compras[[#This Row],[id_padre]],Tabla_Compras[Id],Tabla_Compras[Codigo_Tecnico],"",0,1)</f>
        <v>COMPRAS_CONSULTAS</v>
      </c>
      <c r="J5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/compras/consultas/ordenes-compra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ordenes-compra</v>
      </c>
      <c r="L55" s="2" t="s">
        <v>1349</v>
      </c>
      <c r="M55" s="2" t="s">
        <v>1795</v>
      </c>
      <c r="N55" s="4" t="s">
        <v>360</v>
      </c>
      <c r="O55" s="4" t="s">
        <v>360</v>
      </c>
      <c r="P55" s="4" t="s">
        <v>360</v>
      </c>
      <c r="Q55" s="4" t="s">
        <v>360</v>
      </c>
      <c r="R55" s="4" t="s">
        <v>360</v>
      </c>
      <c r="S55" s="4" t="s">
        <v>360</v>
      </c>
      <c r="T55" s="4" t="s">
        <v>360</v>
      </c>
      <c r="U55" s="4" t="s">
        <v>360</v>
      </c>
      <c r="V55" s="4" t="s">
        <v>360</v>
      </c>
      <c r="W55" s="4" t="s">
        <v>360</v>
      </c>
      <c r="X55" s="4" t="s">
        <v>360</v>
      </c>
      <c r="AB55" s="4" t="s">
        <v>360</v>
      </c>
      <c r="AC55" s="2" t="str">
        <f>IF(Tabla_Compras[[#This Row],[id_padre]]=Tabla_Compras[[#This Row],[Id]],"NOK","OK")</f>
        <v>OK</v>
      </c>
      <c r="AD55" s="2"/>
      <c r="AE55" s="2"/>
      <c r="AF55" s="2"/>
    </row>
    <row r="56" spans="1:32" hidden="1" x14ac:dyDescent="0.5">
      <c r="A56" s="2">
        <f>MAX(Tabla_Caja[Id])</f>
        <v>634</v>
      </c>
      <c r="B56" s="2">
        <v>638</v>
      </c>
      <c r="C56" s="5">
        <f>IF(Tabla_Compras[[#This Row],[id_padre]]="",0,_xlfn.XLOOKUP(Tabla_Compras[[#This Row],[id_padre]],Tabla_Compras[Id],Tabla_Compras[Nivel],0,0,1)+1)</f>
        <v>2</v>
      </c>
      <c r="D56" s="2" t="s">
        <v>564</v>
      </c>
      <c r="E56" s="2">
        <f>IF(Tabla_Compras[[#This Row],[Id_anterior]]=1,ROW()-1,SUM(ROW()-1,Tabla_Compras[[#This Row],[Id_anterior]]))</f>
        <v>689</v>
      </c>
      <c r="F5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COMPRAS_CONSULTAS_ACTA_RECEPCION</v>
      </c>
      <c r="G56" s="2" t="str">
        <f>CLEAN(PROPER(Tabla_Compras[[#This Row],[Nombre Opción]]))</f>
        <v>Acta De Recepcion</v>
      </c>
      <c r="H56" s="2" t="s">
        <v>1735</v>
      </c>
      <c r="I56" s="2" t="str">
        <f>_xlfn.XLOOKUP(Tabla_Compras[[#This Row],[id_padre]],Tabla_Compras[Id],Tabla_Compras[Codigo_Tecnico],"",0,1)</f>
        <v>COMPRAS_CONSULTAS</v>
      </c>
      <c r="J5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/compras/consultas/acta-recepcion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acta-recepcion</v>
      </c>
      <c r="L56" s="2" t="s">
        <v>1412</v>
      </c>
      <c r="M56" s="2" t="s">
        <v>1795</v>
      </c>
      <c r="N56" s="4" t="s">
        <v>360</v>
      </c>
      <c r="O56" s="4" t="s">
        <v>360</v>
      </c>
      <c r="P56" s="4" t="s">
        <v>360</v>
      </c>
      <c r="Q56" s="4" t="s">
        <v>360</v>
      </c>
      <c r="R56" s="4" t="s">
        <v>360</v>
      </c>
      <c r="S56" s="4" t="s">
        <v>360</v>
      </c>
      <c r="T56" s="4" t="s">
        <v>360</v>
      </c>
      <c r="U56" s="4" t="s">
        <v>360</v>
      </c>
      <c r="V56" s="4" t="s">
        <v>360</v>
      </c>
      <c r="W56" s="4" t="s">
        <v>360</v>
      </c>
      <c r="X56" s="4" t="s">
        <v>360</v>
      </c>
      <c r="Y56" s="4" t="s">
        <v>360</v>
      </c>
      <c r="Z56" s="4" t="s">
        <v>360</v>
      </c>
      <c r="AB56" s="4" t="s">
        <v>360</v>
      </c>
      <c r="AC56" s="2" t="str">
        <f>IF(Tabla_Compras[[#This Row],[id_padre]]=Tabla_Compras[[#This Row],[Id]],"NOK","OK")</f>
        <v>OK</v>
      </c>
      <c r="AD56" s="2"/>
      <c r="AE56" s="2"/>
      <c r="AF56" s="2"/>
    </row>
    <row r="57" spans="1:32" hidden="1" x14ac:dyDescent="0.5">
      <c r="A57" s="2">
        <f>MAX(Tabla_Caja[Id])</f>
        <v>634</v>
      </c>
      <c r="B57" s="2">
        <v>689</v>
      </c>
      <c r="C57" s="5">
        <f>IF(Tabla_Compras[[#This Row],[id_padre]]="",0,_xlfn.XLOOKUP(Tabla_Compras[[#This Row],[id_padre]],Tabla_Compras[Id],Tabla_Compras[Nivel],0,0,1)+1)</f>
        <v>3</v>
      </c>
      <c r="D57" s="2" t="s">
        <v>599</v>
      </c>
      <c r="E57" s="2">
        <f>IF(Tabla_Compras[[#This Row],[Id_anterior]]=1,ROW()-1,SUM(ROW()-1,Tabla_Compras[[#This Row],[Id_anterior]]))</f>
        <v>690</v>
      </c>
      <c r="F5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COMPRAS_CONSULTAS_ACTA_RECEPCION_ESPECIFICA</v>
      </c>
      <c r="G57" s="2" t="str">
        <f>CLEAN(PROPER(Tabla_Compras[[#This Row],[Nombre Opción]]))</f>
        <v>Especifica</v>
      </c>
      <c r="H57" s="2" t="s">
        <v>1735</v>
      </c>
      <c r="I57" s="2" t="str">
        <f>_xlfn.XLOOKUP(Tabla_Compras[[#This Row],[id_padre]],Tabla_Compras[Id],Tabla_Compras[Codigo_Tecnico],"",0,1)</f>
        <v>COMPRAS_CONSULTAS_ACTA_RECEPCION</v>
      </c>
      <c r="J5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/compras/consultas/acta-recepcion/especifica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especifica</v>
      </c>
      <c r="L57" s="2" t="s">
        <v>98</v>
      </c>
      <c r="M57" s="2" t="s">
        <v>1795</v>
      </c>
      <c r="N57" s="4" t="s">
        <v>360</v>
      </c>
      <c r="O57" s="4" t="s">
        <v>360</v>
      </c>
      <c r="P57" s="4" t="s">
        <v>360</v>
      </c>
      <c r="Q57" s="4" t="s">
        <v>360</v>
      </c>
      <c r="R57" s="4" t="s">
        <v>360</v>
      </c>
      <c r="S57" s="4" t="s">
        <v>360</v>
      </c>
      <c r="T57" s="4" t="s">
        <v>360</v>
      </c>
      <c r="U57" s="4" t="s">
        <v>360</v>
      </c>
      <c r="V57" s="4" t="s">
        <v>360</v>
      </c>
      <c r="W57" s="4" t="s">
        <v>360</v>
      </c>
      <c r="X57" s="4" t="s">
        <v>360</v>
      </c>
      <c r="Y57" s="4" t="s">
        <v>360</v>
      </c>
      <c r="Z57" s="4" t="s">
        <v>360</v>
      </c>
      <c r="AB57" s="4" t="s">
        <v>360</v>
      </c>
      <c r="AC57" s="2" t="str">
        <f>IF(Tabla_Compras[[#This Row],[id_padre]]=Tabla_Compras[[#This Row],[Id]],"NOK","OK")</f>
        <v>OK</v>
      </c>
      <c r="AD57" s="2"/>
      <c r="AE57" s="2"/>
      <c r="AF57" s="2"/>
    </row>
    <row r="58" spans="1:32" hidden="1" x14ac:dyDescent="0.5">
      <c r="A58" s="2">
        <f>MAX(Tabla_Caja[Id])</f>
        <v>634</v>
      </c>
      <c r="B58" s="2">
        <v>689</v>
      </c>
      <c r="C58" s="5">
        <f>IF(Tabla_Compras[[#This Row],[id_padre]]="",0,_xlfn.XLOOKUP(Tabla_Compras[[#This Row],[id_padre]],Tabla_Compras[Id],Tabla_Compras[Nivel],0,0,1)+1)</f>
        <v>3</v>
      </c>
      <c r="D58" s="2" t="s">
        <v>600</v>
      </c>
      <c r="E58" s="2">
        <f>IF(Tabla_Compras[[#This Row],[Id_anterior]]=1,ROW()-1,SUM(ROW()-1,Tabla_Compras[[#This Row],[Id_anterior]]))</f>
        <v>691</v>
      </c>
      <c r="F5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COMPRAS_CONSULTAS_ACTA_RECEPCION_ACTAS_POR_ORDEN_COMPRA</v>
      </c>
      <c r="G58" s="2" t="str">
        <f>CLEAN(PROPER(Tabla_Compras[[#This Row],[Nombre Opción]]))</f>
        <v>Actas Por Orden De Compra</v>
      </c>
      <c r="H58" s="2" t="s">
        <v>1735</v>
      </c>
      <c r="I58" s="2" t="str">
        <f>_xlfn.XLOOKUP(Tabla_Compras[[#This Row],[id_padre]],Tabla_Compras[Id],Tabla_Compras[Codigo_Tecnico],"",0,1)</f>
        <v>COMPRAS_CONSULTAS_ACTA_RECEPCION</v>
      </c>
      <c r="J5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/compras/consultas/acta-recepcion/actas-por-orden-compra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actas-por-orden-compra</v>
      </c>
      <c r="L58" s="2" t="s">
        <v>98</v>
      </c>
      <c r="M58" s="2" t="s">
        <v>1795</v>
      </c>
      <c r="N58" s="4" t="s">
        <v>360</v>
      </c>
      <c r="O58" s="4" t="s">
        <v>360</v>
      </c>
      <c r="P58" s="4" t="s">
        <v>360</v>
      </c>
      <c r="Q58" s="4" t="s">
        <v>360</v>
      </c>
      <c r="R58" s="4" t="s">
        <v>360</v>
      </c>
      <c r="S58" s="4" t="s">
        <v>360</v>
      </c>
      <c r="T58" s="4" t="s">
        <v>360</v>
      </c>
      <c r="U58" s="4" t="s">
        <v>360</v>
      </c>
      <c r="V58" s="4" t="s">
        <v>360</v>
      </c>
      <c r="W58" s="4" t="s">
        <v>360</v>
      </c>
      <c r="X58" s="4" t="s">
        <v>360</v>
      </c>
      <c r="Y58" s="4" t="s">
        <v>360</v>
      </c>
      <c r="Z58" s="4" t="s">
        <v>360</v>
      </c>
      <c r="AB58" s="4" t="s">
        <v>360</v>
      </c>
      <c r="AC58" s="2" t="str">
        <f>IF(Tabla_Compras[[#This Row],[id_padre]]=Tabla_Compras[[#This Row],[Id]],"NOK","OK")</f>
        <v>OK</v>
      </c>
      <c r="AD58" s="2"/>
      <c r="AE58" s="2"/>
      <c r="AF58" s="2"/>
    </row>
    <row r="59" spans="1:32" hidden="1" x14ac:dyDescent="0.5">
      <c r="A59" s="2">
        <f>MAX(Tabla_Caja[Id])</f>
        <v>634</v>
      </c>
      <c r="B59" s="2">
        <v>689</v>
      </c>
      <c r="C59" s="5">
        <f>IF(Tabla_Compras[[#This Row],[id_padre]]="",0,_xlfn.XLOOKUP(Tabla_Compras[[#This Row],[id_padre]],Tabla_Compras[Id],Tabla_Compras[Nivel],0,0,1)+1)</f>
        <v>3</v>
      </c>
      <c r="D59" s="2" t="s">
        <v>522</v>
      </c>
      <c r="E59" s="2">
        <f>IF(Tabla_Compras[[#This Row],[Id_anterior]]=1,ROW()-1,SUM(ROW()-1,Tabla_Compras[[#This Row],[Id_anterior]]))</f>
        <v>692</v>
      </c>
      <c r="F5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COMPRAS_CONSULTAS_ACTA_RECEPCION_PENDIENTES</v>
      </c>
      <c r="G59" s="2" t="str">
        <f>CLEAN(PROPER(Tabla_Compras[[#This Row],[Nombre Opción]]))</f>
        <v>Pendientes</v>
      </c>
      <c r="H59" s="2" t="s">
        <v>1735</v>
      </c>
      <c r="I59" s="2" t="str">
        <f>_xlfn.XLOOKUP(Tabla_Compras[[#This Row],[id_padre]],Tabla_Compras[Id],Tabla_Compras[Codigo_Tecnico],"",0,1)</f>
        <v>COMPRAS_CONSULTAS_ACTA_RECEPCION</v>
      </c>
      <c r="J5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/compras/consultas/acta-recepcion/pendientes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pendientes</v>
      </c>
      <c r="L59" s="2" t="s">
        <v>98</v>
      </c>
      <c r="M59" s="2" t="s">
        <v>1795</v>
      </c>
      <c r="N59" s="4" t="s">
        <v>360</v>
      </c>
      <c r="O59" s="4" t="s">
        <v>360</v>
      </c>
      <c r="P59" s="4" t="s">
        <v>360</v>
      </c>
      <c r="Q59" s="4" t="s">
        <v>360</v>
      </c>
      <c r="R59" s="4" t="s">
        <v>360</v>
      </c>
      <c r="S59" s="4" t="s">
        <v>360</v>
      </c>
      <c r="T59" s="4" t="s">
        <v>360</v>
      </c>
      <c r="U59" s="4" t="s">
        <v>360</v>
      </c>
      <c r="V59" s="4" t="s">
        <v>360</v>
      </c>
      <c r="W59" s="4" t="s">
        <v>360</v>
      </c>
      <c r="X59" s="4" t="s">
        <v>360</v>
      </c>
      <c r="Y59" s="4" t="s">
        <v>360</v>
      </c>
      <c r="Z59" s="4" t="s">
        <v>360</v>
      </c>
      <c r="AB59" s="4" t="s">
        <v>360</v>
      </c>
      <c r="AC59" s="2" t="str">
        <f>IF(Tabla_Compras[[#This Row],[id_padre]]=Tabla_Compras[[#This Row],[Id]],"NOK","OK")</f>
        <v>OK</v>
      </c>
      <c r="AD59" s="2"/>
      <c r="AE59" s="2"/>
      <c r="AF59" s="2"/>
    </row>
    <row r="60" spans="1:32" hidden="1" x14ac:dyDescent="0.5">
      <c r="A60" s="2">
        <f>MAX(Tabla_Caja[Id])</f>
        <v>634</v>
      </c>
      <c r="B60" s="2">
        <v>689</v>
      </c>
      <c r="C60" s="5">
        <f>IF(Tabla_Compras[[#This Row],[id_padre]]="",0,_xlfn.XLOOKUP(Tabla_Compras[[#This Row],[id_padre]],Tabla_Compras[Id],Tabla_Compras[Nivel],0,0,1)+1)</f>
        <v>3</v>
      </c>
      <c r="D60" s="2" t="s">
        <v>601</v>
      </c>
      <c r="E60" s="2">
        <f>IF(Tabla_Compras[[#This Row],[Id_anterior]]=1,ROW()-1,SUM(ROW()-1,Tabla_Compras[[#This Row],[Id_anterior]]))</f>
        <v>693</v>
      </c>
      <c r="F6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COMPRAS_CONSULTAS_ACTA_RECEPCION_O_C_POR_RECEPCIONAR</v>
      </c>
      <c r="G60" s="2" t="str">
        <f>CLEAN(PROPER(Tabla_Compras[[#This Row],[Nombre Opción]]))</f>
        <v>O/C Por Recepcionar</v>
      </c>
      <c r="H60" s="2" t="s">
        <v>1735</v>
      </c>
      <c r="I60" s="2" t="str">
        <f>_xlfn.XLOOKUP(Tabla_Compras[[#This Row],[id_padre]],Tabla_Compras[Id],Tabla_Compras[Codigo_Tecnico],"",0,1)</f>
        <v>COMPRAS_CONSULTAS_ACTA_RECEPCION</v>
      </c>
      <c r="J6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/compras/consultas/acta-recepcion/o-c-por-recepcionar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o-c-por-recepcionar</v>
      </c>
      <c r="L60" s="2" t="s">
        <v>98</v>
      </c>
      <c r="M60" s="2" t="s">
        <v>1795</v>
      </c>
      <c r="N60" s="4" t="s">
        <v>360</v>
      </c>
      <c r="O60" s="4" t="s">
        <v>360</v>
      </c>
      <c r="P60" s="4" t="s">
        <v>360</v>
      </c>
      <c r="Q60" s="4" t="s">
        <v>360</v>
      </c>
      <c r="R60" s="4" t="s">
        <v>360</v>
      </c>
      <c r="S60" s="4" t="s">
        <v>360</v>
      </c>
      <c r="T60" s="4" t="s">
        <v>360</v>
      </c>
      <c r="U60" s="4" t="s">
        <v>360</v>
      </c>
      <c r="V60" s="4" t="s">
        <v>360</v>
      </c>
      <c r="W60" s="4" t="s">
        <v>360</v>
      </c>
      <c r="X60" s="4" t="s">
        <v>360</v>
      </c>
      <c r="Y60" s="4" t="s">
        <v>360</v>
      </c>
      <c r="Z60" s="4" t="s">
        <v>360</v>
      </c>
      <c r="AB60" s="4" t="s">
        <v>360</v>
      </c>
      <c r="AC60" s="2" t="str">
        <f>IF(Tabla_Compras[[#This Row],[id_padre]]=Tabla_Compras[[#This Row],[Id]],"NOK","OK")</f>
        <v>OK</v>
      </c>
      <c r="AD60" s="2"/>
      <c r="AE60" s="2"/>
      <c r="AF60" s="2"/>
    </row>
    <row r="61" spans="1:32" hidden="1" x14ac:dyDescent="0.5">
      <c r="A61" s="2">
        <f>MAX(Tabla_Caja[Id])</f>
        <v>634</v>
      </c>
      <c r="B61" s="2">
        <v>689</v>
      </c>
      <c r="C61" s="5">
        <f>IF(Tabla_Compras[[#This Row],[id_padre]]="",0,_xlfn.XLOOKUP(Tabla_Compras[[#This Row],[id_padre]],Tabla_Compras[Id],Tabla_Compras[Nivel],0,0,1)+1)</f>
        <v>3</v>
      </c>
      <c r="D61" s="2" t="s">
        <v>602</v>
      </c>
      <c r="E61" s="2">
        <f>IF(Tabla_Compras[[#This Row],[Id_anterior]]=1,ROW()-1,SUM(ROW()-1,Tabla_Compras[[#This Row],[Id_anterior]]))</f>
        <v>694</v>
      </c>
      <c r="F6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COMPRAS_CONSULTAS_ACTA_RECEPCION_EN_TRANSITO</v>
      </c>
      <c r="G61" s="2" t="str">
        <f>CLEAN(PROPER(Tabla_Compras[[#This Row],[Nombre Opción]]))</f>
        <v>En Transito</v>
      </c>
      <c r="H61" s="2" t="s">
        <v>1735</v>
      </c>
      <c r="I61" s="2" t="str">
        <f>_xlfn.XLOOKUP(Tabla_Compras[[#This Row],[id_padre]],Tabla_Compras[Id],Tabla_Compras[Codigo_Tecnico],"",0,1)</f>
        <v>COMPRAS_CONSULTAS_ACTA_RECEPCION</v>
      </c>
      <c r="J6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/compras/consultas/acta-recepcion/en-transito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en-transito</v>
      </c>
      <c r="L61" s="2" t="s">
        <v>98</v>
      </c>
      <c r="M61" s="2" t="s">
        <v>1795</v>
      </c>
      <c r="N61" s="4" t="s">
        <v>360</v>
      </c>
      <c r="O61" s="4" t="s">
        <v>360</v>
      </c>
      <c r="P61" s="4" t="s">
        <v>360</v>
      </c>
      <c r="Q61" s="4" t="s">
        <v>360</v>
      </c>
      <c r="R61" s="4" t="s">
        <v>360</v>
      </c>
      <c r="S61" s="4" t="s">
        <v>360</v>
      </c>
      <c r="T61" s="4" t="s">
        <v>360</v>
      </c>
      <c r="U61" s="4" t="s">
        <v>360</v>
      </c>
      <c r="V61" s="4" t="s">
        <v>360</v>
      </c>
      <c r="W61" s="4" t="s">
        <v>360</v>
      </c>
      <c r="X61" s="4" t="s">
        <v>360</v>
      </c>
      <c r="Y61" s="4" t="s">
        <v>360</v>
      </c>
      <c r="Z61" s="4" t="s">
        <v>360</v>
      </c>
      <c r="AB61" s="4" t="s">
        <v>360</v>
      </c>
      <c r="AC61" s="2" t="str">
        <f>IF(Tabla_Compras[[#This Row],[id_padre]]=Tabla_Compras[[#This Row],[Id]],"NOK","OK")</f>
        <v>OK</v>
      </c>
      <c r="AD61" s="2"/>
      <c r="AE61" s="2"/>
      <c r="AF61" s="2"/>
    </row>
    <row r="62" spans="1:32" hidden="1" x14ac:dyDescent="0.5">
      <c r="A62" s="2">
        <f>MAX(Tabla_Caja[Id])</f>
        <v>634</v>
      </c>
      <c r="B62" s="2">
        <v>689</v>
      </c>
      <c r="C62" s="5">
        <f>IF(Tabla_Compras[[#This Row],[id_padre]]="",0,_xlfn.XLOOKUP(Tabla_Compras[[#This Row],[id_padre]],Tabla_Compras[Id],Tabla_Compras[Nivel],0,0,1)+1)</f>
        <v>3</v>
      </c>
      <c r="D62" s="2" t="s">
        <v>603</v>
      </c>
      <c r="E62" s="2">
        <f>IF(Tabla_Compras[[#This Row],[Id_anterior]]=1,ROW()-1,SUM(ROW()-1,Tabla_Compras[[#This Row],[Id_anterior]]))</f>
        <v>695</v>
      </c>
      <c r="F6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COMPRAS_CONSULTAS_ACTA_RECEPCION_ANULADAS</v>
      </c>
      <c r="G62" s="2" t="str">
        <f>CLEAN(PROPER(Tabla_Compras[[#This Row],[Nombre Opción]]))</f>
        <v>Anuladas</v>
      </c>
      <c r="H62" s="2" t="s">
        <v>1735</v>
      </c>
      <c r="I62" s="2" t="str">
        <f>_xlfn.XLOOKUP(Tabla_Compras[[#This Row],[id_padre]],Tabla_Compras[Id],Tabla_Compras[Codigo_Tecnico],"",0,1)</f>
        <v>COMPRAS_CONSULTAS_ACTA_RECEPCION</v>
      </c>
      <c r="J6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/compras/consultas/acta-recepcion/anuladas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anuladas</v>
      </c>
      <c r="L62" s="2" t="s">
        <v>98</v>
      </c>
      <c r="M62" s="2" t="s">
        <v>1795</v>
      </c>
      <c r="N62" s="4" t="s">
        <v>360</v>
      </c>
      <c r="O62" s="4" t="s">
        <v>360</v>
      </c>
      <c r="P62" s="4" t="s">
        <v>360</v>
      </c>
      <c r="Q62" s="4" t="s">
        <v>360</v>
      </c>
      <c r="R62" s="4" t="s">
        <v>360</v>
      </c>
      <c r="S62" s="4" t="s">
        <v>360</v>
      </c>
      <c r="T62" s="4" t="s">
        <v>360</v>
      </c>
      <c r="U62" s="4" t="s">
        <v>360</v>
      </c>
      <c r="V62" s="4" t="s">
        <v>360</v>
      </c>
      <c r="W62" s="4" t="s">
        <v>360</v>
      </c>
      <c r="X62" s="4" t="s">
        <v>360</v>
      </c>
      <c r="Y62" s="4" t="s">
        <v>360</v>
      </c>
      <c r="Z62" s="4" t="s">
        <v>360</v>
      </c>
      <c r="AB62" s="4" t="s">
        <v>360</v>
      </c>
      <c r="AC62" s="2" t="str">
        <f>IF(Tabla_Compras[[#This Row],[id_padre]]=Tabla_Compras[[#This Row],[Id]],"NOK","OK")</f>
        <v>OK</v>
      </c>
      <c r="AD62" s="2"/>
      <c r="AE62" s="2"/>
      <c r="AF62" s="2"/>
    </row>
    <row r="63" spans="1:32" hidden="1" x14ac:dyDescent="0.5">
      <c r="A63" s="2">
        <f>MAX(Tabla_Caja[Id])</f>
        <v>634</v>
      </c>
      <c r="B63" s="2">
        <v>689</v>
      </c>
      <c r="C63" s="5">
        <f>IF(Tabla_Compras[[#This Row],[id_padre]]="",0,_xlfn.XLOOKUP(Tabla_Compras[[#This Row],[id_padre]],Tabla_Compras[Id],Tabla_Compras[Nivel],0,0,1)+1)</f>
        <v>3</v>
      </c>
      <c r="D63" s="2" t="s">
        <v>604</v>
      </c>
      <c r="E63" s="2">
        <f>IF(Tabla_Compras[[#This Row],[Id_anterior]]=1,ROW()-1,SUM(ROW()-1,Tabla_Compras[[#This Row],[Id_anterior]]))</f>
        <v>696</v>
      </c>
      <c r="F6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COMPRAS_CONSULTAS_ACTA_RECEPCION_BITACORA</v>
      </c>
      <c r="G63" s="2" t="str">
        <f>CLEAN(PROPER(Tabla_Compras[[#This Row],[Nombre Opción]]))</f>
        <v>Bitacora</v>
      </c>
      <c r="H63" s="2" t="s">
        <v>1735</v>
      </c>
      <c r="I63" s="2" t="str">
        <f>_xlfn.XLOOKUP(Tabla_Compras[[#This Row],[id_padre]],Tabla_Compras[Id],Tabla_Compras[Codigo_Tecnico],"",0,1)</f>
        <v>COMPRAS_CONSULTAS_ACTA_RECEPCION</v>
      </c>
      <c r="J6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/compras/consultas/acta-recepcion/bitacora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bitacora</v>
      </c>
      <c r="L63" s="2" t="s">
        <v>98</v>
      </c>
      <c r="M63" s="2" t="s">
        <v>1795</v>
      </c>
      <c r="N63" s="4" t="s">
        <v>360</v>
      </c>
      <c r="O63" s="4" t="s">
        <v>360</v>
      </c>
      <c r="P63" s="4" t="s">
        <v>360</v>
      </c>
      <c r="Q63" s="4" t="s">
        <v>360</v>
      </c>
      <c r="R63" s="4" t="s">
        <v>360</v>
      </c>
      <c r="S63" s="4" t="s">
        <v>360</v>
      </c>
      <c r="T63" s="4" t="s">
        <v>360</v>
      </c>
      <c r="U63" s="4" t="s">
        <v>360</v>
      </c>
      <c r="V63" s="4" t="s">
        <v>360</v>
      </c>
      <c r="W63" s="4" t="s">
        <v>360</v>
      </c>
      <c r="X63" s="4" t="s">
        <v>360</v>
      </c>
      <c r="Y63" s="4" t="s">
        <v>360</v>
      </c>
      <c r="Z63" s="4" t="s">
        <v>360</v>
      </c>
      <c r="AB63" s="4" t="s">
        <v>360</v>
      </c>
      <c r="AC63" s="2" t="str">
        <f>IF(Tabla_Compras[[#This Row],[id_padre]]=Tabla_Compras[[#This Row],[Id]],"NOK","OK")</f>
        <v>OK</v>
      </c>
      <c r="AD63" s="2"/>
      <c r="AE63" s="2"/>
      <c r="AF63" s="2"/>
    </row>
    <row r="64" spans="1:32" hidden="1" x14ac:dyDescent="0.5">
      <c r="A64" s="2">
        <f>MAX(Tabla_Caja[Id])</f>
        <v>634</v>
      </c>
      <c r="B64" s="2">
        <v>638</v>
      </c>
      <c r="C64" s="5">
        <f>IF(Tabla_Compras[[#This Row],[id_padre]]="",0,_xlfn.XLOOKUP(Tabla_Compras[[#This Row],[id_padre]],Tabla_Compras[Id],Tabla_Compras[Nivel],0,0,1)+1)</f>
        <v>2</v>
      </c>
      <c r="D64" s="2" t="s">
        <v>605</v>
      </c>
      <c r="E64" s="2">
        <f>IF(Tabla_Compras[[#This Row],[Id_anterior]]=1,ROW()-1,SUM(ROW()-1,Tabla_Compras[[#This Row],[Id_anterior]]))</f>
        <v>697</v>
      </c>
      <c r="F6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COMPRAS_CONSULTAS_PROVEEDORES</v>
      </c>
      <c r="G64" s="2" t="str">
        <f>CLEAN(PROPER(Tabla_Compras[[#This Row],[Nombre Opción]]))</f>
        <v>Proveedores</v>
      </c>
      <c r="H64" s="2" t="s">
        <v>1735</v>
      </c>
      <c r="I64" s="2" t="str">
        <f>_xlfn.XLOOKUP(Tabla_Compras[[#This Row],[id_padre]],Tabla_Compras[Id],Tabla_Compras[Codigo_Tecnico],"",0,1)</f>
        <v>COMPRAS_CONSULTAS</v>
      </c>
      <c r="J6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/compras/consultas/proveedores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proveedores</v>
      </c>
      <c r="L64" s="2" t="s">
        <v>1348</v>
      </c>
      <c r="M64" s="2" t="s">
        <v>1795</v>
      </c>
      <c r="N64" s="4" t="s">
        <v>360</v>
      </c>
      <c r="O64" s="4" t="s">
        <v>360</v>
      </c>
      <c r="P64" s="4" t="s">
        <v>360</v>
      </c>
      <c r="Q64" s="4" t="s">
        <v>360</v>
      </c>
      <c r="R64" s="4" t="s">
        <v>360</v>
      </c>
      <c r="S64" s="4" t="s">
        <v>360</v>
      </c>
      <c r="T64" s="4" t="s">
        <v>360</v>
      </c>
      <c r="U64" s="4" t="s">
        <v>360</v>
      </c>
      <c r="V64" s="4" t="s">
        <v>360</v>
      </c>
      <c r="W64" s="4" t="s">
        <v>360</v>
      </c>
      <c r="X64" s="4" t="s">
        <v>360</v>
      </c>
      <c r="AB64" s="4" t="s">
        <v>360</v>
      </c>
      <c r="AC64" s="2" t="str">
        <f>IF(Tabla_Compras[[#This Row],[id_padre]]=Tabla_Compras[[#This Row],[Id]],"NOK","OK")</f>
        <v>OK</v>
      </c>
      <c r="AD64" s="2"/>
      <c r="AE64" s="2"/>
      <c r="AF64" s="2"/>
    </row>
    <row r="65" spans="1:32" hidden="1" x14ac:dyDescent="0.5">
      <c r="A65" s="2">
        <f>MAX(Tabla_Caja[Id])</f>
        <v>634</v>
      </c>
      <c r="B65" s="2">
        <v>638</v>
      </c>
      <c r="C65" s="5">
        <f>IF(Tabla_Compras[[#This Row],[id_padre]]="",0,_xlfn.XLOOKUP(Tabla_Compras[[#This Row],[id_padre]],Tabla_Compras[Id],Tabla_Compras[Nivel],0,0,1)+1)</f>
        <v>2</v>
      </c>
      <c r="D65" s="2" t="s">
        <v>606</v>
      </c>
      <c r="E65" s="2">
        <f>IF(Tabla_Compras[[#This Row],[Id_anterior]]=1,ROW()-1,SUM(ROW()-1,Tabla_Compras[[#This Row],[Id_anterior]]))</f>
        <v>698</v>
      </c>
      <c r="F6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COMPRAS_CONSULTAS_PRESUPUESTO_POR_UNIDAD_INTERNA</v>
      </c>
      <c r="G65" s="2" t="str">
        <f>CLEAN(PROPER(Tabla_Compras[[#This Row],[Nombre Opción]]))</f>
        <v>Presupuesto Por Unidad Interna</v>
      </c>
      <c r="H65" s="2" t="s">
        <v>1735</v>
      </c>
      <c r="I65" s="2" t="str">
        <f>_xlfn.XLOOKUP(Tabla_Compras[[#This Row],[id_padre]],Tabla_Compras[Id],Tabla_Compras[Codigo_Tecnico],"",0,1)</f>
        <v>COMPRAS_CONSULTAS</v>
      </c>
      <c r="J6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/compras/consultas/presupuesto-por-unidad-interna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presupuesto-por-unidad-interna</v>
      </c>
      <c r="L65" s="2" t="s">
        <v>1395</v>
      </c>
      <c r="M65" s="2" t="s">
        <v>1795</v>
      </c>
      <c r="N65" s="4" t="s">
        <v>360</v>
      </c>
      <c r="O65" s="4" t="s">
        <v>360</v>
      </c>
      <c r="P65" s="4" t="s">
        <v>360</v>
      </c>
      <c r="Q65" s="4" t="s">
        <v>360</v>
      </c>
      <c r="R65" s="4" t="s">
        <v>360</v>
      </c>
      <c r="S65" s="4" t="s">
        <v>360</v>
      </c>
      <c r="T65" s="4" t="s">
        <v>360</v>
      </c>
      <c r="V65" s="4" t="s">
        <v>360</v>
      </c>
      <c r="X65" s="4" t="s">
        <v>360</v>
      </c>
      <c r="AB65" s="4" t="s">
        <v>360</v>
      </c>
      <c r="AC65" s="2" t="str">
        <f>IF(Tabla_Compras[[#This Row],[id_padre]]=Tabla_Compras[[#This Row],[Id]],"NOK","OK")</f>
        <v>OK</v>
      </c>
      <c r="AD65" s="2"/>
      <c r="AE65" s="2"/>
      <c r="AF65" s="2"/>
    </row>
    <row r="66" spans="1:32" hidden="1" x14ac:dyDescent="0.5">
      <c r="A66" s="2">
        <f>MAX(Tabla_Caja[Id])</f>
        <v>634</v>
      </c>
      <c r="B66" s="2">
        <v>638</v>
      </c>
      <c r="C66" s="5">
        <f>IF(Tabla_Compras[[#This Row],[id_padre]]="",0,_xlfn.XLOOKUP(Tabla_Compras[[#This Row],[id_padre]],Tabla_Compras[Id],Tabla_Compras[Nivel],0,0,1)+1)</f>
        <v>2</v>
      </c>
      <c r="D66" s="2" t="s">
        <v>607</v>
      </c>
      <c r="E66" s="2">
        <f>IF(Tabla_Compras[[#This Row],[Id_anterior]]=1,ROW()-1,SUM(ROW()-1,Tabla_Compras[[#This Row],[Id_anterior]]))</f>
        <v>699</v>
      </c>
      <c r="F6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</v>
      </c>
      <c r="G66" s="2" t="str">
        <f>CLEAN(PROPER(Tabla_Compras[[#This Row],[Nombre Opción]]))</f>
        <v>Mercado Publico</v>
      </c>
      <c r="H66" s="2" t="s">
        <v>1735</v>
      </c>
      <c r="I66" s="2" t="str">
        <f>_xlfn.XLOOKUP(Tabla_Compras[[#This Row],[id_padre]],Tabla_Compras[Id],Tabla_Compras[Codigo_Tecnico],"",0,1)</f>
        <v>COMPRAS_CONSULTAS</v>
      </c>
      <c r="J6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mercado-publico</v>
      </c>
      <c r="L66" s="2" t="s">
        <v>1399</v>
      </c>
      <c r="M66" s="2" t="s">
        <v>1795</v>
      </c>
      <c r="N66" s="4" t="s">
        <v>360</v>
      </c>
      <c r="O66" s="4" t="s">
        <v>360</v>
      </c>
      <c r="P66" s="4" t="s">
        <v>360</v>
      </c>
      <c r="Q66" s="4" t="s">
        <v>360</v>
      </c>
      <c r="R66" s="4" t="s">
        <v>360</v>
      </c>
      <c r="S66" s="4" t="s">
        <v>360</v>
      </c>
      <c r="T66" s="4" t="s">
        <v>360</v>
      </c>
      <c r="V66" s="4" t="s">
        <v>360</v>
      </c>
      <c r="X66" s="4" t="s">
        <v>360</v>
      </c>
      <c r="AB66" s="4" t="s">
        <v>360</v>
      </c>
      <c r="AC66" s="2" t="str">
        <f>IF(Tabla_Compras[[#This Row],[id_padre]]=Tabla_Compras[[#This Row],[Id]],"NOK","OK")</f>
        <v>OK</v>
      </c>
      <c r="AD66" s="2"/>
      <c r="AE66" s="2"/>
      <c r="AF66" s="2"/>
    </row>
    <row r="67" spans="1:32" hidden="1" x14ac:dyDescent="0.5">
      <c r="A67" s="2">
        <f>MAX(Tabla_Caja[Id])</f>
        <v>634</v>
      </c>
      <c r="B67" s="2">
        <v>699</v>
      </c>
      <c r="C67" s="5">
        <f>IF(Tabla_Compras[[#This Row],[id_padre]]="",0,_xlfn.XLOOKUP(Tabla_Compras[[#This Row],[id_padre]],Tabla_Compras[Id],Tabla_Compras[Nivel],0,0,1)+1)</f>
        <v>3</v>
      </c>
      <c r="D67" s="2" t="s">
        <v>124</v>
      </c>
      <c r="E67" s="2">
        <f>IF(Tabla_Compras[[#This Row],[Id_anterior]]=1,ROW()-1,SUM(ROW()-1,Tabla_Compras[[#This Row],[Id_anterior]]))</f>
        <v>700</v>
      </c>
      <c r="F6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</v>
      </c>
      <c r="G67" s="2" t="str">
        <f>CLEAN(PROPER(Tabla_Compras[[#This Row],[Nombre Opción]]))</f>
        <v>Ordenes De Compras</v>
      </c>
      <c r="H67" s="2" t="s">
        <v>1735</v>
      </c>
      <c r="I67" s="2" t="str">
        <f>_xlfn.XLOOKUP(Tabla_Compras[[#This Row],[id_padre]],Tabla_Compras[Id],Tabla_Compras[Codigo_Tecnico],"",0,1)</f>
        <v>COMPRAS_CONSULTAS_MERCADO_PUBLICO</v>
      </c>
      <c r="J6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ordenes-compras</v>
      </c>
      <c r="L67" s="2" t="s">
        <v>98</v>
      </c>
      <c r="M67" s="2" t="s">
        <v>1795</v>
      </c>
      <c r="N67" s="4" t="s">
        <v>360</v>
      </c>
      <c r="O67" s="4" t="s">
        <v>360</v>
      </c>
      <c r="P67" s="4" t="s">
        <v>360</v>
      </c>
      <c r="Q67" s="4" t="s">
        <v>360</v>
      </c>
      <c r="R67" s="4" t="s">
        <v>360</v>
      </c>
      <c r="S67" s="4" t="s">
        <v>360</v>
      </c>
      <c r="T67" s="4" t="s">
        <v>360</v>
      </c>
      <c r="V67" s="4" t="s">
        <v>360</v>
      </c>
      <c r="X67" s="4" t="s">
        <v>360</v>
      </c>
      <c r="AB67" s="4" t="s">
        <v>360</v>
      </c>
      <c r="AC67" s="2" t="str">
        <f>IF(Tabla_Compras[[#This Row],[id_padre]]=Tabla_Compras[[#This Row],[Id]],"NOK","OK")</f>
        <v>OK</v>
      </c>
      <c r="AD67" s="2"/>
      <c r="AE67" s="2"/>
      <c r="AF67" s="2"/>
    </row>
    <row r="68" spans="1:32" hidden="1" x14ac:dyDescent="0.5">
      <c r="A68" s="2">
        <f>MAX(Tabla_Caja[Id])</f>
        <v>634</v>
      </c>
      <c r="B68" s="2">
        <v>700</v>
      </c>
      <c r="C68" s="5">
        <f>IF(Tabla_Compras[[#This Row],[id_padre]]="",0,_xlfn.XLOOKUP(Tabla_Compras[[#This Row],[id_padre]],Tabla_Compras[Id],Tabla_Compras[Nivel],0,0,1)+1)</f>
        <v>4</v>
      </c>
      <c r="D68" s="2" t="s">
        <v>599</v>
      </c>
      <c r="E68" s="2">
        <f>IF(Tabla_Compras[[#This Row],[Id_anterior]]=1,ROW()-1,SUM(ROW()-1,Tabla_Compras[[#This Row],[Id_anterior]]))</f>
        <v>701</v>
      </c>
      <c r="F6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COMPRAS_CONSULTAS_MERCADO_PUBLICO_ORDENES_COMPRAS_ESPECIFICA</v>
      </c>
      <c r="G68" s="2" t="str">
        <f>CLEAN(PROPER(Tabla_Compras[[#This Row],[Nombre Opción]]))</f>
        <v>Especifica</v>
      </c>
      <c r="H68" s="2" t="s">
        <v>1735</v>
      </c>
      <c r="I68" s="2" t="str">
        <f>_xlfn.XLOOKUP(Tabla_Compras[[#This Row],[id_padre]],Tabla_Compras[Id],Tabla_Compras[Codigo_Tecnico],"",0,1)</f>
        <v>COMPRAS_CONSULTAS_MERCADO_PUBLICO_ORDENES_COMPRAS</v>
      </c>
      <c r="J6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/compras/consultas/mercado-publico/ordenes-compras/especifica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especifica</v>
      </c>
      <c r="L68" s="2" t="s">
        <v>98</v>
      </c>
      <c r="M68" s="2" t="s">
        <v>1795</v>
      </c>
      <c r="N68" s="4" t="s">
        <v>360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T68" s="4" t="s">
        <v>360</v>
      </c>
      <c r="V68" s="4" t="s">
        <v>360</v>
      </c>
      <c r="X68" s="4" t="s">
        <v>360</v>
      </c>
      <c r="AB68" s="4" t="s">
        <v>360</v>
      </c>
      <c r="AC68" s="2" t="str">
        <f>IF(Tabla_Compras[[#This Row],[id_padre]]=Tabla_Compras[[#This Row],[Id]],"NOK","OK")</f>
        <v>OK</v>
      </c>
      <c r="AD68" s="2"/>
      <c r="AE68" s="2"/>
      <c r="AF68" s="2"/>
    </row>
    <row r="69" spans="1:32" hidden="1" x14ac:dyDescent="0.5">
      <c r="A69" s="2">
        <f>MAX(Tabla_Caja[Id])</f>
        <v>634</v>
      </c>
      <c r="B69" s="2">
        <v>700</v>
      </c>
      <c r="C69" s="5">
        <f>IF(Tabla_Compras[[#This Row],[id_padre]]="",0,_xlfn.XLOOKUP(Tabla_Compras[[#This Row],[id_padre]],Tabla_Compras[Id],Tabla_Compras[Nivel],0,0,1)+1)</f>
        <v>4</v>
      </c>
      <c r="D69" s="2" t="s">
        <v>125</v>
      </c>
      <c r="E69" s="2">
        <f>IF(Tabla_Compras[[#This Row],[Id_anterior]]=1,ROW()-1,SUM(ROW()-1,Tabla_Compras[[#This Row],[Id_anterior]]))</f>
        <v>702</v>
      </c>
      <c r="F6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COMPRAS_CONSULTAS_MERCADO_PUBLICO_ORDENES_COMPRAS_RECHAZADAS_POR_FINANZAS</v>
      </c>
      <c r="G69" s="2" t="str">
        <f>CLEAN(PROPER(Tabla_Compras[[#This Row],[Nombre Opción]]))</f>
        <v>Rechazadas Por Finanzas</v>
      </c>
      <c r="H69" s="2" t="s">
        <v>1735</v>
      </c>
      <c r="I69" s="2" t="str">
        <f>_xlfn.XLOOKUP(Tabla_Compras[[#This Row],[id_padre]],Tabla_Compras[Id],Tabla_Compras[Codigo_Tecnico],"",0,1)</f>
        <v>COMPRAS_CONSULTAS_MERCADO_PUBLICO_ORDENES_COMPRAS</v>
      </c>
      <c r="J6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/compras/consultas/mercado-publico/ordenes-compras/rechazadas-por-finanzas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rechazadas-por-finanzas</v>
      </c>
      <c r="L69" s="2" t="s">
        <v>98</v>
      </c>
      <c r="M69" s="2" t="s">
        <v>1795</v>
      </c>
      <c r="N69" s="4" t="s">
        <v>360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T69" s="4" t="s">
        <v>360</v>
      </c>
      <c r="V69" s="4" t="s">
        <v>360</v>
      </c>
      <c r="X69" s="4" t="s">
        <v>360</v>
      </c>
      <c r="AB69" s="4" t="s">
        <v>360</v>
      </c>
      <c r="AC69" s="2" t="str">
        <f>IF(Tabla_Compras[[#This Row],[id_padre]]=Tabla_Compras[[#This Row],[Id]],"NOK","OK")</f>
        <v>OK</v>
      </c>
      <c r="AD69" s="2"/>
      <c r="AE69" s="2"/>
      <c r="AF69" s="2"/>
    </row>
    <row r="70" spans="1:32" hidden="1" x14ac:dyDescent="0.5">
      <c r="A70" s="2">
        <f>MAX(Tabla_Caja[Id])</f>
        <v>634</v>
      </c>
      <c r="B70" s="2">
        <v>700</v>
      </c>
      <c r="C70" s="5">
        <f>IF(Tabla_Compras[[#This Row],[id_padre]]="",0,_xlfn.XLOOKUP(Tabla_Compras[[#This Row],[id_padre]],Tabla_Compras[Id],Tabla_Compras[Nivel],0,0,1)+1)</f>
        <v>4</v>
      </c>
      <c r="D70" s="2" t="s">
        <v>126</v>
      </c>
      <c r="E70" s="2">
        <f>IF(Tabla_Compras[[#This Row],[Id_anterior]]=1,ROW()-1,SUM(ROW()-1,Tabla_Compras[[#This Row],[Id_anterior]]))</f>
        <v>703</v>
      </c>
      <c r="F7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COMPRAS_CONSULTAS_MERCADO_PUBLICO_ORDENES_COMPRAS_RECHAZADAS_POR_MERCADO_PUBLICO</v>
      </c>
      <c r="G70" s="2" t="str">
        <f>CLEAN(PROPER(Tabla_Compras[[#This Row],[Nombre Opción]]))</f>
        <v>Rechazadas Por Mercado Publico</v>
      </c>
      <c r="H70" s="2" t="s">
        <v>1735</v>
      </c>
      <c r="I70" s="2" t="str">
        <f>_xlfn.XLOOKUP(Tabla_Compras[[#This Row],[id_padre]],Tabla_Compras[Id],Tabla_Compras[Codigo_Tecnico],"",0,1)</f>
        <v>COMPRAS_CONSULTAS_MERCADO_PUBLICO_ORDENES_COMPRAS</v>
      </c>
      <c r="J7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/compras/consultas/mercado-publico/ordenes-compras/rechazadas-por-mercado-publico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rechazadas-por-mercado-publico</v>
      </c>
      <c r="L70" s="2" t="s">
        <v>98</v>
      </c>
      <c r="M70" s="2" t="s">
        <v>1795</v>
      </c>
      <c r="N70" s="4" t="s">
        <v>360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T70" s="4" t="s">
        <v>360</v>
      </c>
      <c r="U70" s="4" t="s">
        <v>360</v>
      </c>
      <c r="V70" s="4" t="s">
        <v>360</v>
      </c>
      <c r="W70" s="4" t="s">
        <v>360</v>
      </c>
      <c r="X70" s="4" t="s">
        <v>360</v>
      </c>
      <c r="AB70" s="4" t="s">
        <v>360</v>
      </c>
      <c r="AC70" s="2" t="str">
        <f>IF(Tabla_Compras[[#This Row],[id_padre]]=Tabla_Compras[[#This Row],[Id]],"NOK","OK")</f>
        <v>OK</v>
      </c>
      <c r="AD70" s="2"/>
      <c r="AE70" s="2"/>
      <c r="AF70" s="2"/>
    </row>
    <row r="71" spans="1:32" hidden="1" x14ac:dyDescent="0.5">
      <c r="A71" s="2">
        <f>MAX(Tabla_Caja[Id])</f>
        <v>634</v>
      </c>
      <c r="B71" s="2">
        <v>700</v>
      </c>
      <c r="C71" s="5">
        <f>IF(Tabla_Compras[[#This Row],[id_padre]]="",0,_xlfn.XLOOKUP(Tabla_Compras[[#This Row],[id_padre]],Tabla_Compras[Id],Tabla_Compras[Nivel],0,0,1)+1)</f>
        <v>4</v>
      </c>
      <c r="D71" s="2" t="s">
        <v>127</v>
      </c>
      <c r="E71" s="2">
        <f>IF(Tabla_Compras[[#This Row],[Id_anterior]]=1,ROW()-1,SUM(ROW()-1,Tabla_Compras[[#This Row],[Id_anterior]]))</f>
        <v>704</v>
      </c>
      <c r="F7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COMPRAS_CONSULTAS_MERCADO_PUBLICO_ORDENES_COMPRAS_FINALIZADAS_POR_MERCADO_PUBLICO</v>
      </c>
      <c r="G71" s="2" t="str">
        <f>CLEAN(PROPER(Tabla_Compras[[#This Row],[Nombre Opción]]))</f>
        <v>Finalizadas Por Mercado Publico</v>
      </c>
      <c r="H71" s="2" t="s">
        <v>1735</v>
      </c>
      <c r="I71" s="2" t="str">
        <f>_xlfn.XLOOKUP(Tabla_Compras[[#This Row],[id_padre]],Tabla_Compras[Id],Tabla_Compras[Codigo_Tecnico],"",0,1)</f>
        <v>COMPRAS_CONSULTAS_MERCADO_PUBLICO_ORDENES_COMPRAS</v>
      </c>
      <c r="J7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/compras/consultas/mercado-publico/ordenes-compras/finalizadas-por-mercado-publico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finalizadas-por-mercado-publico</v>
      </c>
      <c r="L71" s="2" t="s">
        <v>98</v>
      </c>
      <c r="M71" s="2" t="s">
        <v>1795</v>
      </c>
      <c r="N71" s="4" t="s">
        <v>360</v>
      </c>
      <c r="O71" s="4" t="s">
        <v>360</v>
      </c>
      <c r="P71" s="4" t="s">
        <v>360</v>
      </c>
      <c r="Q71" s="4" t="s">
        <v>360</v>
      </c>
      <c r="R71" s="4" t="s">
        <v>360</v>
      </c>
      <c r="S71" s="4" t="s">
        <v>360</v>
      </c>
      <c r="T71" s="4" t="s">
        <v>360</v>
      </c>
      <c r="U71" s="4" t="s">
        <v>360</v>
      </c>
      <c r="V71" s="4" t="s">
        <v>360</v>
      </c>
      <c r="W71" s="4" t="s">
        <v>360</v>
      </c>
      <c r="X71" s="4" t="s">
        <v>360</v>
      </c>
      <c r="AB71" s="4" t="s">
        <v>360</v>
      </c>
      <c r="AC71" s="2" t="str">
        <f>IF(Tabla_Compras[[#This Row],[id_padre]]=Tabla_Compras[[#This Row],[Id]],"NOK","OK")</f>
        <v>OK</v>
      </c>
      <c r="AD71" s="2"/>
      <c r="AE71" s="2"/>
      <c r="AF71" s="2"/>
    </row>
    <row r="72" spans="1:32" hidden="1" x14ac:dyDescent="0.5">
      <c r="A72" s="2">
        <f>MAX(Tabla_Caja[Id])</f>
        <v>634</v>
      </c>
      <c r="B72" s="2">
        <v>700</v>
      </c>
      <c r="C72" s="5">
        <f>IF(Tabla_Compras[[#This Row],[id_padre]]="",0,_xlfn.XLOOKUP(Tabla_Compras[[#This Row],[id_padre]],Tabla_Compras[Id],Tabla_Compras[Nivel],0,0,1)+1)</f>
        <v>4</v>
      </c>
      <c r="D72" s="2" t="s">
        <v>608</v>
      </c>
      <c r="E72" s="2">
        <f>IF(Tabla_Compras[[#This Row],[Id_anterior]]=1,ROW()-1,SUM(ROW()-1,Tabla_Compras[[#This Row],[Id_anterior]]))</f>
        <v>705</v>
      </c>
      <c r="F7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COMPRAS_CONSULTAS_MERCADO_PUBLICO_ORDENES_COMPRAS_POR_PERIODO_FECHAS_POR_UNIDAD_INTERNA</v>
      </c>
      <c r="G72" s="2" t="str">
        <f>CLEAN(PROPER(Tabla_Compras[[#This Row],[Nombre Opción]]))</f>
        <v>Por Periodo De Fechas Por Unidad Interna</v>
      </c>
      <c r="H72" s="2" t="s">
        <v>1735</v>
      </c>
      <c r="I72" s="2" t="str">
        <f>_xlfn.XLOOKUP(Tabla_Compras[[#This Row],[id_padre]],Tabla_Compras[Id],Tabla_Compras[Codigo_Tecnico],"",0,1)</f>
        <v>COMPRAS_CONSULTAS_MERCADO_PUBLICO_ORDENES_COMPRAS</v>
      </c>
      <c r="J7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/compras/consultas/mercado-publico/ordenes-compras/por-periodo-fechas-por-unidad-interna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por-periodo-fechas-por-unidad-interna</v>
      </c>
      <c r="L72" s="2" t="s">
        <v>98</v>
      </c>
      <c r="M72" s="2" t="s">
        <v>1795</v>
      </c>
      <c r="N72" s="4" t="s">
        <v>360</v>
      </c>
      <c r="O72" s="4" t="s">
        <v>360</v>
      </c>
      <c r="P72" s="4" t="s">
        <v>360</v>
      </c>
      <c r="Q72" s="4" t="s">
        <v>360</v>
      </c>
      <c r="R72" s="4" t="s">
        <v>360</v>
      </c>
      <c r="S72" s="4" t="s">
        <v>360</v>
      </c>
      <c r="T72" s="4" t="s">
        <v>360</v>
      </c>
      <c r="U72" s="4" t="s">
        <v>360</v>
      </c>
      <c r="V72" s="4" t="s">
        <v>360</v>
      </c>
      <c r="W72" s="4" t="s">
        <v>360</v>
      </c>
      <c r="X72" s="4" t="s">
        <v>360</v>
      </c>
      <c r="AB72" s="4" t="s">
        <v>360</v>
      </c>
      <c r="AC72" s="2" t="str">
        <f>IF(Tabla_Compras[[#This Row],[id_padre]]=Tabla_Compras[[#This Row],[Id]],"NOK","OK")</f>
        <v>OK</v>
      </c>
      <c r="AD72" s="2"/>
      <c r="AE72" s="2"/>
      <c r="AF72" s="2"/>
    </row>
    <row r="73" spans="1:32" hidden="1" x14ac:dyDescent="0.5">
      <c r="A73" s="2">
        <f>MAX(Tabla_Caja[Id])</f>
        <v>634</v>
      </c>
      <c r="B73" s="2">
        <v>700</v>
      </c>
      <c r="C73" s="5">
        <f>IF(Tabla_Compras[[#This Row],[id_padre]]="",0,_xlfn.XLOOKUP(Tabla_Compras[[#This Row],[id_padre]],Tabla_Compras[Id],Tabla_Compras[Nivel],0,0,1)+1)</f>
        <v>4</v>
      </c>
      <c r="D73" s="2" t="s">
        <v>130</v>
      </c>
      <c r="E73" s="2">
        <f>IF(Tabla_Compras[[#This Row],[Id_anterior]]=1,ROW()-1,SUM(ROW()-1,Tabla_Compras[[#This Row],[Id_anterior]]))</f>
        <v>706</v>
      </c>
      <c r="F7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COMPRAS_CONSULTAS_MERCADO_PUBLICO_ORDENES_COMPRAS_RESUMEN_O_C_REALIZADAS_POR_MES</v>
      </c>
      <c r="G73" s="2" t="str">
        <f>CLEAN(PROPER(Tabla_Compras[[#This Row],[Nombre Opción]]))</f>
        <v>Resumen O/C Realizadas Por Mes</v>
      </c>
      <c r="H73" s="2" t="s">
        <v>1735</v>
      </c>
      <c r="I73" s="2" t="str">
        <f>_xlfn.XLOOKUP(Tabla_Compras[[#This Row],[id_padre]],Tabla_Compras[Id],Tabla_Compras[Codigo_Tecnico],"",0,1)</f>
        <v>COMPRAS_CONSULTAS_MERCADO_PUBLICO_ORDENES_COMPRAS</v>
      </c>
      <c r="J7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/compras/consultas/mercado-publico/ordenes-compras/resumen-o-c-realizadas-por-mes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resumen-o-c-realizadas-por-mes</v>
      </c>
      <c r="L73" s="2" t="s">
        <v>98</v>
      </c>
      <c r="M73" s="2" t="s">
        <v>1795</v>
      </c>
      <c r="N73" s="4" t="s">
        <v>360</v>
      </c>
      <c r="O73" s="4" t="s">
        <v>360</v>
      </c>
      <c r="P73" s="4" t="s">
        <v>360</v>
      </c>
      <c r="Q73" s="4" t="s">
        <v>360</v>
      </c>
      <c r="R73" s="4" t="s">
        <v>360</v>
      </c>
      <c r="S73" s="4" t="s">
        <v>360</v>
      </c>
      <c r="T73" s="4" t="s">
        <v>360</v>
      </c>
      <c r="U73" s="4" t="s">
        <v>360</v>
      </c>
      <c r="V73" s="4" t="s">
        <v>360</v>
      </c>
      <c r="W73" s="4" t="s">
        <v>360</v>
      </c>
      <c r="X73" s="4" t="s">
        <v>360</v>
      </c>
      <c r="AB73" s="4" t="s">
        <v>360</v>
      </c>
      <c r="AC73" s="2" t="str">
        <f>IF(Tabla_Compras[[#This Row],[id_padre]]=Tabla_Compras[[#This Row],[Id]],"NOK","OK")</f>
        <v>OK</v>
      </c>
      <c r="AD73" s="2"/>
      <c r="AE73" s="2"/>
      <c r="AF73" s="2"/>
    </row>
    <row r="74" spans="1:32" hidden="1" x14ac:dyDescent="0.5">
      <c r="A74" s="2">
        <f>MAX(Tabla_Caja[Id])</f>
        <v>634</v>
      </c>
      <c r="B74" s="2">
        <v>700</v>
      </c>
      <c r="C74" s="5">
        <f>IF(Tabla_Compras[[#This Row],[id_padre]]="",0,_xlfn.XLOOKUP(Tabla_Compras[[#This Row],[id_padre]],Tabla_Compras[Id],Tabla_Compras[Nivel],0,0,1)+1)</f>
        <v>4</v>
      </c>
      <c r="D74" s="2" t="s">
        <v>131</v>
      </c>
      <c r="E74" s="2">
        <f>IF(Tabla_Compras[[#This Row],[Id_anterior]]=1,ROW()-1,SUM(ROW()-1,Tabla_Compras[[#This Row],[Id_anterior]]))</f>
        <v>707</v>
      </c>
      <c r="F7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COMPRAS_CONSULTAS_MERCADO_PUBLICO_ORDENES_COMPRAS_CATALOGO_ARTICULOS</v>
      </c>
      <c r="G74" s="2" t="str">
        <f>CLEAN(PROPER(Tabla_Compras[[#This Row],[Nombre Opción]]))</f>
        <v>Catalogo De Articulos</v>
      </c>
      <c r="H74" s="2" t="s">
        <v>1735</v>
      </c>
      <c r="I74" s="2" t="str">
        <f>_xlfn.XLOOKUP(Tabla_Compras[[#This Row],[id_padre]],Tabla_Compras[Id],Tabla_Compras[Codigo_Tecnico],"",0,1)</f>
        <v>COMPRAS_CONSULTAS_MERCADO_PUBLICO_ORDENES_COMPRAS</v>
      </c>
      <c r="J7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/compras/consultas/mercado-publico/ordenes-compras/catalogo-articulos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catalogo-articulos</v>
      </c>
      <c r="L74" s="2" t="s">
        <v>98</v>
      </c>
      <c r="M74" s="2" t="s">
        <v>1795</v>
      </c>
      <c r="N74" s="4" t="s">
        <v>360</v>
      </c>
      <c r="O74" s="4" t="s">
        <v>360</v>
      </c>
      <c r="P74" s="4" t="s">
        <v>360</v>
      </c>
      <c r="Q74" s="4" t="s">
        <v>360</v>
      </c>
      <c r="R74" s="4" t="s">
        <v>360</v>
      </c>
      <c r="S74" s="4" t="s">
        <v>360</v>
      </c>
      <c r="T74" s="4" t="s">
        <v>360</v>
      </c>
      <c r="U74" s="4" t="s">
        <v>360</v>
      </c>
      <c r="V74" s="4" t="s">
        <v>360</v>
      </c>
      <c r="W74" s="4" t="s">
        <v>360</v>
      </c>
      <c r="X74" s="4" t="s">
        <v>360</v>
      </c>
      <c r="AB74" s="4" t="s">
        <v>360</v>
      </c>
      <c r="AC74" s="2" t="str">
        <f>IF(Tabla_Compras[[#This Row],[id_padre]]=Tabla_Compras[[#This Row],[Id]],"NOK","OK")</f>
        <v>OK</v>
      </c>
      <c r="AD74" s="2"/>
      <c r="AE74" s="2"/>
      <c r="AF74" s="2"/>
    </row>
    <row r="75" spans="1:32" hidden="1" x14ac:dyDescent="0.5">
      <c r="A75" s="2">
        <f>MAX(Tabla_Caja[Id])</f>
        <v>634</v>
      </c>
      <c r="B75" s="2">
        <v>700</v>
      </c>
      <c r="C75" s="5">
        <f>IF(Tabla_Compras[[#This Row],[id_padre]]="",0,_xlfn.XLOOKUP(Tabla_Compras[[#This Row],[id_padre]],Tabla_Compras[Id],Tabla_Compras[Nivel],0,0,1)+1)</f>
        <v>4</v>
      </c>
      <c r="D75" s="2" t="s">
        <v>609</v>
      </c>
      <c r="E75" s="2">
        <f>IF(Tabla_Compras[[#This Row],[Id_anterior]]=1,ROW()-1,SUM(ROW()-1,Tabla_Compras[[#This Row],[Id_anterior]]))</f>
        <v>708</v>
      </c>
      <c r="F7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COMPRAS_CONSULTAS_MERCADO_PUBLICO_ORDENES_COMPRAS_CATALOGO_VIVERES_MP</v>
      </c>
      <c r="G75" s="2" t="str">
        <f>CLEAN(PROPER(Tabla_Compras[[#This Row],[Nombre Opción]]))</f>
        <v>Catalogo De Viveres Mp</v>
      </c>
      <c r="H75" s="2" t="s">
        <v>1735</v>
      </c>
      <c r="I75" s="2" t="str">
        <f>_xlfn.XLOOKUP(Tabla_Compras[[#This Row],[id_padre]],Tabla_Compras[Id],Tabla_Compras[Codigo_Tecnico],"",0,1)</f>
        <v>COMPRAS_CONSULTAS_MERCADO_PUBLICO_ORDENES_COMPRAS</v>
      </c>
      <c r="J7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/compras/consultas/mercado-publico/ordenes-compras/catalogo-viveres-mp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catalogo-viveres-mp</v>
      </c>
      <c r="L75" s="2" t="s">
        <v>98</v>
      </c>
      <c r="M75" s="2" t="s">
        <v>1795</v>
      </c>
      <c r="N75" s="4" t="s">
        <v>360</v>
      </c>
      <c r="O75" s="4" t="s">
        <v>360</v>
      </c>
      <c r="P75" s="4" t="s">
        <v>360</v>
      </c>
      <c r="Q75" s="4" t="s">
        <v>360</v>
      </c>
      <c r="R75" s="4" t="s">
        <v>360</v>
      </c>
      <c r="S75" s="4" t="s">
        <v>360</v>
      </c>
      <c r="T75" s="4" t="s">
        <v>360</v>
      </c>
      <c r="U75" s="4" t="s">
        <v>360</v>
      </c>
      <c r="V75" s="4" t="s">
        <v>360</v>
      </c>
      <c r="W75" s="4" t="s">
        <v>360</v>
      </c>
      <c r="X75" s="4" t="s">
        <v>360</v>
      </c>
      <c r="Y75" s="4" t="s">
        <v>360</v>
      </c>
      <c r="Z75" s="4" t="s">
        <v>360</v>
      </c>
      <c r="AA75" s="4" t="s">
        <v>360</v>
      </c>
      <c r="AB75" s="4" t="s">
        <v>360</v>
      </c>
      <c r="AC75" s="2" t="str">
        <f>IF(Tabla_Compras[[#This Row],[id_padre]]=Tabla_Compras[[#This Row],[Id]],"NOK","OK")</f>
        <v>OK</v>
      </c>
      <c r="AD75" s="2"/>
      <c r="AE75" s="2"/>
      <c r="AF75" s="2"/>
    </row>
    <row r="76" spans="1:32" hidden="1" x14ac:dyDescent="0.5">
      <c r="A76" s="2">
        <f>MAX(Tabla_Caja[Id])</f>
        <v>634</v>
      </c>
      <c r="B76" s="2">
        <v>638</v>
      </c>
      <c r="C76" s="5">
        <f>IF(Tabla_Compras[[#This Row],[id_padre]]="",0,_xlfn.XLOOKUP(Tabla_Compras[[#This Row],[id_padre]],Tabla_Compras[Id],Tabla_Compras[Nivel],0,0,1)+1)</f>
        <v>2</v>
      </c>
      <c r="D76" s="2" t="s">
        <v>610</v>
      </c>
      <c r="E76" s="2">
        <f>IF(Tabla_Compras[[#This Row],[Id_anterior]]=1,ROW()-1,SUM(ROW()-1,Tabla_Compras[[#This Row],[Id_anterior]]))</f>
        <v>709</v>
      </c>
      <c r="F7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COMPRAS_CONSULTAS_CONSULTA_FACTURAS</v>
      </c>
      <c r="G76" s="2" t="str">
        <f>CLEAN(PROPER(Tabla_Compras[[#This Row],[Nombre Opción]]))</f>
        <v>Consulta Facturas</v>
      </c>
      <c r="H76" s="2" t="s">
        <v>1735</v>
      </c>
      <c r="I76" s="2" t="str">
        <f>_xlfn.XLOOKUP(Tabla_Compras[[#This Row],[id_padre]],Tabla_Compras[Id],Tabla_Compras[Codigo_Tecnico],"",0,1)</f>
        <v>COMPRAS_CONSULTAS</v>
      </c>
      <c r="J7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/compras/consultas/consulta-facturas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consulta-facturas</v>
      </c>
      <c r="L76" s="2" t="s">
        <v>1415</v>
      </c>
      <c r="M76" s="2" t="s">
        <v>1795</v>
      </c>
      <c r="N76" s="4" t="s">
        <v>360</v>
      </c>
      <c r="O76" s="4" t="s">
        <v>360</v>
      </c>
      <c r="P76" s="4" t="s">
        <v>360</v>
      </c>
      <c r="Q76" s="4" t="s">
        <v>360</v>
      </c>
      <c r="R76" s="4" t="s">
        <v>360</v>
      </c>
      <c r="S76" s="4" t="s">
        <v>360</v>
      </c>
      <c r="T76" s="4" t="s">
        <v>360</v>
      </c>
      <c r="U76" s="4" t="s">
        <v>360</v>
      </c>
      <c r="V76" s="4" t="s">
        <v>360</v>
      </c>
      <c r="W76" s="4" t="s">
        <v>360</v>
      </c>
      <c r="X76" s="4" t="s">
        <v>360</v>
      </c>
      <c r="Y76" s="4" t="s">
        <v>360</v>
      </c>
      <c r="Z76" s="4" t="s">
        <v>360</v>
      </c>
      <c r="AA76" s="4" t="s">
        <v>360</v>
      </c>
      <c r="AB76" s="4" t="s">
        <v>360</v>
      </c>
      <c r="AC76" s="2" t="str">
        <f>IF(Tabla_Compras[[#This Row],[id_padre]]=Tabla_Compras[[#This Row],[Id]],"NOK","OK")</f>
        <v>OK</v>
      </c>
      <c r="AD76" s="2"/>
      <c r="AE76" s="2"/>
      <c r="AF76" s="2"/>
    </row>
    <row r="77" spans="1:32" hidden="1" x14ac:dyDescent="0.5">
      <c r="A77" s="2">
        <f>MAX(Tabla_Caja[Id])</f>
        <v>634</v>
      </c>
      <c r="B77" s="2">
        <v>639</v>
      </c>
      <c r="C77" s="5">
        <f>IF(Tabla_Compras[[#This Row],[id_padre]]="",0,_xlfn.XLOOKUP(Tabla_Compras[[#This Row],[id_padre]],Tabla_Compras[Id],Tabla_Compras[Nivel],0,0,1)+1)</f>
        <v>2</v>
      </c>
      <c r="D77" s="2" t="s">
        <v>302</v>
      </c>
      <c r="E77" s="2">
        <f>IF(Tabla_Compras[[#This Row],[Id_anterior]]=1,ROW()-1,SUM(ROW()-1,Tabla_Compras[[#This Row],[Id_anterior]]))</f>
        <v>710</v>
      </c>
      <c r="F7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COMPRAS_INFORMES_SALDOS_PRESUPUESTARIOS_POR_UNIDAD_INTERNA</v>
      </c>
      <c r="G77" s="2" t="str">
        <f>CLEAN(PROPER(Tabla_Compras[[#This Row],[Nombre Opción]]))</f>
        <v>Saldos Presupuestarios Por Unidad Interna</v>
      </c>
      <c r="H77" s="2" t="s">
        <v>1735</v>
      </c>
      <c r="I77" s="2" t="str">
        <f>_xlfn.XLOOKUP(Tabla_Compras[[#This Row],[id_padre]],Tabla_Compras[Id],Tabla_Compras[Codigo_Tecnico],"",0,1)</f>
        <v>COMPRAS_INFORMES</v>
      </c>
      <c r="J7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/compras/informes/saldos-presupuestarios-por-unidad-interna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saldos-presupuestarios-por-unidad-interna</v>
      </c>
      <c r="L77" s="2" t="s">
        <v>1395</v>
      </c>
      <c r="M77" s="2" t="s">
        <v>1795</v>
      </c>
      <c r="N77" s="4" t="s">
        <v>360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T77" s="4" t="s">
        <v>360</v>
      </c>
      <c r="U77" s="4" t="s">
        <v>360</v>
      </c>
      <c r="V77" s="4" t="s">
        <v>360</v>
      </c>
      <c r="W77" s="4" t="s">
        <v>360</v>
      </c>
      <c r="X77" s="4" t="s">
        <v>360</v>
      </c>
      <c r="AB77" s="4" t="s">
        <v>360</v>
      </c>
      <c r="AC77" s="2" t="str">
        <f>IF(Tabla_Compras[[#This Row],[id_padre]]=Tabla_Compras[[#This Row],[Id]],"NOK","OK")</f>
        <v>OK</v>
      </c>
      <c r="AD77" s="2"/>
      <c r="AE77" s="2"/>
      <c r="AF77" s="2"/>
    </row>
    <row r="78" spans="1:32" hidden="1" x14ac:dyDescent="0.5">
      <c r="A78" s="2">
        <f>MAX(Tabla_Caja[Id])</f>
        <v>634</v>
      </c>
      <c r="B78" s="2">
        <v>639</v>
      </c>
      <c r="C78" s="5">
        <f>IF(Tabla_Compras[[#This Row],[id_padre]]="",0,_xlfn.XLOOKUP(Tabla_Compras[[#This Row],[id_padre]],Tabla_Compras[Id],Tabla_Compras[Nivel],0,0,1)+1)</f>
        <v>2</v>
      </c>
      <c r="D78" s="2" t="s">
        <v>611</v>
      </c>
      <c r="E78" s="2">
        <f>IF(Tabla_Compras[[#This Row],[Id_anterior]]=1,ROW()-1,SUM(ROW()-1,Tabla_Compras[[#This Row],[Id_anterior]]))</f>
        <v>711</v>
      </c>
      <c r="F7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COMPRAS_INFORMES_COMPOSICION_SOLICITUDES</v>
      </c>
      <c r="G78" s="2" t="str">
        <f>CLEAN(PROPER(Tabla_Compras[[#This Row],[Nombre Opción]]))</f>
        <v>Composicion De Solicitudes</v>
      </c>
      <c r="H78" s="2" t="s">
        <v>1735</v>
      </c>
      <c r="I78" s="2" t="str">
        <f>_xlfn.XLOOKUP(Tabla_Compras[[#This Row],[id_padre]],Tabla_Compras[Id],Tabla_Compras[Codigo_Tecnico],"",0,1)</f>
        <v>COMPRAS_INFORMES</v>
      </c>
      <c r="J7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/compras/informes/composicion-solicitudes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composicion-solicitudes</v>
      </c>
      <c r="L78" s="2" t="s">
        <v>1411</v>
      </c>
      <c r="M78" s="2" t="s">
        <v>1795</v>
      </c>
      <c r="N78" s="4" t="s">
        <v>360</v>
      </c>
      <c r="O78" s="4" t="s">
        <v>360</v>
      </c>
      <c r="P78" s="4" t="s">
        <v>360</v>
      </c>
      <c r="Q78" s="4" t="s">
        <v>360</v>
      </c>
      <c r="R78" s="4" t="s">
        <v>360</v>
      </c>
      <c r="S78" s="4" t="s">
        <v>360</v>
      </c>
      <c r="T78" s="4" t="s">
        <v>360</v>
      </c>
      <c r="U78" s="4" t="s">
        <v>360</v>
      </c>
      <c r="V78" s="4" t="s">
        <v>360</v>
      </c>
      <c r="W78" s="4" t="s">
        <v>360</v>
      </c>
      <c r="X78" s="4" t="s">
        <v>360</v>
      </c>
      <c r="AB78" s="4" t="s">
        <v>360</v>
      </c>
      <c r="AC78" s="2" t="str">
        <f>IF(Tabla_Compras[[#This Row],[id_padre]]=Tabla_Compras[[#This Row],[Id]],"NOK","OK")</f>
        <v>OK</v>
      </c>
      <c r="AD78" s="2"/>
      <c r="AE78" s="2"/>
      <c r="AF78" s="2"/>
    </row>
    <row r="79" spans="1:32" hidden="1" x14ac:dyDescent="0.5">
      <c r="A79" s="2">
        <f>MAX(Tabla_Caja[Id])</f>
        <v>634</v>
      </c>
      <c r="B79" s="2">
        <v>639</v>
      </c>
      <c r="C79" s="5">
        <f>IF(Tabla_Compras[[#This Row],[id_padre]]="",0,_xlfn.XLOOKUP(Tabla_Compras[[#This Row],[id_padre]],Tabla_Compras[Id],Tabla_Compras[Nivel],0,0,1)+1)</f>
        <v>2</v>
      </c>
      <c r="D79" s="2" t="s">
        <v>612</v>
      </c>
      <c r="E79" s="2">
        <f>IF(Tabla_Compras[[#This Row],[Id_anterior]]=1,ROW()-1,SUM(ROW()-1,Tabla_Compras[[#This Row],[Id_anterior]]))</f>
        <v>712</v>
      </c>
      <c r="F7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COMPRAS_INFORMES_RELACION_COTIZACIONES_POR_PROVEEDOR</v>
      </c>
      <c r="G79" s="2" t="str">
        <f>CLEAN(PROPER(Tabla_Compras[[#This Row],[Nombre Opción]]))</f>
        <v>Relacion De Cotizaciones Por Proveedor</v>
      </c>
      <c r="H79" s="2" t="s">
        <v>1735</v>
      </c>
      <c r="I79" s="2" t="str">
        <f>_xlfn.XLOOKUP(Tabla_Compras[[#This Row],[id_padre]],Tabla_Compras[Id],Tabla_Compras[Codigo_Tecnico],"",0,1)</f>
        <v>COMPRAS_INFORMES</v>
      </c>
      <c r="J7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/compras/informes/relacion-cotizaciones-por-proveedor</v>
      </c>
      <c r="K7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relacion-cotizaciones-por-proveedor</v>
      </c>
      <c r="L79" s="2" t="s">
        <v>1369</v>
      </c>
      <c r="M79" s="2" t="s">
        <v>1795</v>
      </c>
      <c r="N79" s="4" t="s">
        <v>360</v>
      </c>
      <c r="O79" s="4" t="s">
        <v>360</v>
      </c>
      <c r="P79" s="4" t="s">
        <v>360</v>
      </c>
      <c r="Q79" s="4" t="s">
        <v>360</v>
      </c>
      <c r="R79" s="4" t="s">
        <v>360</v>
      </c>
      <c r="S79" s="4" t="s">
        <v>360</v>
      </c>
      <c r="T79" s="4" t="s">
        <v>360</v>
      </c>
      <c r="U79" s="4" t="s">
        <v>360</v>
      </c>
      <c r="V79" s="4" t="s">
        <v>360</v>
      </c>
      <c r="W79" s="4" t="s">
        <v>360</v>
      </c>
      <c r="X79" s="4" t="s">
        <v>360</v>
      </c>
      <c r="AB79" s="4" t="s">
        <v>360</v>
      </c>
      <c r="AC79" s="2" t="str">
        <f>IF(Tabla_Compras[[#This Row],[id_padre]]=Tabla_Compras[[#This Row],[Id]],"NOK","OK")</f>
        <v>OK</v>
      </c>
      <c r="AD79" s="2"/>
      <c r="AE79" s="2"/>
      <c r="AF79" s="2"/>
    </row>
    <row r="80" spans="1:32" hidden="1" x14ac:dyDescent="0.5">
      <c r="A80" s="2">
        <f>MAX(Tabla_Caja[Id])</f>
        <v>634</v>
      </c>
      <c r="B80" s="2">
        <v>639</v>
      </c>
      <c r="C80" s="5">
        <f>IF(Tabla_Compras[[#This Row],[id_padre]]="",0,_xlfn.XLOOKUP(Tabla_Compras[[#This Row],[id_padre]],Tabla_Compras[Id],Tabla_Compras[Nivel],0,0,1)+1)</f>
        <v>2</v>
      </c>
      <c r="D80" s="2" t="s">
        <v>613</v>
      </c>
      <c r="E80" s="2">
        <f>IF(Tabla_Compras[[#This Row],[Id_anterior]]=1,ROW()-1,SUM(ROW()-1,Tabla_Compras[[#This Row],[Id_anterior]]))</f>
        <v>713</v>
      </c>
      <c r="F8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COMPRAS_INFORMES_COMPOSICION_COTIZACIONES</v>
      </c>
      <c r="G80" s="2" t="str">
        <f>CLEAN(PROPER(Tabla_Compras[[#This Row],[Nombre Opción]]))</f>
        <v>Composicion De Cotizaciones</v>
      </c>
      <c r="H80" s="2" t="s">
        <v>1735</v>
      </c>
      <c r="I80" s="2" t="str">
        <f>_xlfn.XLOOKUP(Tabla_Compras[[#This Row],[id_padre]],Tabla_Compras[Id],Tabla_Compras[Codigo_Tecnico],"",0,1)</f>
        <v>COMPRAS_INFORMES</v>
      </c>
      <c r="J8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/compras/informes/composicion-cotizaciones</v>
      </c>
      <c r="K8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composicion-cotizaciones</v>
      </c>
      <c r="L80" s="2" t="s">
        <v>1510</v>
      </c>
      <c r="M80" s="2" t="s">
        <v>1795</v>
      </c>
      <c r="N80" s="4" t="s">
        <v>360</v>
      </c>
      <c r="O80" s="4" t="s">
        <v>360</v>
      </c>
      <c r="P80" s="4" t="s">
        <v>360</v>
      </c>
      <c r="Q80" s="4" t="s">
        <v>360</v>
      </c>
      <c r="R80" s="4" t="s">
        <v>360</v>
      </c>
      <c r="S80" s="4" t="s">
        <v>360</v>
      </c>
      <c r="T80" s="4" t="s">
        <v>360</v>
      </c>
      <c r="U80" s="4" t="s">
        <v>360</v>
      </c>
      <c r="V80" s="4" t="s">
        <v>360</v>
      </c>
      <c r="W80" s="4" t="s">
        <v>360</v>
      </c>
      <c r="X80" s="4" t="s">
        <v>360</v>
      </c>
      <c r="AB80" s="4" t="s">
        <v>360</v>
      </c>
      <c r="AC80" s="2" t="str">
        <f>IF(Tabla_Compras[[#This Row],[id_padre]]=Tabla_Compras[[#This Row],[Id]],"NOK","OK")</f>
        <v>OK</v>
      </c>
      <c r="AD80" s="2"/>
      <c r="AE80" s="2"/>
      <c r="AF80" s="2"/>
    </row>
    <row r="81" spans="1:32" hidden="1" x14ac:dyDescent="0.5">
      <c r="A81" s="2">
        <f>MAX(Tabla_Caja[Id])</f>
        <v>634</v>
      </c>
      <c r="B81" s="2">
        <v>639</v>
      </c>
      <c r="C81" s="5">
        <f>IF(Tabla_Compras[[#This Row],[id_padre]]="",0,_xlfn.XLOOKUP(Tabla_Compras[[#This Row],[id_padre]],Tabla_Compras[Id],Tabla_Compras[Nivel],0,0,1)+1)</f>
        <v>2</v>
      </c>
      <c r="D81" s="2" t="s">
        <v>614</v>
      </c>
      <c r="E81" s="2">
        <f>IF(Tabla_Compras[[#This Row],[Id_anterior]]=1,ROW()-1,SUM(ROW()-1,Tabla_Compras[[#This Row],[Id_anterior]]))</f>
        <v>714</v>
      </c>
      <c r="F8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COMPRAS_INFORMES_RELACION_ORDENES_COMPRA</v>
      </c>
      <c r="G81" s="2" t="str">
        <f>CLEAN(PROPER(Tabla_Compras[[#This Row],[Nombre Opción]]))</f>
        <v>Relacion De Ordenes De Compra</v>
      </c>
      <c r="H81" s="2" t="s">
        <v>1735</v>
      </c>
      <c r="I81" s="2" t="str">
        <f>_xlfn.XLOOKUP(Tabla_Compras[[#This Row],[id_padre]],Tabla_Compras[Id],Tabla_Compras[Codigo_Tecnico],"",0,1)</f>
        <v>COMPRAS_INFORMES</v>
      </c>
      <c r="J8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/compras/informes/relacion-ordenes-compra</v>
      </c>
      <c r="K8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relacion-ordenes-compra</v>
      </c>
      <c r="L81" s="2" t="s">
        <v>1392</v>
      </c>
      <c r="M81" s="2" t="s">
        <v>1795</v>
      </c>
      <c r="N81" s="4" t="s">
        <v>360</v>
      </c>
      <c r="O81" s="4" t="s">
        <v>360</v>
      </c>
      <c r="P81" s="4" t="s">
        <v>360</v>
      </c>
      <c r="Q81" s="4" t="s">
        <v>360</v>
      </c>
      <c r="R81" s="4" t="s">
        <v>360</v>
      </c>
      <c r="S81" s="4" t="s">
        <v>360</v>
      </c>
      <c r="T81" s="4" t="s">
        <v>360</v>
      </c>
      <c r="U81" s="4" t="s">
        <v>360</v>
      </c>
      <c r="V81" s="4" t="s">
        <v>360</v>
      </c>
      <c r="W81" s="4" t="s">
        <v>360</v>
      </c>
      <c r="X81" s="4" t="s">
        <v>360</v>
      </c>
      <c r="AB81" s="4" t="s">
        <v>360</v>
      </c>
      <c r="AC81" s="2" t="str">
        <f>IF(Tabla_Compras[[#This Row],[id_padre]]=Tabla_Compras[[#This Row],[Id]],"NOK","OK")</f>
        <v>OK</v>
      </c>
      <c r="AD81" s="2"/>
      <c r="AE81" s="2"/>
      <c r="AF81" s="2"/>
    </row>
    <row r="82" spans="1:32" hidden="1" x14ac:dyDescent="0.5">
      <c r="A82" s="2">
        <f>MAX(Tabla_Caja[Id])</f>
        <v>634</v>
      </c>
      <c r="B82" s="2">
        <v>639</v>
      </c>
      <c r="C82" s="5">
        <f>IF(Tabla_Compras[[#This Row],[id_padre]]="",0,_xlfn.XLOOKUP(Tabla_Compras[[#This Row],[id_padre]],Tabla_Compras[Id],Tabla_Compras[Nivel],0,0,1)+1)</f>
        <v>2</v>
      </c>
      <c r="D82" s="2" t="s">
        <v>615</v>
      </c>
      <c r="E82" s="2">
        <f>IF(Tabla_Compras[[#This Row],[Id_anterior]]=1,ROW()-1,SUM(ROW()-1,Tabla_Compras[[#This Row],[Id_anterior]]))</f>
        <v>715</v>
      </c>
      <c r="F8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COMPRAS_INFORMES_RELACION_ORDENES_COMPRA_VENCIDAS</v>
      </c>
      <c r="G82" s="2" t="str">
        <f>CLEAN(PROPER(Tabla_Compras[[#This Row],[Nombre Opción]]))</f>
        <v>Relacion De Ordenes De Compra Vencidas</v>
      </c>
      <c r="H82" s="2" t="s">
        <v>1735</v>
      </c>
      <c r="I82" s="2" t="str">
        <f>_xlfn.XLOOKUP(Tabla_Compras[[#This Row],[id_padre]],Tabla_Compras[Id],Tabla_Compras[Codigo_Tecnico],"",0,1)</f>
        <v>COMPRAS_INFORMES</v>
      </c>
      <c r="J8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/compras/informes/relacion-ordenes-compra-vencidas</v>
      </c>
      <c r="K8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relacion-ordenes-compra-vencidas</v>
      </c>
      <c r="L82" s="2" t="s">
        <v>1383</v>
      </c>
      <c r="M82" s="2" t="s">
        <v>1795</v>
      </c>
      <c r="N82" s="4" t="s">
        <v>360</v>
      </c>
      <c r="O82" s="4" t="s">
        <v>360</v>
      </c>
      <c r="P82" s="4" t="s">
        <v>360</v>
      </c>
      <c r="Q82" s="4" t="s">
        <v>360</v>
      </c>
      <c r="R82" s="4" t="s">
        <v>360</v>
      </c>
      <c r="S82" s="4" t="s">
        <v>360</v>
      </c>
      <c r="T82" s="4" t="s">
        <v>360</v>
      </c>
      <c r="U82" s="4" t="s">
        <v>360</v>
      </c>
      <c r="V82" s="4" t="s">
        <v>360</v>
      </c>
      <c r="W82" s="4" t="s">
        <v>360</v>
      </c>
      <c r="X82" s="4" t="s">
        <v>360</v>
      </c>
      <c r="AB82" s="4" t="s">
        <v>360</v>
      </c>
      <c r="AC82" s="2" t="str">
        <f>IF(Tabla_Compras[[#This Row],[id_padre]]=Tabla_Compras[[#This Row],[Id]],"NOK","OK")</f>
        <v>OK</v>
      </c>
      <c r="AD82" s="2"/>
      <c r="AE82" s="2"/>
      <c r="AF82" s="2"/>
    </row>
    <row r="83" spans="1:32" hidden="1" x14ac:dyDescent="0.5">
      <c r="A83" s="2">
        <f>MAX(Tabla_Caja[Id])</f>
        <v>634</v>
      </c>
      <c r="B83" s="2">
        <v>639</v>
      </c>
      <c r="C83" s="5">
        <f>IF(Tabla_Compras[[#This Row],[id_padre]]="",0,_xlfn.XLOOKUP(Tabla_Compras[[#This Row],[id_padre]],Tabla_Compras[Id],Tabla_Compras[Nivel],0,0,1)+1)</f>
        <v>2</v>
      </c>
      <c r="D83" s="2" t="s">
        <v>616</v>
      </c>
      <c r="E83" s="2">
        <f>IF(Tabla_Compras[[#This Row],[Id_anterior]]=1,ROW()-1,SUM(ROW()-1,Tabla_Compras[[#This Row],[Id_anterior]]))</f>
        <v>716</v>
      </c>
      <c r="F8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COMPRAS_INFORMES_RESOLUCION_EXENTA_ORDEN_COMPRA</v>
      </c>
      <c r="G83" s="2" t="str">
        <f>CLEAN(PROPER(Tabla_Compras[[#This Row],[Nombre Opción]]))</f>
        <v>Resolucion Exenta De Orden De Compra</v>
      </c>
      <c r="H83" s="2" t="s">
        <v>1735</v>
      </c>
      <c r="I83" s="2" t="str">
        <f>_xlfn.XLOOKUP(Tabla_Compras[[#This Row],[id_padre]],Tabla_Compras[Id],Tabla_Compras[Codigo_Tecnico],"",0,1)</f>
        <v>COMPRAS_INFORMES</v>
      </c>
      <c r="J8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/compras/informes/resolucion-exenta-orden-compra</v>
      </c>
      <c r="K8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resolucion-exenta-orden-compra</v>
      </c>
      <c r="L83" s="2" t="s">
        <v>1457</v>
      </c>
      <c r="M83" s="2" t="s">
        <v>1795</v>
      </c>
      <c r="N83" s="4" t="s">
        <v>360</v>
      </c>
      <c r="O83" s="4" t="s">
        <v>360</v>
      </c>
      <c r="P83" s="4" t="s">
        <v>360</v>
      </c>
      <c r="Q83" s="4" t="s">
        <v>360</v>
      </c>
      <c r="R83" s="4" t="s">
        <v>360</v>
      </c>
      <c r="S83" s="4" t="s">
        <v>360</v>
      </c>
      <c r="T83" s="4" t="s">
        <v>360</v>
      </c>
      <c r="U83" s="4" t="s">
        <v>360</v>
      </c>
      <c r="V83" s="4" t="s">
        <v>360</v>
      </c>
      <c r="W83" s="4" t="s">
        <v>360</v>
      </c>
      <c r="X83" s="4" t="s">
        <v>360</v>
      </c>
      <c r="AB83" s="4" t="s">
        <v>360</v>
      </c>
      <c r="AC83" s="2" t="str">
        <f>IF(Tabla_Compras[[#This Row],[id_padre]]=Tabla_Compras[[#This Row],[Id]],"NOK","OK")</f>
        <v>OK</v>
      </c>
      <c r="AD83" s="2"/>
      <c r="AE83" s="2"/>
      <c r="AF83" s="2"/>
    </row>
    <row r="84" spans="1:32" hidden="1" x14ac:dyDescent="0.5">
      <c r="A84" s="2">
        <f>MAX(Tabla_Caja[Id])</f>
        <v>634</v>
      </c>
      <c r="B84" s="2">
        <v>639</v>
      </c>
      <c r="C84" s="5">
        <f>IF(Tabla_Compras[[#This Row],[id_padre]]="",0,_xlfn.XLOOKUP(Tabla_Compras[[#This Row],[id_padre]],Tabla_Compras[Id],Tabla_Compras[Nivel],0,0,1)+1)</f>
        <v>2</v>
      </c>
      <c r="D84" s="2" t="s">
        <v>617</v>
      </c>
      <c r="E84" s="2">
        <f>IF(Tabla_Compras[[#This Row],[Id_anterior]]=1,ROW()-1,SUM(ROW()-1,Tabla_Compras[[#This Row],[Id_anterior]]))</f>
        <v>717</v>
      </c>
      <c r="F8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COMPRAS_INFORMES_SOLICITUDES_PENDIENTES_O_APROBADOS</v>
      </c>
      <c r="G84" s="2" t="str">
        <f>CLEAN(PROPER(Tabla_Compras[[#This Row],[Nombre Opción]]))</f>
        <v>Solicitudes Pendientes O Aprobados</v>
      </c>
      <c r="H84" s="2" t="s">
        <v>1735</v>
      </c>
      <c r="I84" s="2" t="str">
        <f>_xlfn.XLOOKUP(Tabla_Compras[[#This Row],[id_padre]],Tabla_Compras[Id],Tabla_Compras[Codigo_Tecnico],"",0,1)</f>
        <v>COMPRAS_INFORMES</v>
      </c>
      <c r="J8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/compras/informes/solicitudes-pendientes-o-aprobados</v>
      </c>
      <c r="K8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solicitudes-pendientes-o-aprobados</v>
      </c>
      <c r="L84" s="2" t="s">
        <v>1424</v>
      </c>
      <c r="M84" s="2" t="s">
        <v>1795</v>
      </c>
      <c r="O84" s="4"/>
      <c r="Q84" s="4" t="s">
        <v>360</v>
      </c>
      <c r="R84" s="4" t="s">
        <v>360</v>
      </c>
      <c r="S84" s="4" t="s">
        <v>360</v>
      </c>
      <c r="V84" s="4" t="s">
        <v>360</v>
      </c>
      <c r="W84" s="4" t="s">
        <v>360</v>
      </c>
      <c r="X84" s="4" t="s">
        <v>360</v>
      </c>
      <c r="AB84" s="4" t="s">
        <v>360</v>
      </c>
      <c r="AC84" s="2" t="str">
        <f>IF(Tabla_Compras[[#This Row],[id_padre]]=Tabla_Compras[[#This Row],[Id]],"NOK","OK")</f>
        <v>OK</v>
      </c>
      <c r="AD84" s="2"/>
      <c r="AE84" s="2"/>
      <c r="AF84" s="2"/>
    </row>
    <row r="85" spans="1:32" hidden="1" x14ac:dyDescent="0.5">
      <c r="A85" s="2">
        <f>MAX(Tabla_Caja[Id])</f>
        <v>634</v>
      </c>
      <c r="B85" s="2">
        <v>639</v>
      </c>
      <c r="C85" s="5">
        <f>IF(Tabla_Compras[[#This Row],[id_padre]]="",0,_xlfn.XLOOKUP(Tabla_Compras[[#This Row],[id_padre]],Tabla_Compras[Id],Tabla_Compras[Nivel],0,0,1)+1)</f>
        <v>2</v>
      </c>
      <c r="D85" s="2" t="s">
        <v>564</v>
      </c>
      <c r="E85" s="2">
        <f>IF(Tabla_Compras[[#This Row],[Id_anterior]]=1,ROW()-1,SUM(ROW()-1,Tabla_Compras[[#This Row],[Id_anterior]]))</f>
        <v>718</v>
      </c>
      <c r="F8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</v>
      </c>
      <c r="G85" s="2" t="str">
        <f>CLEAN(PROPER(Tabla_Compras[[#This Row],[Nombre Opción]]))</f>
        <v>Acta De Recepcion</v>
      </c>
      <c r="H85" s="2" t="s">
        <v>1735</v>
      </c>
      <c r="I85" s="2" t="str">
        <f>_xlfn.XLOOKUP(Tabla_Compras[[#This Row],[id_padre]],Tabla_Compras[Id],Tabla_Compras[Codigo_Tecnico],"",0,1)</f>
        <v>COMPRAS_INFORMES</v>
      </c>
      <c r="J8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</v>
      </c>
      <c r="K8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acta-recepcion</v>
      </c>
      <c r="L85" s="2" t="s">
        <v>1412</v>
      </c>
      <c r="M85" s="2" t="s">
        <v>1795</v>
      </c>
      <c r="N85" s="4" t="s">
        <v>360</v>
      </c>
      <c r="O85" s="4" t="s">
        <v>360</v>
      </c>
      <c r="P85" s="4" t="s">
        <v>360</v>
      </c>
      <c r="Q85" s="4" t="s">
        <v>360</v>
      </c>
      <c r="R85" s="4" t="s">
        <v>360</v>
      </c>
      <c r="S85" s="4" t="s">
        <v>360</v>
      </c>
      <c r="T85" s="4" t="s">
        <v>360</v>
      </c>
      <c r="U85" s="4" t="s">
        <v>360</v>
      </c>
      <c r="V85" s="4" t="s">
        <v>360</v>
      </c>
      <c r="W85" s="4" t="s">
        <v>360</v>
      </c>
      <c r="X85" s="4" t="s">
        <v>360</v>
      </c>
      <c r="Y85" s="4" t="s">
        <v>360</v>
      </c>
      <c r="Z85" s="4" t="s">
        <v>360</v>
      </c>
      <c r="AB85" s="4" t="s">
        <v>360</v>
      </c>
      <c r="AC85" s="2" t="str">
        <f>IF(Tabla_Compras[[#This Row],[id_padre]]=Tabla_Compras[[#This Row],[Id]],"NOK","OK")</f>
        <v>OK</v>
      </c>
      <c r="AD85" s="2"/>
      <c r="AE85" s="2"/>
      <c r="AF85" s="2"/>
    </row>
    <row r="86" spans="1:32" hidden="1" x14ac:dyDescent="0.5">
      <c r="A86" s="2">
        <f>MAX(Tabla_Caja[Id])</f>
        <v>634</v>
      </c>
      <c r="B86" s="2">
        <v>718</v>
      </c>
      <c r="C86" s="5">
        <f>IF(Tabla_Compras[[#This Row],[id_padre]]="",0,_xlfn.XLOOKUP(Tabla_Compras[[#This Row],[id_padre]],Tabla_Compras[Id],Tabla_Compras[Nivel],0,0,1)+1)</f>
        <v>3</v>
      </c>
      <c r="D86" s="2" t="s">
        <v>564</v>
      </c>
      <c r="E86" s="2">
        <f>IF(Tabla_Compras[[#This Row],[Id_anterior]]=1,ROW()-1,SUM(ROW()-1,Tabla_Compras[[#This Row],[Id_anterior]]))</f>
        <v>719</v>
      </c>
      <c r="F8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COMPRAS_INFORMES_ACTA_RECEPCION_ACTA_RECEPCION</v>
      </c>
      <c r="G86" s="2" t="str">
        <f>CLEAN(PROPER(Tabla_Compras[[#This Row],[Nombre Opción]]))</f>
        <v>Acta De Recepcion</v>
      </c>
      <c r="H86" s="2" t="s">
        <v>1735</v>
      </c>
      <c r="I86" s="2" t="str">
        <f>_xlfn.XLOOKUP(Tabla_Compras[[#This Row],[id_padre]],Tabla_Compras[Id],Tabla_Compras[Codigo_Tecnico],"",0,1)</f>
        <v>COMPRAS_INFORMES_ACTA_RECEPCION</v>
      </c>
      <c r="J8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/compras/informes/acta-recepcion/acta-recepcion</v>
      </c>
      <c r="K8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acta-recepcion</v>
      </c>
      <c r="L86" s="2" t="s">
        <v>1519</v>
      </c>
      <c r="M86" s="2" t="s">
        <v>1795</v>
      </c>
      <c r="N86" s="4" t="s">
        <v>360</v>
      </c>
      <c r="O86" s="4" t="s">
        <v>360</v>
      </c>
      <c r="P86" s="4" t="s">
        <v>360</v>
      </c>
      <c r="Q86" s="4" t="s">
        <v>360</v>
      </c>
      <c r="R86" s="4" t="s">
        <v>360</v>
      </c>
      <c r="S86" s="4" t="s">
        <v>360</v>
      </c>
      <c r="T86" s="4" t="s">
        <v>360</v>
      </c>
      <c r="U86" s="4" t="s">
        <v>360</v>
      </c>
      <c r="V86" s="4" t="s">
        <v>360</v>
      </c>
      <c r="W86" s="4" t="s">
        <v>360</v>
      </c>
      <c r="X86" s="4" t="s">
        <v>360</v>
      </c>
      <c r="Y86" s="4" t="s">
        <v>360</v>
      </c>
      <c r="Z86" s="4" t="s">
        <v>360</v>
      </c>
      <c r="AB86" s="4" t="s">
        <v>360</v>
      </c>
      <c r="AC86" s="2" t="str">
        <f>IF(Tabla_Compras[[#This Row],[id_padre]]=Tabla_Compras[[#This Row],[Id]],"NOK","OK")</f>
        <v>OK</v>
      </c>
      <c r="AD86" s="2"/>
      <c r="AE86" s="2"/>
      <c r="AF86" s="2"/>
    </row>
    <row r="87" spans="1:32" hidden="1" x14ac:dyDescent="0.5">
      <c r="A87" s="2">
        <f>MAX(Tabla_Caja[Id])</f>
        <v>634</v>
      </c>
      <c r="B87" s="2">
        <v>718</v>
      </c>
      <c r="C87" s="5">
        <f>IF(Tabla_Compras[[#This Row],[id_padre]]="",0,_xlfn.XLOOKUP(Tabla_Compras[[#This Row],[id_padre]],Tabla_Compras[Id],Tabla_Compras[Nivel],0,0,1)+1)</f>
        <v>3</v>
      </c>
      <c r="D87" s="2" t="s">
        <v>618</v>
      </c>
      <c r="E87" s="2">
        <f>IF(Tabla_Compras[[#This Row],[Id_anterior]]=1,ROW()-1,SUM(ROW()-1,Tabla_Compras[[#This Row],[Id_anterior]]))</f>
        <v>720</v>
      </c>
      <c r="F8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COMPRAS_INFORMES_ACTA_RECEPCION_ANEXO_ORDEN_DIA</v>
      </c>
      <c r="G87" s="2" t="str">
        <f>CLEAN(PROPER(Tabla_Compras[[#This Row],[Nombre Opción]]))</f>
        <v>Anexo Orden Del Dia</v>
      </c>
      <c r="H87" s="2" t="s">
        <v>1735</v>
      </c>
      <c r="I87" s="2" t="str">
        <f>_xlfn.XLOOKUP(Tabla_Compras[[#This Row],[id_padre]],Tabla_Compras[Id],Tabla_Compras[Codigo_Tecnico],"",0,1)</f>
        <v>COMPRAS_INFORMES_ACTA_RECEPCION</v>
      </c>
      <c r="J8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/compras/informes/acta-recepcion/anexo-orden-dia</v>
      </c>
      <c r="K8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anexo-orden-dia</v>
      </c>
      <c r="L87" s="2" t="s">
        <v>1366</v>
      </c>
      <c r="M87" s="2" t="s">
        <v>1795</v>
      </c>
      <c r="N87" s="4" t="s">
        <v>360</v>
      </c>
      <c r="O87" s="4" t="s">
        <v>360</v>
      </c>
      <c r="P87" s="4" t="s">
        <v>360</v>
      </c>
      <c r="Q87" s="4" t="s">
        <v>360</v>
      </c>
      <c r="R87" s="4" t="s">
        <v>360</v>
      </c>
      <c r="S87" s="4" t="s">
        <v>360</v>
      </c>
      <c r="T87" s="4" t="s">
        <v>360</v>
      </c>
      <c r="U87" s="4" t="s">
        <v>360</v>
      </c>
      <c r="V87" s="4" t="s">
        <v>360</v>
      </c>
      <c r="W87" s="4" t="s">
        <v>360</v>
      </c>
      <c r="X87" s="4" t="s">
        <v>360</v>
      </c>
      <c r="Y87" s="4" t="s">
        <v>360</v>
      </c>
      <c r="Z87" s="4" t="s">
        <v>360</v>
      </c>
      <c r="AB87" s="4" t="s">
        <v>360</v>
      </c>
      <c r="AC87" s="2" t="str">
        <f>IF(Tabla_Compras[[#This Row],[id_padre]]=Tabla_Compras[[#This Row],[Id]],"NOK","OK")</f>
        <v>OK</v>
      </c>
      <c r="AD87" s="2"/>
      <c r="AE87" s="2"/>
      <c r="AF87" s="2"/>
    </row>
    <row r="88" spans="1:32" hidden="1" x14ac:dyDescent="0.5">
      <c r="A88" s="2">
        <f>MAX(Tabla_Caja[Id])</f>
        <v>634</v>
      </c>
      <c r="B88" s="2">
        <v>718</v>
      </c>
      <c r="C88" s="5">
        <f>IF(Tabla_Compras[[#This Row],[id_padre]]="",0,_xlfn.XLOOKUP(Tabla_Compras[[#This Row],[id_padre]],Tabla_Compras[Id],Tabla_Compras[Nivel],0,0,1)+1)</f>
        <v>3</v>
      </c>
      <c r="D88" s="2" t="s">
        <v>522</v>
      </c>
      <c r="E88" s="2">
        <f>IF(Tabla_Compras[[#This Row],[Id_anterior]]=1,ROW()-1,SUM(ROW()-1,Tabla_Compras[[#This Row],[Id_anterior]]))</f>
        <v>721</v>
      </c>
      <c r="F8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COMPRAS_INFORMES_ACTA_RECEPCION_PENDIENTES</v>
      </c>
      <c r="G88" s="2" t="str">
        <f>CLEAN(PROPER(Tabla_Compras[[#This Row],[Nombre Opción]]))</f>
        <v>Pendientes</v>
      </c>
      <c r="H88" s="2" t="s">
        <v>1735</v>
      </c>
      <c r="I88" s="2" t="str">
        <f>_xlfn.XLOOKUP(Tabla_Compras[[#This Row],[id_padre]],Tabla_Compras[Id],Tabla_Compras[Codigo_Tecnico],"",0,1)</f>
        <v>COMPRAS_INFORMES_ACTA_RECEPCION</v>
      </c>
      <c r="J8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/compras/informes/acta-recepcion/pendientes</v>
      </c>
      <c r="K8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pendientes</v>
      </c>
      <c r="L88" s="2" t="s">
        <v>1501</v>
      </c>
      <c r="M88" s="2" t="s">
        <v>1795</v>
      </c>
      <c r="N88" s="4" t="s">
        <v>360</v>
      </c>
      <c r="O88" s="4" t="s">
        <v>360</v>
      </c>
      <c r="P88" s="4" t="s">
        <v>360</v>
      </c>
      <c r="Q88" s="4" t="s">
        <v>360</v>
      </c>
      <c r="R88" s="4" t="s">
        <v>360</v>
      </c>
      <c r="S88" s="4" t="s">
        <v>360</v>
      </c>
      <c r="T88" s="4" t="s">
        <v>360</v>
      </c>
      <c r="U88" s="4" t="s">
        <v>360</v>
      </c>
      <c r="V88" s="4" t="s">
        <v>360</v>
      </c>
      <c r="W88" s="4" t="s">
        <v>360</v>
      </c>
      <c r="X88" s="4" t="s">
        <v>360</v>
      </c>
      <c r="Y88" s="4" t="s">
        <v>360</v>
      </c>
      <c r="Z88" s="4" t="s">
        <v>360</v>
      </c>
      <c r="AB88" s="4" t="s">
        <v>360</v>
      </c>
      <c r="AC88" s="2" t="str">
        <f>IF(Tabla_Compras[[#This Row],[id_padre]]=Tabla_Compras[[#This Row],[Id]],"NOK","OK")</f>
        <v>OK</v>
      </c>
      <c r="AD88" s="2"/>
      <c r="AE88" s="2"/>
      <c r="AF88" s="2"/>
    </row>
    <row r="89" spans="1:32" hidden="1" x14ac:dyDescent="0.5">
      <c r="A89" s="2">
        <f>MAX(Tabla_Caja[Id])</f>
        <v>634</v>
      </c>
      <c r="B89" s="2">
        <v>718</v>
      </c>
      <c r="C89" s="5">
        <f>IF(Tabla_Compras[[#This Row],[id_padre]]="",0,_xlfn.XLOOKUP(Tabla_Compras[[#This Row],[id_padre]],Tabla_Compras[Id],Tabla_Compras[Nivel],0,0,1)+1)</f>
        <v>3</v>
      </c>
      <c r="D89" s="2" t="s">
        <v>619</v>
      </c>
      <c r="E89" s="2">
        <f>IF(Tabla_Compras[[#This Row],[Id_anterior]]=1,ROW()-1,SUM(ROW()-1,Tabla_Compras[[#This Row],[Id_anterior]]))</f>
        <v>722</v>
      </c>
      <c r="F8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COMPRAS_INFORMES_ACTA_RECEPCION_O_C_POR_RECEPCIONAR_UNIDAD</v>
      </c>
      <c r="G89" s="2" t="str">
        <f>CLEAN(PROPER(Tabla_Compras[[#This Row],[Nombre Opción]]))</f>
        <v>O/C Por Recepcionar Unidad</v>
      </c>
      <c r="H89" s="2" t="s">
        <v>1735</v>
      </c>
      <c r="I89" s="2" t="str">
        <f>_xlfn.XLOOKUP(Tabla_Compras[[#This Row],[id_padre]],Tabla_Compras[Id],Tabla_Compras[Codigo_Tecnico],"",0,1)</f>
        <v>COMPRAS_INFORMES_ACTA_RECEPCION</v>
      </c>
      <c r="J8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/compras/informes/acta-recepcion/o-c-por-recepcionar-unidad</v>
      </c>
      <c r="K8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o-c-por-recepcionar-unidad</v>
      </c>
      <c r="L89" s="2" t="s">
        <v>1341</v>
      </c>
      <c r="M89" s="2" t="s">
        <v>1795</v>
      </c>
      <c r="N89" s="4" t="s">
        <v>360</v>
      </c>
      <c r="O89" s="4" t="s">
        <v>360</v>
      </c>
      <c r="P89" s="4" t="s">
        <v>360</v>
      </c>
      <c r="Q89" s="4" t="s">
        <v>360</v>
      </c>
      <c r="R89" s="4" t="s">
        <v>360</v>
      </c>
      <c r="S89" s="4" t="s">
        <v>360</v>
      </c>
      <c r="T89" s="4" t="s">
        <v>360</v>
      </c>
      <c r="U89" s="4" t="s">
        <v>360</v>
      </c>
      <c r="V89" s="4" t="s">
        <v>360</v>
      </c>
      <c r="W89" s="4" t="s">
        <v>360</v>
      </c>
      <c r="X89" s="4" t="s">
        <v>360</v>
      </c>
      <c r="Y89" s="4" t="s">
        <v>360</v>
      </c>
      <c r="Z89" s="4" t="s">
        <v>360</v>
      </c>
      <c r="AB89" s="4" t="s">
        <v>360</v>
      </c>
      <c r="AC89" s="2" t="str">
        <f>IF(Tabla_Compras[[#This Row],[id_padre]]=Tabla_Compras[[#This Row],[Id]],"NOK","OK")</f>
        <v>OK</v>
      </c>
      <c r="AD89" s="2"/>
      <c r="AE89" s="2"/>
      <c r="AF89" s="2"/>
    </row>
    <row r="90" spans="1:32" hidden="1" x14ac:dyDescent="0.5">
      <c r="A90" s="2">
        <f>MAX(Tabla_Caja[Id])</f>
        <v>634</v>
      </c>
      <c r="B90" s="2">
        <v>718</v>
      </c>
      <c r="C90" s="5">
        <f>IF(Tabla_Compras[[#This Row],[id_padre]]="",0,_xlfn.XLOOKUP(Tabla_Compras[[#This Row],[id_padre]],Tabla_Compras[Id],Tabla_Compras[Nivel],0,0,1)+1)</f>
        <v>3</v>
      </c>
      <c r="D90" s="2" t="s">
        <v>620</v>
      </c>
      <c r="E90" s="2">
        <f>IF(Tabla_Compras[[#This Row],[Id_anterior]]=1,ROW()-1,SUM(ROW()-1,Tabla_Compras[[#This Row],[Id_anterior]]))</f>
        <v>723</v>
      </c>
      <c r="F9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COMPRAS_INFORMES_ACTA_RECEPCION_O_C_POR_RECEPCIONAR_ENTIDAD</v>
      </c>
      <c r="G90" s="2" t="str">
        <f>CLEAN(PROPER(Tabla_Compras[[#This Row],[Nombre Opción]]))</f>
        <v>O/C Por Recepcionar Entidad</v>
      </c>
      <c r="H90" s="2" t="s">
        <v>1735</v>
      </c>
      <c r="I90" s="2" t="str">
        <f>_xlfn.XLOOKUP(Tabla_Compras[[#This Row],[id_padre]],Tabla_Compras[Id],Tabla_Compras[Codigo_Tecnico],"",0,1)</f>
        <v>COMPRAS_INFORMES_ACTA_RECEPCION</v>
      </c>
      <c r="J9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/compras/informes/acta-recepcion/o-c-por-recepcionar-entidad</v>
      </c>
      <c r="K9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o-c-por-recepcionar-entidad</v>
      </c>
      <c r="L90" s="2" t="s">
        <v>1367</v>
      </c>
      <c r="M90" s="2" t="s">
        <v>1795</v>
      </c>
      <c r="N90" s="4" t="s">
        <v>360</v>
      </c>
      <c r="O90" s="4" t="s">
        <v>360</v>
      </c>
      <c r="P90" s="4" t="s">
        <v>360</v>
      </c>
      <c r="Q90" s="4" t="s">
        <v>360</v>
      </c>
      <c r="R90" s="4" t="s">
        <v>360</v>
      </c>
      <c r="S90" s="4" t="s">
        <v>360</v>
      </c>
      <c r="T90" s="4" t="s">
        <v>360</v>
      </c>
      <c r="U90" s="4" t="s">
        <v>360</v>
      </c>
      <c r="V90" s="4" t="s">
        <v>360</v>
      </c>
      <c r="W90" s="4" t="s">
        <v>360</v>
      </c>
      <c r="X90" s="4" t="s">
        <v>360</v>
      </c>
      <c r="Y90" s="4" t="s">
        <v>360</v>
      </c>
      <c r="Z90" s="4" t="s">
        <v>360</v>
      </c>
      <c r="AB90" s="4" t="s">
        <v>360</v>
      </c>
      <c r="AC90" s="2" t="str">
        <f>IF(Tabla_Compras[[#This Row],[id_padre]]=Tabla_Compras[[#This Row],[Id]],"NOK","OK")</f>
        <v>OK</v>
      </c>
      <c r="AD90" s="2"/>
      <c r="AE90" s="2"/>
      <c r="AF90" s="2"/>
    </row>
    <row r="91" spans="1:32" hidden="1" x14ac:dyDescent="0.5">
      <c r="A91" s="2">
        <f>MAX(Tabla_Caja[Id])</f>
        <v>634</v>
      </c>
      <c r="B91" s="2">
        <v>718</v>
      </c>
      <c r="C91" s="5">
        <f>IF(Tabla_Compras[[#This Row],[id_padre]]="",0,_xlfn.XLOOKUP(Tabla_Compras[[#This Row],[id_padre]],Tabla_Compras[Id],Tabla_Compras[Nivel],0,0,1)+1)</f>
        <v>3</v>
      </c>
      <c r="D91" s="2" t="s">
        <v>602</v>
      </c>
      <c r="E91" s="2">
        <f>IF(Tabla_Compras[[#This Row],[Id_anterior]]=1,ROW()-1,SUM(ROW()-1,Tabla_Compras[[#This Row],[Id_anterior]]))</f>
        <v>724</v>
      </c>
      <c r="F9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COMPRAS_INFORMES_ACTA_RECEPCION_EN_TRANSITO</v>
      </c>
      <c r="G91" s="2" t="str">
        <f>CLEAN(PROPER(Tabla_Compras[[#This Row],[Nombre Opción]]))</f>
        <v>En Transito</v>
      </c>
      <c r="H91" s="2" t="s">
        <v>1735</v>
      </c>
      <c r="I91" s="2" t="str">
        <f>_xlfn.XLOOKUP(Tabla_Compras[[#This Row],[id_padre]],Tabla_Compras[Id],Tabla_Compras[Codigo_Tecnico],"",0,1)</f>
        <v>COMPRAS_INFORMES_ACTA_RECEPCION</v>
      </c>
      <c r="J9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/compras/informes/acta-recepcion/en-transito</v>
      </c>
      <c r="K9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en-transito</v>
      </c>
      <c r="L91" s="2" t="s">
        <v>1348</v>
      </c>
      <c r="M91" s="2" t="s">
        <v>1795</v>
      </c>
      <c r="N91" s="4" t="s">
        <v>360</v>
      </c>
      <c r="O91" s="4" t="s">
        <v>360</v>
      </c>
      <c r="P91" s="4" t="s">
        <v>360</v>
      </c>
      <c r="Q91" s="4" t="s">
        <v>360</v>
      </c>
      <c r="R91" s="4" t="s">
        <v>360</v>
      </c>
      <c r="S91" s="4" t="s">
        <v>360</v>
      </c>
      <c r="T91" s="4" t="s">
        <v>360</v>
      </c>
      <c r="U91" s="4" t="s">
        <v>360</v>
      </c>
      <c r="V91" s="4" t="s">
        <v>360</v>
      </c>
      <c r="W91" s="4" t="s">
        <v>360</v>
      </c>
      <c r="X91" s="4" t="s">
        <v>360</v>
      </c>
      <c r="Y91" s="4" t="s">
        <v>360</v>
      </c>
      <c r="Z91" s="4" t="s">
        <v>360</v>
      </c>
      <c r="AB91" s="4" t="s">
        <v>360</v>
      </c>
      <c r="AC91" s="2" t="str">
        <f>IF(Tabla_Compras[[#This Row],[id_padre]]=Tabla_Compras[[#This Row],[Id]],"NOK","OK")</f>
        <v>OK</v>
      </c>
      <c r="AD91" s="2"/>
      <c r="AE91" s="2"/>
      <c r="AF91" s="2"/>
    </row>
    <row r="92" spans="1:32" hidden="1" x14ac:dyDescent="0.5">
      <c r="A92" s="2">
        <f>MAX(Tabla_Caja[Id])</f>
        <v>634</v>
      </c>
      <c r="B92" s="2">
        <v>718</v>
      </c>
      <c r="C92" s="5">
        <f>IF(Tabla_Compras[[#This Row],[id_padre]]="",0,_xlfn.XLOOKUP(Tabla_Compras[[#This Row],[id_padre]],Tabla_Compras[Id],Tabla_Compras[Nivel],0,0,1)+1)</f>
        <v>3</v>
      </c>
      <c r="D92" s="2" t="s">
        <v>603</v>
      </c>
      <c r="E92" s="2">
        <f>IF(Tabla_Compras[[#This Row],[Id_anterior]]=1,ROW()-1,SUM(ROW()-1,Tabla_Compras[[#This Row],[Id_anterior]]))</f>
        <v>725</v>
      </c>
      <c r="F9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COMPRAS_INFORMES_ACTA_RECEPCION_ANULADAS</v>
      </c>
      <c r="G92" s="2" t="str">
        <f>CLEAN(PROPER(Tabla_Compras[[#This Row],[Nombre Opción]]))</f>
        <v>Anuladas</v>
      </c>
      <c r="H92" s="2" t="s">
        <v>1735</v>
      </c>
      <c r="I92" s="2" t="str">
        <f>_xlfn.XLOOKUP(Tabla_Compras[[#This Row],[id_padre]],Tabla_Compras[Id],Tabla_Compras[Codigo_Tecnico],"",0,1)</f>
        <v>COMPRAS_INFORMES_ACTA_RECEPCION</v>
      </c>
      <c r="J9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/compras/informes/acta-recepcion/anuladas</v>
      </c>
      <c r="K9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anuladas</v>
      </c>
      <c r="L92" s="2" t="s">
        <v>1390</v>
      </c>
      <c r="M92" s="2" t="s">
        <v>1795</v>
      </c>
      <c r="N92" s="4" t="s">
        <v>360</v>
      </c>
      <c r="O92" s="4" t="s">
        <v>360</v>
      </c>
      <c r="P92" s="4" t="s">
        <v>360</v>
      </c>
      <c r="Q92" s="4" t="s">
        <v>360</v>
      </c>
      <c r="R92" s="4" t="s">
        <v>360</v>
      </c>
      <c r="S92" s="4" t="s">
        <v>360</v>
      </c>
      <c r="T92" s="4" t="s">
        <v>360</v>
      </c>
      <c r="U92" s="4" t="s">
        <v>360</v>
      </c>
      <c r="V92" s="4" t="s">
        <v>360</v>
      </c>
      <c r="W92" s="4" t="s">
        <v>360</v>
      </c>
      <c r="X92" s="4" t="s">
        <v>360</v>
      </c>
      <c r="Y92" s="4" t="s">
        <v>360</v>
      </c>
      <c r="Z92" s="4" t="s">
        <v>360</v>
      </c>
      <c r="AB92" s="4" t="s">
        <v>360</v>
      </c>
      <c r="AC92" s="2" t="str">
        <f>IF(Tabla_Compras[[#This Row],[id_padre]]=Tabla_Compras[[#This Row],[Id]],"NOK","OK")</f>
        <v>OK</v>
      </c>
      <c r="AD92" s="2"/>
      <c r="AE92" s="2"/>
      <c r="AF92" s="2"/>
    </row>
    <row r="93" spans="1:32" hidden="1" x14ac:dyDescent="0.5">
      <c r="A93" s="2">
        <f>MAX(Tabla_Caja[Id])</f>
        <v>634</v>
      </c>
      <c r="B93" s="2">
        <v>718</v>
      </c>
      <c r="C93" s="5">
        <f>IF(Tabla_Compras[[#This Row],[id_padre]]="",0,_xlfn.XLOOKUP(Tabla_Compras[[#This Row],[id_padre]],Tabla_Compras[Id],Tabla_Compras[Nivel],0,0,1)+1)</f>
        <v>3</v>
      </c>
      <c r="D93" s="2" t="s">
        <v>604</v>
      </c>
      <c r="E93" s="2">
        <f>IF(Tabla_Compras[[#This Row],[Id_anterior]]=1,ROW()-1,SUM(ROW()-1,Tabla_Compras[[#This Row],[Id_anterior]]))</f>
        <v>726</v>
      </c>
      <c r="F9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COMPRAS_INFORMES_ACTA_RECEPCION_BITACORA</v>
      </c>
      <c r="G93" s="2" t="str">
        <f>CLEAN(PROPER(Tabla_Compras[[#This Row],[Nombre Opción]]))</f>
        <v>Bitacora</v>
      </c>
      <c r="H93" s="2" t="s">
        <v>1735</v>
      </c>
      <c r="I93" s="2" t="str">
        <f>_xlfn.XLOOKUP(Tabla_Compras[[#This Row],[id_padre]],Tabla_Compras[Id],Tabla_Compras[Codigo_Tecnico],"",0,1)</f>
        <v>COMPRAS_INFORMES_ACTA_RECEPCION</v>
      </c>
      <c r="J9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/compras/informes/acta-recepcion/bitacora</v>
      </c>
      <c r="K9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bitacora</v>
      </c>
      <c r="L93" s="2" t="s">
        <v>1432</v>
      </c>
      <c r="M93" s="2" t="s">
        <v>1795</v>
      </c>
      <c r="N93" s="4" t="s">
        <v>360</v>
      </c>
      <c r="O93" s="4" t="s">
        <v>360</v>
      </c>
      <c r="P93" s="4" t="s">
        <v>360</v>
      </c>
      <c r="Q93" s="4" t="s">
        <v>360</v>
      </c>
      <c r="R93" s="4" t="s">
        <v>360</v>
      </c>
      <c r="S93" s="4" t="s">
        <v>360</v>
      </c>
      <c r="T93" s="4" t="s">
        <v>360</v>
      </c>
      <c r="U93" s="4" t="s">
        <v>360</v>
      </c>
      <c r="V93" s="4" t="s">
        <v>360</v>
      </c>
      <c r="W93" s="4" t="s">
        <v>360</v>
      </c>
      <c r="X93" s="4" t="s">
        <v>360</v>
      </c>
      <c r="Y93" s="4" t="s">
        <v>360</v>
      </c>
      <c r="Z93" s="4" t="s">
        <v>360</v>
      </c>
      <c r="AB93" s="4" t="s">
        <v>360</v>
      </c>
      <c r="AC93" s="2" t="str">
        <f>IF(Tabla_Compras[[#This Row],[id_padre]]=Tabla_Compras[[#This Row],[Id]],"NOK","OK")</f>
        <v>OK</v>
      </c>
      <c r="AD93" s="2"/>
      <c r="AE93" s="2"/>
      <c r="AF93" s="2"/>
    </row>
    <row r="94" spans="1:32" hidden="1" x14ac:dyDescent="0.5">
      <c r="A94" s="2">
        <f>MAX(Tabla_Caja[Id])</f>
        <v>634</v>
      </c>
      <c r="B94" s="2">
        <v>639</v>
      </c>
      <c r="C94" s="5">
        <f>IF(Tabla_Compras[[#This Row],[id_padre]]="",0,_xlfn.XLOOKUP(Tabla_Compras[[#This Row],[id_padre]],Tabla_Compras[Id],Tabla_Compras[Nivel],0,0,1)+1)</f>
        <v>2</v>
      </c>
      <c r="D94" s="2" t="s">
        <v>607</v>
      </c>
      <c r="E94" s="2">
        <f>IF(Tabla_Compras[[#This Row],[Id_anterior]]=1,ROW()-1,SUM(ROW()-1,Tabla_Compras[[#This Row],[Id_anterior]]))</f>
        <v>727</v>
      </c>
      <c r="F94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COMPRAS_INFORMES_MERCADO_PUBLICO</v>
      </c>
      <c r="G94" s="2" t="str">
        <f>CLEAN(PROPER(Tabla_Compras[[#This Row],[Nombre Opción]]))</f>
        <v>Mercado Publico</v>
      </c>
      <c r="H94" s="2" t="s">
        <v>1735</v>
      </c>
      <c r="I94" s="2" t="str">
        <f>_xlfn.XLOOKUP(Tabla_Compras[[#This Row],[id_padre]],Tabla_Compras[Id],Tabla_Compras[Codigo_Tecnico],"",0,1)</f>
        <v>COMPRAS_INFORMES</v>
      </c>
      <c r="J94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/compras/informes/mercado-publico</v>
      </c>
      <c r="K94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mercado-publico</v>
      </c>
      <c r="L94" s="2" t="s">
        <v>1399</v>
      </c>
      <c r="M94" s="2" t="s">
        <v>1795</v>
      </c>
      <c r="N94" s="4" t="s">
        <v>360</v>
      </c>
      <c r="O94" s="4" t="s">
        <v>360</v>
      </c>
      <c r="P94" s="4" t="s">
        <v>360</v>
      </c>
      <c r="Q94" s="4" t="s">
        <v>360</v>
      </c>
      <c r="R94" s="4" t="s">
        <v>360</v>
      </c>
      <c r="S94" s="4" t="s">
        <v>360</v>
      </c>
      <c r="T94" s="4" t="s">
        <v>360</v>
      </c>
      <c r="U94" s="4" t="s">
        <v>360</v>
      </c>
      <c r="V94" s="4" t="s">
        <v>360</v>
      </c>
      <c r="W94" s="4" t="s">
        <v>360</v>
      </c>
      <c r="X94" s="4" t="s">
        <v>360</v>
      </c>
      <c r="AB94" s="4" t="s">
        <v>360</v>
      </c>
      <c r="AC94" s="2" t="str">
        <f>IF(Tabla_Compras[[#This Row],[id_padre]]=Tabla_Compras[[#This Row],[Id]],"NOK","OK")</f>
        <v>OK</v>
      </c>
      <c r="AD94" s="2"/>
      <c r="AE94" s="2"/>
      <c r="AF94" s="2"/>
    </row>
    <row r="95" spans="1:32" hidden="1" x14ac:dyDescent="0.5">
      <c r="A95" s="2">
        <f>MAX(Tabla_Caja[Id])</f>
        <v>634</v>
      </c>
      <c r="B95" s="2">
        <v>727</v>
      </c>
      <c r="C95" s="5">
        <f>IF(Tabla_Compras[[#This Row],[id_padre]]="",0,_xlfn.XLOOKUP(Tabla_Compras[[#This Row],[id_padre]],Tabla_Compras[Id],Tabla_Compras[Nivel],0,0,1)+1)</f>
        <v>3</v>
      </c>
      <c r="D95" s="2" t="s">
        <v>124</v>
      </c>
      <c r="E95" s="2">
        <f>IF(Tabla_Compras[[#This Row],[Id_anterior]]=1,ROW()-1,SUM(ROW()-1,Tabla_Compras[[#This Row],[Id_anterior]]))</f>
        <v>728</v>
      </c>
      <c r="F95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COMPRAS_INFORMES_MERCADO_PUBLICO_ORDENES_COMPRAS</v>
      </c>
      <c r="G95" s="2" t="str">
        <f>CLEAN(PROPER(Tabla_Compras[[#This Row],[Nombre Opción]]))</f>
        <v>Ordenes De Compras</v>
      </c>
      <c r="H95" s="2" t="s">
        <v>1735</v>
      </c>
      <c r="I95" s="2" t="str">
        <f>_xlfn.XLOOKUP(Tabla_Compras[[#This Row],[id_padre]],Tabla_Compras[Id],Tabla_Compras[Codigo_Tecnico],"",0,1)</f>
        <v>COMPRAS_INFORMES_MERCADO_PUBLICO</v>
      </c>
      <c r="J95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/compras/informes/mercado-publico/ordenes-compras</v>
      </c>
      <c r="K95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ordenes-compras</v>
      </c>
      <c r="L95" s="2" t="s">
        <v>98</v>
      </c>
      <c r="M95" s="2" t="s">
        <v>1795</v>
      </c>
      <c r="N95" s="4" t="s">
        <v>360</v>
      </c>
      <c r="O95" s="4" t="s">
        <v>360</v>
      </c>
      <c r="P95" s="4" t="s">
        <v>360</v>
      </c>
      <c r="Q95" s="4" t="s">
        <v>360</v>
      </c>
      <c r="R95" s="4" t="s">
        <v>360</v>
      </c>
      <c r="S95" s="4" t="s">
        <v>360</v>
      </c>
      <c r="T95" s="4" t="s">
        <v>360</v>
      </c>
      <c r="U95" s="4" t="s">
        <v>360</v>
      </c>
      <c r="V95" s="4" t="s">
        <v>360</v>
      </c>
      <c r="W95" s="4" t="s">
        <v>360</v>
      </c>
      <c r="X95" s="4" t="s">
        <v>360</v>
      </c>
      <c r="AB95" s="4" t="s">
        <v>360</v>
      </c>
      <c r="AC95" s="2" t="str">
        <f>IF(Tabla_Compras[[#This Row],[id_padre]]=Tabla_Compras[[#This Row],[Id]],"NOK","OK")</f>
        <v>OK</v>
      </c>
      <c r="AD95" s="2"/>
      <c r="AE95" s="2"/>
      <c r="AF95" s="2"/>
    </row>
    <row r="96" spans="1:32" hidden="1" x14ac:dyDescent="0.5">
      <c r="A96" s="2">
        <f>MAX(Tabla_Caja[Id])</f>
        <v>634</v>
      </c>
      <c r="B96" s="2">
        <v>728</v>
      </c>
      <c r="C96" s="5">
        <f>IF(Tabla_Compras[[#This Row],[id_padre]]="",0,_xlfn.XLOOKUP(Tabla_Compras[[#This Row],[id_padre]],Tabla_Compras[Id],Tabla_Compras[Nivel],0,0,1)+1)</f>
        <v>4</v>
      </c>
      <c r="D96" s="2" t="s">
        <v>132</v>
      </c>
      <c r="E96" s="2">
        <f>IF(Tabla_Compras[[#This Row],[Id_anterior]]=1,ROW()-1,SUM(ROW()-1,Tabla_Compras[[#This Row],[Id_anterior]]))</f>
        <v>729</v>
      </c>
      <c r="F96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COMPRAS_INFORMES_MERCADO_PUBLICO_ORDENES_COMPRAS_AUTORIZADAS_POR_FINANZAS</v>
      </c>
      <c r="G96" s="2" t="str">
        <f>CLEAN(PROPER(Tabla_Compras[[#This Row],[Nombre Opción]]))</f>
        <v>Autorizadas Por Finanzas</v>
      </c>
      <c r="H96" s="2" t="s">
        <v>1735</v>
      </c>
      <c r="I96" s="2" t="str">
        <f>_xlfn.XLOOKUP(Tabla_Compras[[#This Row],[id_padre]],Tabla_Compras[Id],Tabla_Compras[Codigo_Tecnico],"",0,1)</f>
        <v>COMPRAS_INFORMES_MERCADO_PUBLICO_ORDENES_COMPRAS</v>
      </c>
      <c r="J96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/compras/informes/mercado-publico/ordenes-compras/autorizadas-por-finanzas</v>
      </c>
      <c r="K96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autorizadas-por-finanzas</v>
      </c>
      <c r="L96" s="2" t="s">
        <v>98</v>
      </c>
      <c r="M96" s="2" t="s">
        <v>1795</v>
      </c>
      <c r="N96" s="4" t="s">
        <v>360</v>
      </c>
      <c r="O96" s="4" t="s">
        <v>360</v>
      </c>
      <c r="P96" s="4" t="s">
        <v>360</v>
      </c>
      <c r="Q96" s="4" t="s">
        <v>360</v>
      </c>
      <c r="R96" s="4" t="s">
        <v>360</v>
      </c>
      <c r="S96" s="4" t="s">
        <v>360</v>
      </c>
      <c r="T96" s="4" t="s">
        <v>360</v>
      </c>
      <c r="U96" s="4" t="s">
        <v>360</v>
      </c>
      <c r="V96" s="4" t="s">
        <v>360</v>
      </c>
      <c r="W96" s="4" t="s">
        <v>360</v>
      </c>
      <c r="X96" s="4" t="s">
        <v>360</v>
      </c>
      <c r="AB96" s="4" t="s">
        <v>360</v>
      </c>
      <c r="AC96" s="2" t="str">
        <f>IF(Tabla_Compras[[#This Row],[id_padre]]=Tabla_Compras[[#This Row],[Id]],"NOK","OK")</f>
        <v>OK</v>
      </c>
      <c r="AD96" s="2"/>
      <c r="AE96" s="2"/>
      <c r="AF96" s="2"/>
    </row>
    <row r="97" spans="1:32" hidden="1" x14ac:dyDescent="0.5">
      <c r="A97" s="2">
        <f>MAX(Tabla_Caja[Id])</f>
        <v>634</v>
      </c>
      <c r="B97" s="2">
        <v>729</v>
      </c>
      <c r="C97" s="5">
        <f>IF(Tabla_Compras[[#This Row],[id_padre]]="",0,_xlfn.XLOOKUP(Tabla_Compras[[#This Row],[id_padre]],Tabla_Compras[Id],Tabla_Compras[Nivel],0,0,1)+1)</f>
        <v>5</v>
      </c>
      <c r="D97" s="2" t="s">
        <v>125</v>
      </c>
      <c r="E97" s="2">
        <f>IF(Tabla_Compras[[#This Row],[Id_anterior]]=1,ROW()-1,SUM(ROW()-1,Tabla_Compras[[#This Row],[Id_anterior]]))</f>
        <v>730</v>
      </c>
      <c r="F97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COMPRAS_INFORMES_MERCADO_PUBLICO_ORDENES_COMPRAS_AUTORIZADAS_POR_FINANZAS_RECHAZADAS_POR_FINANZAS</v>
      </c>
      <c r="G97" s="2" t="str">
        <f>CLEAN(PROPER(Tabla_Compras[[#This Row],[Nombre Opción]]))</f>
        <v>Rechazadas Por Finanzas</v>
      </c>
      <c r="H97" s="2" t="s">
        <v>1735</v>
      </c>
      <c r="I97" s="2" t="str">
        <f>_xlfn.XLOOKUP(Tabla_Compras[[#This Row],[id_padre]],Tabla_Compras[Id],Tabla_Compras[Codigo_Tecnico],"",0,1)</f>
        <v>COMPRAS_INFORMES_MERCADO_PUBLICO_ORDENES_COMPRAS_AUTORIZADAS_POR_FINANZAS</v>
      </c>
      <c r="J97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/compras/informes/mercado-publico/ordenes-compras/autorizadas-por-finanzas/rechazadas-por-finanzas</v>
      </c>
      <c r="K97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rechazadas-por-finanzas</v>
      </c>
      <c r="L97" s="2" t="s">
        <v>98</v>
      </c>
      <c r="M97" s="2" t="s">
        <v>1795</v>
      </c>
      <c r="N97" s="4" t="s">
        <v>360</v>
      </c>
      <c r="O97" s="4" t="s">
        <v>360</v>
      </c>
      <c r="P97" s="4" t="s">
        <v>360</v>
      </c>
      <c r="Q97" s="4" t="s">
        <v>360</v>
      </c>
      <c r="R97" s="4" t="s">
        <v>360</v>
      </c>
      <c r="S97" s="4" t="s">
        <v>360</v>
      </c>
      <c r="T97" s="4" t="s">
        <v>360</v>
      </c>
      <c r="U97" s="4" t="s">
        <v>360</v>
      </c>
      <c r="V97" s="4" t="s">
        <v>360</v>
      </c>
      <c r="W97" s="4" t="s">
        <v>360</v>
      </c>
      <c r="X97" s="4" t="s">
        <v>360</v>
      </c>
      <c r="AB97" s="4" t="s">
        <v>360</v>
      </c>
      <c r="AC97" s="2" t="str">
        <f>IF(Tabla_Compras[[#This Row],[id_padre]]=Tabla_Compras[[#This Row],[Id]],"NOK","OK")</f>
        <v>OK</v>
      </c>
      <c r="AD97" s="2"/>
      <c r="AE97" s="2"/>
      <c r="AF97" s="2"/>
    </row>
    <row r="98" spans="1:32" hidden="1" x14ac:dyDescent="0.5">
      <c r="A98" s="2">
        <f>MAX(Tabla_Caja[Id])</f>
        <v>634</v>
      </c>
      <c r="B98" s="2">
        <v>729</v>
      </c>
      <c r="C98" s="5">
        <f>IF(Tabla_Compras[[#This Row],[id_padre]]="",0,_xlfn.XLOOKUP(Tabla_Compras[[#This Row],[id_padre]],Tabla_Compras[Id],Tabla_Compras[Nivel],0,0,1)+1)</f>
        <v>5</v>
      </c>
      <c r="D98" s="2" t="s">
        <v>621</v>
      </c>
      <c r="E98" s="2">
        <f>IF(Tabla_Compras[[#This Row],[Id_anterior]]=1,ROW()-1,SUM(ROW()-1,Tabla_Compras[[#This Row],[Id_anterior]]))</f>
        <v>731</v>
      </c>
      <c r="F98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COMPRAS_INFORMES_MERCADO_PUBLICO_ORDENES_COMPRAS_AUTORIZADAS_POR_FINANZAS_AUTORIZADAS_POR_MERCADO_PUBLICO</v>
      </c>
      <c r="G98" s="2" t="str">
        <f>CLEAN(PROPER(Tabla_Compras[[#This Row],[Nombre Opción]]))</f>
        <v>Autorizadas Por Mercado Publico</v>
      </c>
      <c r="H98" s="2" t="s">
        <v>1735</v>
      </c>
      <c r="I98" s="2" t="str">
        <f>_xlfn.XLOOKUP(Tabla_Compras[[#This Row],[id_padre]],Tabla_Compras[Id],Tabla_Compras[Codigo_Tecnico],"",0,1)</f>
        <v>COMPRAS_INFORMES_MERCADO_PUBLICO_ORDENES_COMPRAS_AUTORIZADAS_POR_FINANZAS</v>
      </c>
      <c r="J98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/compras/informes/mercado-publico/ordenes-compras/autorizadas-por-finanzas/autorizadas-por-mercado-publico</v>
      </c>
      <c r="K98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autorizadas-por-mercado-publico</v>
      </c>
      <c r="L98" s="2" t="s">
        <v>98</v>
      </c>
      <c r="M98" s="2" t="s">
        <v>1795</v>
      </c>
      <c r="N98" s="4" t="s">
        <v>360</v>
      </c>
      <c r="O98" s="4" t="s">
        <v>360</v>
      </c>
      <c r="P98" s="4" t="s">
        <v>360</v>
      </c>
      <c r="Q98" s="4" t="s">
        <v>360</v>
      </c>
      <c r="R98" s="4" t="s">
        <v>360</v>
      </c>
      <c r="S98" s="4" t="s">
        <v>360</v>
      </c>
      <c r="T98" s="4" t="s">
        <v>360</v>
      </c>
      <c r="U98" s="4" t="s">
        <v>360</v>
      </c>
      <c r="V98" s="4" t="s">
        <v>360</v>
      </c>
      <c r="W98" s="4" t="s">
        <v>360</v>
      </c>
      <c r="X98" s="4" t="s">
        <v>360</v>
      </c>
      <c r="AB98" s="4" t="s">
        <v>360</v>
      </c>
      <c r="AC98" s="2" t="str">
        <f>IF(Tabla_Compras[[#This Row],[id_padre]]=Tabla_Compras[[#This Row],[Id]],"NOK","OK")</f>
        <v>OK</v>
      </c>
      <c r="AD98" s="2"/>
      <c r="AE98" s="2"/>
      <c r="AF98" s="2"/>
    </row>
    <row r="99" spans="1:32" hidden="1" x14ac:dyDescent="0.5">
      <c r="A99" s="2">
        <f>MAX(Tabla_Caja[Id])</f>
        <v>634</v>
      </c>
      <c r="B99" s="2">
        <v>729</v>
      </c>
      <c r="C99" s="5">
        <f>IF(Tabla_Compras[[#This Row],[id_padre]]="",0,_xlfn.XLOOKUP(Tabla_Compras[[#This Row],[id_padre]],Tabla_Compras[Id],Tabla_Compras[Nivel],0,0,1)+1)</f>
        <v>5</v>
      </c>
      <c r="D99" s="2" t="s">
        <v>127</v>
      </c>
      <c r="E99" s="2">
        <f>IF(Tabla_Compras[[#This Row],[Id_anterior]]=1,ROW()-1,SUM(ROW()-1,Tabla_Compras[[#This Row],[Id_anterior]]))</f>
        <v>732</v>
      </c>
      <c r="F99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COMPRAS_INFORMES_MERCADO_PUBLICO_ORDENES_COMPRAS_AUTORIZADAS_POR_FINANZAS_FINALIZADAS_POR_MERCADO_PUBLICO</v>
      </c>
      <c r="G99" s="2" t="str">
        <f>CLEAN(PROPER(Tabla_Compras[[#This Row],[Nombre Opción]]))</f>
        <v>Finalizadas Por Mercado Publico</v>
      </c>
      <c r="H99" s="2" t="s">
        <v>1735</v>
      </c>
      <c r="I99" s="2" t="str">
        <f>_xlfn.XLOOKUP(Tabla_Compras[[#This Row],[id_padre]],Tabla_Compras[Id],Tabla_Compras[Codigo_Tecnico],"",0,1)</f>
        <v>COMPRAS_INFORMES_MERCADO_PUBLICO_ORDENES_COMPRAS_AUTORIZADAS_POR_FINANZAS</v>
      </c>
      <c r="J99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/compras/informes/mercado-publico/ordenes-compras/autorizadas-por-finanzas/finalizadas-por-mercado-publico</v>
      </c>
      <c r="K99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finalizadas-por-mercado-publico</v>
      </c>
      <c r="L99" s="2" t="s">
        <v>98</v>
      </c>
      <c r="M99" s="2" t="s">
        <v>1795</v>
      </c>
      <c r="N99" s="4" t="s">
        <v>360</v>
      </c>
      <c r="O99" s="4" t="s">
        <v>360</v>
      </c>
      <c r="P99" s="4" t="s">
        <v>360</v>
      </c>
      <c r="Q99" s="4" t="s">
        <v>360</v>
      </c>
      <c r="R99" s="4" t="s">
        <v>360</v>
      </c>
      <c r="S99" s="4" t="s">
        <v>360</v>
      </c>
      <c r="T99" s="4" t="s">
        <v>360</v>
      </c>
      <c r="U99" s="4" t="s">
        <v>360</v>
      </c>
      <c r="V99" s="4" t="s">
        <v>360</v>
      </c>
      <c r="W99" s="4" t="s">
        <v>360</v>
      </c>
      <c r="X99" s="4" t="s">
        <v>360</v>
      </c>
      <c r="AB99" s="4" t="s">
        <v>360</v>
      </c>
      <c r="AC99" s="2" t="str">
        <f>IF(Tabla_Compras[[#This Row],[id_padre]]=Tabla_Compras[[#This Row],[Id]],"NOK","OK")</f>
        <v>OK</v>
      </c>
      <c r="AD99" s="2"/>
      <c r="AE99" s="2"/>
      <c r="AF99" s="2"/>
    </row>
    <row r="100" spans="1:32" hidden="1" x14ac:dyDescent="0.5">
      <c r="A100" s="2">
        <f>MAX(Tabla_Caja[Id])</f>
        <v>634</v>
      </c>
      <c r="B100" s="2">
        <v>728</v>
      </c>
      <c r="C100" s="5">
        <f>IF(Tabla_Compras[[#This Row],[id_padre]]="",0,_xlfn.XLOOKUP(Tabla_Compras[[#This Row],[id_padre]],Tabla_Compras[Id],Tabla_Compras[Nivel],0,0,1)+1)</f>
        <v>4</v>
      </c>
      <c r="D100" s="2" t="s">
        <v>131</v>
      </c>
      <c r="E100" s="2">
        <f>IF(Tabla_Compras[[#This Row],[Id_anterior]]=1,ROW()-1,SUM(ROW()-1,Tabla_Compras[[#This Row],[Id_anterior]]))</f>
        <v>733</v>
      </c>
      <c r="F100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COMPRAS_INFORMES_MERCADO_PUBLICO_ORDENES_COMPRAS_CATALOGO_ARTICULOS</v>
      </c>
      <c r="G100" s="2" t="str">
        <f>CLEAN(PROPER(Tabla_Compras[[#This Row],[Nombre Opción]]))</f>
        <v>Catalogo De Articulos</v>
      </c>
      <c r="H100" s="2" t="s">
        <v>1735</v>
      </c>
      <c r="I100" s="2" t="str">
        <f>_xlfn.XLOOKUP(Tabla_Compras[[#This Row],[id_padre]],Tabla_Compras[Id],Tabla_Compras[Codigo_Tecnico],"",0,1)</f>
        <v>COMPRAS_INFORMES_MERCADO_PUBLICO_ORDENES_COMPRAS</v>
      </c>
      <c r="J100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/compras/informes/mercado-publico/ordenes-compras/catalogo-articulos</v>
      </c>
      <c r="K100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catalogo-articulos</v>
      </c>
      <c r="L100" s="2" t="s">
        <v>98</v>
      </c>
      <c r="M100" s="2" t="s">
        <v>1795</v>
      </c>
      <c r="N100" s="4" t="s">
        <v>360</v>
      </c>
      <c r="O100" s="4" t="s">
        <v>360</v>
      </c>
      <c r="P100" s="4" t="s">
        <v>360</v>
      </c>
      <c r="Q100" s="4" t="s">
        <v>360</v>
      </c>
      <c r="R100" s="4" t="s">
        <v>360</v>
      </c>
      <c r="S100" s="4" t="s">
        <v>360</v>
      </c>
      <c r="T100" s="4" t="s">
        <v>360</v>
      </c>
      <c r="U100" s="4" t="s">
        <v>360</v>
      </c>
      <c r="V100" s="4" t="s">
        <v>360</v>
      </c>
      <c r="W100" s="4" t="s">
        <v>360</v>
      </c>
      <c r="X100" s="4" t="s">
        <v>360</v>
      </c>
      <c r="AB100" s="4" t="s">
        <v>360</v>
      </c>
      <c r="AC100" s="2" t="str">
        <f>IF(Tabla_Compras[[#This Row],[id_padre]]=Tabla_Compras[[#This Row],[Id]],"NOK","OK")</f>
        <v>OK</v>
      </c>
      <c r="AD100" s="2"/>
      <c r="AE100" s="2"/>
      <c r="AF100" s="2"/>
    </row>
    <row r="101" spans="1:32" hidden="1" x14ac:dyDescent="0.5">
      <c r="A101" s="2">
        <f>MAX(Tabla_Caja[Id])</f>
        <v>634</v>
      </c>
      <c r="B101" s="2">
        <v>728</v>
      </c>
      <c r="C101" s="5">
        <f>IF(Tabla_Compras[[#This Row],[id_padre]]="",0,_xlfn.XLOOKUP(Tabla_Compras[[#This Row],[id_padre]],Tabla_Compras[Id],Tabla_Compras[Nivel],0,0,1)+1)</f>
        <v>4</v>
      </c>
      <c r="D101" s="2" t="s">
        <v>133</v>
      </c>
      <c r="E101" s="2">
        <f>IF(Tabla_Compras[[#This Row],[Id_anterior]]=1,ROW()-1,SUM(ROW()-1,Tabla_Compras[[#This Row],[Id_anterior]]))</f>
        <v>734</v>
      </c>
      <c r="F101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COMPRAS_INFORMES_MERCADO_PUBLICO_ORDENES_COMPRAS_REIMPRESION_CERTIFICADOS</v>
      </c>
      <c r="G101" s="2" t="str">
        <f>CLEAN(PROPER(Tabla_Compras[[#This Row],[Nombre Opción]]))</f>
        <v>Reimpresion Certificados</v>
      </c>
      <c r="H101" s="2" t="s">
        <v>1735</v>
      </c>
      <c r="I101" s="2" t="str">
        <f>_xlfn.XLOOKUP(Tabla_Compras[[#This Row],[id_padre]],Tabla_Compras[Id],Tabla_Compras[Codigo_Tecnico],"",0,1)</f>
        <v>COMPRAS_INFORMES_MERCADO_PUBLICO_ORDENES_COMPRAS</v>
      </c>
      <c r="J101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/compras/informes/mercado-publico/ordenes-compras/reimpresion-certificados</v>
      </c>
      <c r="K101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reimpresion-certificados</v>
      </c>
      <c r="L101" s="2" t="s">
        <v>98</v>
      </c>
      <c r="M101" s="2" t="s">
        <v>1795</v>
      </c>
      <c r="N101" s="4" t="s">
        <v>360</v>
      </c>
      <c r="O101" s="4" t="s">
        <v>360</v>
      </c>
      <c r="Q101" s="4" t="s">
        <v>360</v>
      </c>
      <c r="R101" s="4"/>
      <c r="S101" s="4" t="s">
        <v>360</v>
      </c>
      <c r="U101" s="4" t="s">
        <v>360</v>
      </c>
      <c r="V101" s="4" t="s">
        <v>360</v>
      </c>
      <c r="Z101" s="4" t="s">
        <v>360</v>
      </c>
      <c r="AB101" s="4" t="s">
        <v>360</v>
      </c>
      <c r="AC101" s="2" t="str">
        <f>IF(Tabla_Compras[[#This Row],[id_padre]]=Tabla_Compras[[#This Row],[Id]],"NOK","OK")</f>
        <v>OK</v>
      </c>
      <c r="AD101" s="2"/>
      <c r="AE101" s="2"/>
      <c r="AF101" s="2"/>
    </row>
    <row r="102" spans="1:32" hidden="1" x14ac:dyDescent="0.5">
      <c r="A102" s="2">
        <f>MAX(Tabla_Caja[Id])</f>
        <v>634</v>
      </c>
      <c r="B102" s="2">
        <v>640</v>
      </c>
      <c r="C102" s="5">
        <f>IF(Tabla_Compras[[#This Row],[id_padre]]="",0,_xlfn.XLOOKUP(Tabla_Compras[[#This Row],[id_padre]],Tabla_Compras[Id],Tabla_Compras[Nivel],0,0,1)+1)</f>
        <v>2</v>
      </c>
      <c r="D102" s="2" t="s">
        <v>622</v>
      </c>
      <c r="E102" s="2">
        <f>IF(Tabla_Compras[[#This Row],[Id_anterior]]=1,ROW()-1,SUM(ROW()-1,Tabla_Compras[[#This Row],[Id_anterior]]))</f>
        <v>735</v>
      </c>
      <c r="F102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COMPRAS_CIERRE_CIERRE_SOLICITUDES</v>
      </c>
      <c r="G102" s="2" t="str">
        <f>CLEAN(PROPER(Tabla_Compras[[#This Row],[Nombre Opción]]))</f>
        <v>Cierre De Solicitudes</v>
      </c>
      <c r="H102" s="2" t="s">
        <v>1735</v>
      </c>
      <c r="I102" s="2" t="str">
        <f>_xlfn.XLOOKUP(Tabla_Compras[[#This Row],[id_padre]],Tabla_Compras[Id],Tabla_Compras[Codigo_Tecnico],"",0,1)</f>
        <v>COMPRAS_CIERRE</v>
      </c>
      <c r="J102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/compras/cierre/cierre-solicitudes</v>
      </c>
      <c r="K102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cierre-solicitudes</v>
      </c>
      <c r="L102" s="2" t="s">
        <v>1342</v>
      </c>
      <c r="M102" s="2" t="s">
        <v>1795</v>
      </c>
      <c r="O102" s="4"/>
      <c r="P102" s="4" t="s">
        <v>360</v>
      </c>
      <c r="Q102" s="4" t="s">
        <v>360</v>
      </c>
      <c r="R102" s="4" t="s">
        <v>360</v>
      </c>
      <c r="S102" s="4" t="s">
        <v>360</v>
      </c>
      <c r="T102" s="4" t="s">
        <v>360</v>
      </c>
      <c r="U102" s="4" t="s">
        <v>360</v>
      </c>
      <c r="V102" s="4" t="s">
        <v>360</v>
      </c>
      <c r="W102" s="4" t="s">
        <v>360</v>
      </c>
      <c r="X102" s="4" t="s">
        <v>360</v>
      </c>
      <c r="AB102" s="4" t="s">
        <v>360</v>
      </c>
      <c r="AC102" s="2" t="str">
        <f>IF(Tabla_Compras[[#This Row],[id_padre]]=Tabla_Compras[[#This Row],[Id]],"NOK","OK")</f>
        <v>OK</v>
      </c>
      <c r="AD102" s="2"/>
      <c r="AE102" s="2"/>
      <c r="AF102" s="2"/>
    </row>
    <row r="103" spans="1:32" hidden="1" x14ac:dyDescent="0.5">
      <c r="A103" s="2">
        <f>MAX(Tabla_Caja[Id])</f>
        <v>634</v>
      </c>
      <c r="B103" s="2">
        <v>640</v>
      </c>
      <c r="C103" s="5">
        <f>IF(Tabla_Compras[[#This Row],[id_padre]]="",0,_xlfn.XLOOKUP(Tabla_Compras[[#This Row],[id_padre]],Tabla_Compras[Id],Tabla_Compras[Nivel],0,0,1)+1)</f>
        <v>2</v>
      </c>
      <c r="D103" s="2" t="s">
        <v>623</v>
      </c>
      <c r="E103" s="2">
        <f>IF(Tabla_Compras[[#This Row],[Id_anterior]]=1,ROW()-1,SUM(ROW()-1,Tabla_Compras[[#This Row],[Id_anterior]]))</f>
        <v>736</v>
      </c>
      <c r="F103" s="2" t="str">
        <f>IF(Tabla_Compras[[#This Row],[id_padre]]="",SUBSTITUTE(UPPER(Tabla_Compras[[#This Row],[Slug]]),"-","_"),CONCATENATE(_xlfn.XLOOKUP(Tabla_Compras[[#This Row],[id_padre]],Tabla_Compras[Id],Tabla_Compras[Codigo_Tecnico],"",0,1),"_",SUBSTITUTE(UPPER(Tabla_Compras[[#This Row],[Slug]]),"-","_")))</f>
        <v>COMPRAS_CIERRE_CIERRE_ORDENES_COMPRA</v>
      </c>
      <c r="G103" s="2" t="str">
        <f>CLEAN(PROPER(Tabla_Compras[[#This Row],[Nombre Opción]]))</f>
        <v>Cierre De Ordenes De Compra</v>
      </c>
      <c r="H103" s="2" t="s">
        <v>1735</v>
      </c>
      <c r="I103" s="2" t="str">
        <f>_xlfn.XLOOKUP(Tabla_Compras[[#This Row],[id_padre]],Tabla_Compras[Id],Tabla_Compras[Codigo_Tecnico],"",0,1)</f>
        <v>COMPRAS_CIERRE</v>
      </c>
      <c r="J103" s="2" t="str">
        <f>IF(Tabla_Compras[[#This Row],[Nivel]]=0,CONCATENATE("/",Tabla_Compras[[#This Row],[Slug]]),CONCATENATE(_xlfn.XLOOKUP(Tabla_Compras[[#This Row],[id_padre]],Tabla_Compras[Id],Tabla_Compras[Ruta_Web],"",0,1),"/",Tabla_Compras[[#This Row],[Slug]]))</f>
        <v>/compras/cierre/cierre-ordenes-compra</v>
      </c>
      <c r="K103" s="2" t="str">
        <f>SUBSTITUTE(SUBSTITUTE(SUBSTITUTE(SUBSTITUTE(SUBSTITUTE(SUBSTITUTE(SUBSTITUTE(SUBSTITUTE(SUBSTITUTE(SUBSTITUTE(SUBSTITUTE(SUBSTITUTE(SUBSTITUTE(SUBSTITUTE(SUBSTITUTE(SUBSTITUTE(SUBSTITUTE(SUBSTITUTE(SUBSTITUTE(SUBSTITUTE(SUBSTITUTE(LOWER(Tabla_Compras[[#This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cierre-ordenes-compra</v>
      </c>
      <c r="L103" s="2" t="s">
        <v>1468</v>
      </c>
      <c r="M103" s="2" t="s">
        <v>1795</v>
      </c>
      <c r="O103" s="4"/>
      <c r="P103" s="4" t="s">
        <v>360</v>
      </c>
      <c r="Q103" s="4" t="s">
        <v>360</v>
      </c>
      <c r="R103" s="4" t="s">
        <v>360</v>
      </c>
      <c r="S103" s="4" t="s">
        <v>360</v>
      </c>
      <c r="T103" s="4" t="s">
        <v>360</v>
      </c>
      <c r="U103" s="4" t="s">
        <v>360</v>
      </c>
      <c r="V103" s="4" t="s">
        <v>360</v>
      </c>
      <c r="W103" s="4" t="s">
        <v>360</v>
      </c>
      <c r="X103" s="4" t="s">
        <v>360</v>
      </c>
      <c r="AB103" s="4" t="s">
        <v>360</v>
      </c>
      <c r="AC103" s="2" t="str">
        <f>IF(Tabla_Compras[[#This Row],[id_padre]]=Tabla_Compras[[#This Row],[Id]],"NOK","OK")</f>
        <v>OK</v>
      </c>
      <c r="AD103" s="2"/>
      <c r="AE103" s="2"/>
      <c r="AF103" s="2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DF2E2CB-15AD-4587-A9F4-CB1E636A664D}">
          <x14:formula1>
            <xm:f>Modulos!$C$2:$C$15</xm:f>
          </x14:formula1>
          <xm:sqref>M2:M103</xm:sqref>
        </x14:dataValidation>
        <x14:dataValidation type="list" allowBlank="1" showInputMessage="1" showErrorMessage="1" xr:uid="{EE184273-276E-4D3E-873A-A9A585FE1A8E}">
          <x14:formula1>
            <xm:f>Lista!$A$2:$A$3</xm:f>
          </x14:formula1>
          <xm:sqref>N2:AB103</xm:sqref>
        </x14:dataValidation>
        <x14:dataValidation type="list" allowBlank="1" showInputMessage="1" showErrorMessage="1" xr:uid="{03018C87-0579-4261-8659-0AE1F161AFBE}">
          <x14:formula1>
            <xm:f>Equipo!$B$2:$B$7</xm:f>
          </x14:formula1>
          <xm:sqref>AD2:AD103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5EA7-7A67-4F40-950F-11CB6227530C}">
  <sheetPr codeName="Hoja13"/>
  <dimension ref="A1:AP211"/>
  <sheetViews>
    <sheetView zoomScale="70" zoomScaleNormal="70" workbookViewId="0">
      <pane xSplit="3" ySplit="1" topLeftCell="D22" activePane="bottomRight" state="frozen"/>
      <selection pane="topRight" activeCell="C1" sqref="C1"/>
      <selection pane="bottomLeft" activeCell="A2" sqref="A2"/>
      <selection pane="bottomRight" activeCell="E40" sqref="E40"/>
    </sheetView>
  </sheetViews>
  <sheetFormatPr baseColWidth="10" defaultColWidth="11.41015625" defaultRowHeight="14.35" x14ac:dyDescent="0.5"/>
  <cols>
    <col min="1" max="1" width="5.703125" customWidth="1"/>
    <col min="2" max="2" width="5.703125" style="4" customWidth="1"/>
    <col min="3" max="3" width="5.703125" customWidth="1"/>
    <col min="4" max="4" width="45.3515625" style="2" bestFit="1" customWidth="1"/>
    <col min="5" max="5" width="5.703125" customWidth="1"/>
    <col min="6" max="6" width="10.703125" style="2" customWidth="1"/>
    <col min="7" max="8" width="10.703125" customWidth="1"/>
    <col min="9" max="12" width="10.703125" style="4" customWidth="1"/>
    <col min="13" max="13" width="10.703125" customWidth="1"/>
    <col min="14" max="15" width="4.703125" style="4" customWidth="1"/>
    <col min="16" max="16" width="4.703125" style="2" customWidth="1"/>
    <col min="17" max="17" width="4.703125" style="4" customWidth="1"/>
    <col min="18" max="18" width="4.703125" style="2" customWidth="1"/>
    <col min="19" max="19" width="4.703125" style="5" customWidth="1"/>
    <col min="20" max="33" width="4.703125" style="4" customWidth="1"/>
    <col min="34" max="34" width="4.703125" customWidth="1"/>
    <col min="39" max="39" width="4.703125" style="4" customWidth="1"/>
    <col min="40" max="40" width="3.703125" style="4" customWidth="1"/>
    <col min="41" max="42" width="5.703125" style="2" customWidth="1"/>
    <col min="43" max="43" width="27.29296875" style="2" bestFit="1" customWidth="1"/>
    <col min="44" max="16384" width="11.41015625" style="2"/>
  </cols>
  <sheetData>
    <row r="1" spans="1:40" s="3" customFormat="1" ht="137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624</v>
      </c>
      <c r="O1" s="3" t="s">
        <v>625</v>
      </c>
      <c r="P1" s="3" t="s">
        <v>626</v>
      </c>
      <c r="Q1" s="3" t="s">
        <v>627</v>
      </c>
      <c r="R1" s="3" t="s">
        <v>628</v>
      </c>
      <c r="S1" s="3" t="s">
        <v>629</v>
      </c>
      <c r="T1" s="3" t="s">
        <v>630</v>
      </c>
      <c r="U1" s="3" t="s">
        <v>631</v>
      </c>
      <c r="V1" s="3" t="s">
        <v>632</v>
      </c>
      <c r="W1" s="3" t="s">
        <v>633</v>
      </c>
      <c r="X1" s="3" t="s">
        <v>634</v>
      </c>
      <c r="Y1" s="3" t="s">
        <v>635</v>
      </c>
      <c r="Z1" s="3" t="s">
        <v>636</v>
      </c>
      <c r="AA1" s="3" t="s">
        <v>637</v>
      </c>
      <c r="AB1" s="3" t="s">
        <v>638</v>
      </c>
      <c r="AC1" s="3" t="s">
        <v>639</v>
      </c>
      <c r="AD1" s="3" t="s">
        <v>640</v>
      </c>
      <c r="AE1" s="3" t="s">
        <v>641</v>
      </c>
      <c r="AF1" s="3" t="s">
        <v>642</v>
      </c>
      <c r="AG1" s="3" t="s">
        <v>643</v>
      </c>
      <c r="AH1" s="3" t="s">
        <v>1932</v>
      </c>
      <c r="AI1" s="3" t="s">
        <v>2005</v>
      </c>
      <c r="AJ1" s="3" t="s">
        <v>2030</v>
      </c>
    </row>
    <row r="2" spans="1:40" x14ac:dyDescent="0.5">
      <c r="A2" s="2">
        <f>MAX(Tabla_Compras[Id])</f>
        <v>736</v>
      </c>
      <c r="B2" s="2" t="s">
        <v>98</v>
      </c>
      <c r="C2" s="5">
        <f>IF(Tabla_Decretos[[#This Row],[id_padre]]="",0,_xlfn.XLOOKUP(Tabla_Decretos[[#This Row],[id_padre]],Tabla_Decretos[Id],Tabla_Decretos[Nivel],0,0,1)+1)</f>
        <v>0</v>
      </c>
      <c r="D2" s="2" t="s">
        <v>210</v>
      </c>
      <c r="E2" s="2">
        <f>IF(Tabla_Decretos[[#This Row],[Id_anterior]]=1,ROW()-1,SUM(ROW()-1,Tabla_Decretos[[#This Row],[Id_anterior]]))</f>
        <v>737</v>
      </c>
      <c r="F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</v>
      </c>
      <c r="G2" s="2" t="str">
        <f>CLEAN(PROPER(Tabla_Decretos[[#This Row],[Nombre Opción]]))</f>
        <v>Decretos</v>
      </c>
      <c r="H2" s="2" t="s">
        <v>1735</v>
      </c>
      <c r="I2" s="2" t="str">
        <f>_xlfn.XLOOKUP(Tabla_Decretos[[#This Row],[id_padre]],Tabla_Decretos[Id],Tabla_Decretos[Codigo_Tecnico],"",0,1)</f>
        <v/>
      </c>
      <c r="J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decretos</v>
      </c>
      <c r="L2" s="2" t="s">
        <v>1457</v>
      </c>
      <c r="M2" t="s">
        <v>1799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4" t="s">
        <v>360</v>
      </c>
      <c r="X2" s="4" t="s">
        <v>360</v>
      </c>
      <c r="Y2" s="4" t="s">
        <v>360</v>
      </c>
      <c r="Z2" s="4" t="s">
        <v>360</v>
      </c>
      <c r="AA2" s="4" t="s">
        <v>360</v>
      </c>
      <c r="AB2" s="4" t="s">
        <v>360</v>
      </c>
      <c r="AC2" s="4" t="s">
        <v>360</v>
      </c>
      <c r="AD2" s="4" t="s">
        <v>360</v>
      </c>
      <c r="AE2" s="4" t="s">
        <v>360</v>
      </c>
      <c r="AF2" s="4" t="s">
        <v>360</v>
      </c>
      <c r="AG2" s="4" t="s">
        <v>360</v>
      </c>
      <c r="AH2" s="4" t="s">
        <v>360</v>
      </c>
      <c r="AI2" s="2" t="str">
        <f>IF(Tabla_Decretos[[#This Row],[id_padre]]=Tabla_Decretos[[#This Row],[Id]],"NOK","OK")</f>
        <v>OK</v>
      </c>
      <c r="AJ2" s="2"/>
      <c r="AK2" s="2"/>
      <c r="AL2" s="2"/>
      <c r="AM2" s="2"/>
      <c r="AN2" s="2"/>
    </row>
    <row r="3" spans="1:40" x14ac:dyDescent="0.5">
      <c r="A3" s="2">
        <f>MAX(Tabla_Compras[Id])</f>
        <v>736</v>
      </c>
      <c r="B3" s="2">
        <v>737</v>
      </c>
      <c r="C3" s="5">
        <f>IF(Tabla_Decretos[[#This Row],[id_padre]]="",0,_xlfn.XLOOKUP(Tabla_Decretos[[#This Row],[id_padre]],Tabla_Decretos[Id],Tabla_Decretos[Nivel],0,0,1)+1)</f>
        <v>1</v>
      </c>
      <c r="D3" s="2" t="s">
        <v>18</v>
      </c>
      <c r="E3" s="2">
        <f>IF(Tabla_Decretos[[#This Row],[Id_anterior]]=1,ROW()-1,SUM(ROW()-1,Tabla_Decretos[[#This Row],[Id_anterior]]))</f>
        <v>738</v>
      </c>
      <c r="F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</v>
      </c>
      <c r="G3" s="2" t="str">
        <f>CLEAN(PROPER(Tabla_Decretos[[#This Row],[Nombre Opción]]))</f>
        <v>Parámetros</v>
      </c>
      <c r="H3" s="2" t="s">
        <v>1735</v>
      </c>
      <c r="I3" s="2" t="str">
        <f>_xlfn.XLOOKUP(Tabla_Decretos[[#This Row],[id_padre]],Tabla_Decretos[Id],Tabla_Decretos[Codigo_Tecnico],"",0,1)</f>
        <v>DECRETOS</v>
      </c>
      <c r="J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t="s">
        <v>1799</v>
      </c>
      <c r="N3" s="4" t="s">
        <v>360</v>
      </c>
      <c r="O3" s="4" t="s">
        <v>360</v>
      </c>
      <c r="P3" s="4" t="s">
        <v>360</v>
      </c>
      <c r="Q3" s="4" t="s">
        <v>360</v>
      </c>
      <c r="R3" s="4" t="s">
        <v>360</v>
      </c>
      <c r="S3" s="4" t="s">
        <v>360</v>
      </c>
      <c r="V3" s="4" t="s">
        <v>360</v>
      </c>
      <c r="W3" s="4" t="s">
        <v>360</v>
      </c>
      <c r="AB3" s="5" t="s">
        <v>360</v>
      </c>
      <c r="AC3" s="5"/>
      <c r="AD3" s="5"/>
      <c r="AE3" s="5" t="s">
        <v>360</v>
      </c>
      <c r="AF3" s="5" t="s">
        <v>360</v>
      </c>
      <c r="AG3" s="5" t="s">
        <v>360</v>
      </c>
      <c r="AH3" s="4" t="s">
        <v>360</v>
      </c>
      <c r="AI3" s="2" t="str">
        <f>IF(Tabla_Decretos[[#This Row],[id_padre]]=Tabla_Decretos[[#This Row],[Id]],"NOK","OK")</f>
        <v>OK</v>
      </c>
      <c r="AJ3" s="2"/>
      <c r="AK3" s="2"/>
      <c r="AL3" s="2"/>
      <c r="AM3" s="2"/>
      <c r="AN3" s="2"/>
    </row>
    <row r="4" spans="1:40" x14ac:dyDescent="0.5">
      <c r="A4" s="2">
        <f>MAX(Tabla_Compras[Id])</f>
        <v>736</v>
      </c>
      <c r="B4" s="2">
        <v>737</v>
      </c>
      <c r="C4" s="5">
        <f>IF(Tabla_Decretos[[#This Row],[id_padre]]="",0,_xlfn.XLOOKUP(Tabla_Decretos[[#This Row],[id_padre]],Tabla_Decretos[Id],Tabla_Decretos[Nivel],0,0,1)+1)</f>
        <v>1</v>
      </c>
      <c r="D4" s="2" t="s">
        <v>210</v>
      </c>
      <c r="E4" s="2">
        <f>IF(Tabla_Decretos[[#This Row],[Id_anterior]]=1,ROW()-1,SUM(ROW()-1,Tabla_Decretos[[#This Row],[Id_anterior]]))</f>
        <v>739</v>
      </c>
      <c r="F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</v>
      </c>
      <c r="G4" s="2" t="str">
        <f>CLEAN(PROPER(Tabla_Decretos[[#This Row],[Nombre Opción]]))</f>
        <v>Decretos</v>
      </c>
      <c r="H4" s="2" t="s">
        <v>1735</v>
      </c>
      <c r="I4" s="2" t="str">
        <f>_xlfn.XLOOKUP(Tabla_Decretos[[#This Row],[id_padre]],Tabla_Decretos[Id],Tabla_Decretos[Codigo_Tecnico],"",0,1)</f>
        <v>DECRETOS</v>
      </c>
      <c r="J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decretos</v>
      </c>
      <c r="L4" s="2" t="s">
        <v>1457</v>
      </c>
      <c r="M4" t="s">
        <v>1799</v>
      </c>
      <c r="N4" s="4" t="s">
        <v>360</v>
      </c>
      <c r="O4" s="4" t="s">
        <v>360</v>
      </c>
      <c r="P4" s="4"/>
      <c r="Q4" s="4" t="s">
        <v>360</v>
      </c>
      <c r="R4" s="4" t="s">
        <v>360</v>
      </c>
      <c r="S4" s="4"/>
      <c r="AB4" s="5"/>
      <c r="AC4" s="5"/>
      <c r="AD4" s="5"/>
      <c r="AE4" s="5"/>
      <c r="AF4" s="5"/>
      <c r="AG4" s="5"/>
      <c r="AH4" s="4" t="s">
        <v>360</v>
      </c>
      <c r="AI4" s="2" t="str">
        <f>IF(Tabla_Decretos[[#This Row],[id_padre]]=Tabla_Decretos[[#This Row],[Id]],"NOK","OK")</f>
        <v>OK</v>
      </c>
      <c r="AJ4" s="2"/>
      <c r="AK4" s="2"/>
      <c r="AL4" s="2"/>
      <c r="AM4" s="2"/>
      <c r="AN4" s="2"/>
    </row>
    <row r="5" spans="1:40" x14ac:dyDescent="0.5">
      <c r="A5" s="2">
        <f>MAX(Tabla_Compras[Id])</f>
        <v>736</v>
      </c>
      <c r="B5" s="2">
        <v>737</v>
      </c>
      <c r="C5" s="5">
        <f>IF(Tabla_Decretos[[#This Row],[id_padre]]="",0,_xlfn.XLOOKUP(Tabla_Decretos[[#This Row],[id_padre]],Tabla_Decretos[Id],Tabla_Decretos[Nivel],0,0,1)+1)</f>
        <v>1</v>
      </c>
      <c r="D5" s="2" t="s">
        <v>695</v>
      </c>
      <c r="E5" s="2">
        <f>IF(Tabla_Decretos[[#This Row],[Id_anterior]]=1,ROW()-1,SUM(ROW()-1,Tabla_Decretos[[#This Row],[Id_anterior]]))</f>
        <v>740</v>
      </c>
      <c r="F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</v>
      </c>
      <c r="G5" s="2" t="str">
        <f>CLEAN(PROPER(Tabla_Decretos[[#This Row],[Nombre Opción]]))</f>
        <v>Proyectos</v>
      </c>
      <c r="H5" s="2" t="s">
        <v>1735</v>
      </c>
      <c r="I5" s="2" t="str">
        <f>_xlfn.XLOOKUP(Tabla_Decretos[[#This Row],[id_padre]],Tabla_Decretos[Id],Tabla_Decretos[Codigo_Tecnico],"",0,1)</f>
        <v>DECRETOS</v>
      </c>
      <c r="J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proyectos</v>
      </c>
      <c r="L5" s="2" t="s">
        <v>1548</v>
      </c>
      <c r="M5" t="s">
        <v>1799</v>
      </c>
      <c r="P5" s="4"/>
      <c r="R5" s="4"/>
      <c r="S5" s="4"/>
      <c r="AB5" s="5" t="s">
        <v>360</v>
      </c>
      <c r="AC5" s="5" t="s">
        <v>360</v>
      </c>
      <c r="AD5" s="5"/>
      <c r="AE5" s="5"/>
      <c r="AF5" s="5" t="s">
        <v>360</v>
      </c>
      <c r="AG5" s="5"/>
      <c r="AH5" s="4" t="s">
        <v>360</v>
      </c>
      <c r="AI5" s="2" t="str">
        <f>IF(Tabla_Decretos[[#This Row],[id_padre]]=Tabla_Decretos[[#This Row],[Id]],"NOK","OK")</f>
        <v>OK</v>
      </c>
      <c r="AJ5" s="2"/>
      <c r="AK5" s="2"/>
      <c r="AL5" s="2"/>
      <c r="AM5" s="2"/>
      <c r="AN5" s="2"/>
    </row>
    <row r="6" spans="1:40" x14ac:dyDescent="0.5">
      <c r="A6" s="2">
        <f>MAX(Tabla_Compras[Id])</f>
        <v>736</v>
      </c>
      <c r="B6" s="2">
        <v>737</v>
      </c>
      <c r="C6" s="5">
        <f>IF(Tabla_Decretos[[#This Row],[id_padre]]="",0,_xlfn.XLOOKUP(Tabla_Decretos[[#This Row],[id_padre]],Tabla_Decretos[Id],Tabla_Decretos[Nivel],0,0,1)+1)</f>
        <v>1</v>
      </c>
      <c r="D6" s="2" t="s">
        <v>644</v>
      </c>
      <c r="E6" s="2">
        <f>IF(Tabla_Decretos[[#This Row],[Id_anterior]]=1,ROW()-1,SUM(ROW()-1,Tabla_Decretos[[#This Row],[Id_anterior]]))</f>
        <v>741</v>
      </c>
      <c r="F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</v>
      </c>
      <c r="G6" s="2" t="str">
        <f>CLEAN(PROPER(Tabla_Decretos[[#This Row],[Nombre Opción]]))</f>
        <v>Fms</v>
      </c>
      <c r="H6" s="2" t="s">
        <v>1735</v>
      </c>
      <c r="I6" s="2" t="str">
        <f>_xlfn.XLOOKUP(Tabla_Decretos[[#This Row],[id_padre]],Tabla_Decretos[Id],Tabla_Decretos[Codigo_Tecnico],"",0,1)</f>
        <v>DECRETOS</v>
      </c>
      <c r="J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fms</v>
      </c>
      <c r="L6" s="2" t="s">
        <v>1549</v>
      </c>
      <c r="M6" t="s">
        <v>1799</v>
      </c>
      <c r="P6" s="4"/>
      <c r="R6" s="4"/>
      <c r="S6" s="4" t="s">
        <v>360</v>
      </c>
      <c r="T6" s="4" t="s">
        <v>360</v>
      </c>
      <c r="V6" s="4" t="s">
        <v>360</v>
      </c>
      <c r="W6" s="4" t="s">
        <v>360</v>
      </c>
      <c r="X6" s="4" t="s">
        <v>360</v>
      </c>
      <c r="Z6" s="4" t="s">
        <v>360</v>
      </c>
      <c r="AA6" s="4" t="s">
        <v>360</v>
      </c>
      <c r="AB6" s="5"/>
      <c r="AC6" s="5"/>
      <c r="AD6" s="5"/>
      <c r="AE6" s="5"/>
      <c r="AF6" s="5"/>
      <c r="AG6" s="5"/>
      <c r="AH6" s="4" t="s">
        <v>360</v>
      </c>
      <c r="AI6" s="2" t="str">
        <f>IF(Tabla_Decretos[[#This Row],[id_padre]]=Tabla_Decretos[[#This Row],[Id]],"NOK","OK")</f>
        <v>OK</v>
      </c>
      <c r="AJ6" s="2"/>
      <c r="AK6" s="2"/>
      <c r="AL6" s="2"/>
      <c r="AM6" s="2"/>
      <c r="AN6" s="2"/>
    </row>
    <row r="7" spans="1:40" x14ac:dyDescent="0.5">
      <c r="A7" s="2">
        <f>MAX(Tabla_Compras[Id])</f>
        <v>736</v>
      </c>
      <c r="B7" s="2">
        <v>737</v>
      </c>
      <c r="C7" s="5">
        <f>IF(Tabla_Decretos[[#This Row],[id_padre]]="",0,_xlfn.XLOOKUP(Tabla_Decretos[[#This Row],[id_padre]],Tabla_Decretos[Id],Tabla_Decretos[Nivel],0,0,1)+1)</f>
        <v>1</v>
      </c>
      <c r="D7" s="2" t="s">
        <v>715</v>
      </c>
      <c r="E7" s="2">
        <f>IF(Tabla_Decretos[[#This Row],[Id_anterior]]=1,ROW()-1,SUM(ROW()-1,Tabla_Decretos[[#This Row],[Id_anterior]]))</f>
        <v>742</v>
      </c>
      <c r="F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DECRETOS_CONTRATOS</v>
      </c>
      <c r="G7" s="2" t="str">
        <f>CLEAN(PROPER(Tabla_Decretos[[#This Row],[Nombre Opción]]))</f>
        <v>Contratos</v>
      </c>
      <c r="H7" s="2" t="s">
        <v>1735</v>
      </c>
      <c r="I7" s="2" t="str">
        <f>_xlfn.XLOOKUP(Tabla_Decretos[[#This Row],[id_padre]],Tabla_Decretos[Id],Tabla_Decretos[Codigo_Tecnico],"",0,1)</f>
        <v>DECRETOS</v>
      </c>
      <c r="J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/decretos/contratos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contratos</v>
      </c>
      <c r="L7" s="2" t="s">
        <v>1405</v>
      </c>
      <c r="M7" t="s">
        <v>1799</v>
      </c>
      <c r="P7" s="4"/>
      <c r="R7" s="4"/>
      <c r="S7" s="4"/>
      <c r="AB7" s="5" t="s">
        <v>360</v>
      </c>
      <c r="AC7" s="5" t="s">
        <v>360</v>
      </c>
      <c r="AD7" s="5"/>
      <c r="AE7" s="5"/>
      <c r="AF7" s="5"/>
      <c r="AG7" s="5" t="s">
        <v>360</v>
      </c>
      <c r="AH7" s="4" t="s">
        <v>360</v>
      </c>
      <c r="AI7" s="2" t="str">
        <f>IF(Tabla_Decretos[[#This Row],[id_padre]]=Tabla_Decretos[[#This Row],[Id]],"NOK","OK")</f>
        <v>OK</v>
      </c>
      <c r="AJ7" s="2"/>
      <c r="AK7" s="2"/>
      <c r="AL7" s="2"/>
      <c r="AM7" s="2"/>
      <c r="AN7" s="2"/>
    </row>
    <row r="8" spans="1:40" x14ac:dyDescent="0.5">
      <c r="A8" s="2">
        <f>MAX(Tabla_Compras[Id])</f>
        <v>736</v>
      </c>
      <c r="B8" s="2">
        <v>737</v>
      </c>
      <c r="C8" s="5">
        <f>IF(Tabla_Decretos[[#This Row],[id_padre]]="",0,_xlfn.XLOOKUP(Tabla_Decretos[[#This Row],[id_padre]],Tabla_Decretos[Id],Tabla_Decretos[Nivel],0,0,1)+1)</f>
        <v>1</v>
      </c>
      <c r="D8" s="2" t="s">
        <v>20</v>
      </c>
      <c r="E8" s="2">
        <f>IF(Tabla_Decretos[[#This Row],[Id_anterior]]=1,ROW()-1,SUM(ROW()-1,Tabla_Decretos[[#This Row],[Id_anterior]]))</f>
        <v>743</v>
      </c>
      <c r="F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</v>
      </c>
      <c r="G8" s="2" t="str">
        <f>CLEAN(PROPER(Tabla_Decretos[[#This Row],[Nombre Opción]]))</f>
        <v>Consultas</v>
      </c>
      <c r="H8" s="2" t="s">
        <v>1735</v>
      </c>
      <c r="I8" s="2" t="str">
        <f>_xlfn.XLOOKUP(Tabla_Decretos[[#This Row],[id_padre]],Tabla_Decretos[Id],Tabla_Decretos[Codigo_Tecnico],"",0,1)</f>
        <v>DECRETOS</v>
      </c>
      <c r="J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8" s="2" t="s">
        <v>1339</v>
      </c>
      <c r="M8" t="s">
        <v>1799</v>
      </c>
      <c r="N8" s="4" t="s">
        <v>360</v>
      </c>
      <c r="O8" s="4" t="s">
        <v>360</v>
      </c>
      <c r="P8" s="4" t="s">
        <v>360</v>
      </c>
      <c r="Q8" s="4" t="s">
        <v>360</v>
      </c>
      <c r="R8" s="4" t="s">
        <v>360</v>
      </c>
      <c r="S8" s="4" t="s">
        <v>360</v>
      </c>
      <c r="T8" s="4" t="s">
        <v>360</v>
      </c>
      <c r="U8" s="4" t="s">
        <v>360</v>
      </c>
      <c r="V8" s="4" t="s">
        <v>360</v>
      </c>
      <c r="W8" s="4" t="s">
        <v>360</v>
      </c>
      <c r="X8" s="4" t="s">
        <v>360</v>
      </c>
      <c r="Y8" s="4" t="s">
        <v>360</v>
      </c>
      <c r="Z8" s="4" t="s">
        <v>360</v>
      </c>
      <c r="AA8" s="4" t="s">
        <v>360</v>
      </c>
      <c r="AB8" s="5" t="s">
        <v>360</v>
      </c>
      <c r="AC8" s="5" t="s">
        <v>360</v>
      </c>
      <c r="AD8" s="5" t="s">
        <v>360</v>
      </c>
      <c r="AE8" s="5" t="s">
        <v>360</v>
      </c>
      <c r="AF8" s="5" t="s">
        <v>360</v>
      </c>
      <c r="AG8" s="5" t="s">
        <v>360</v>
      </c>
      <c r="AH8" s="4" t="s">
        <v>360</v>
      </c>
      <c r="AI8" s="2" t="str">
        <f>IF(Tabla_Decretos[[#This Row],[id_padre]]=Tabla_Decretos[[#This Row],[Id]],"NOK","OK")</f>
        <v>OK</v>
      </c>
      <c r="AJ8" s="2"/>
      <c r="AK8" s="2"/>
      <c r="AL8" s="2"/>
      <c r="AM8" s="2"/>
      <c r="AN8" s="2"/>
    </row>
    <row r="9" spans="1:40" x14ac:dyDescent="0.5">
      <c r="A9" s="2">
        <f>MAX(Tabla_Compras[Id])</f>
        <v>736</v>
      </c>
      <c r="B9" s="2">
        <v>737</v>
      </c>
      <c r="C9" s="5">
        <f>IF(Tabla_Decretos[[#This Row],[id_padre]]="",0,_xlfn.XLOOKUP(Tabla_Decretos[[#This Row],[id_padre]],Tabla_Decretos[Id],Tabla_Decretos[Nivel],0,0,1)+1)</f>
        <v>1</v>
      </c>
      <c r="D9" s="2" t="s">
        <v>21</v>
      </c>
      <c r="E9" s="2">
        <f>IF(Tabla_Decretos[[#This Row],[Id_anterior]]=1,ROW()-1,SUM(ROW()-1,Tabla_Decretos[[#This Row],[Id_anterior]]))</f>
        <v>744</v>
      </c>
      <c r="F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</v>
      </c>
      <c r="G9" s="2" t="str">
        <f>CLEAN(PROPER(Tabla_Decretos[[#This Row],[Nombre Opción]]))</f>
        <v>Informes</v>
      </c>
      <c r="H9" s="2" t="s">
        <v>1735</v>
      </c>
      <c r="I9" s="2" t="str">
        <f>_xlfn.XLOOKUP(Tabla_Decretos[[#This Row],[id_padre]],Tabla_Decretos[Id],Tabla_Decretos[Codigo_Tecnico],"",0,1)</f>
        <v>DECRETOS</v>
      </c>
      <c r="J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9" s="2" t="s">
        <v>1340</v>
      </c>
      <c r="M9" t="s">
        <v>1799</v>
      </c>
      <c r="N9" s="4" t="s">
        <v>360</v>
      </c>
      <c r="O9" s="4" t="s">
        <v>360</v>
      </c>
      <c r="P9" s="4" t="s">
        <v>360</v>
      </c>
      <c r="Q9" s="4" t="s">
        <v>360</v>
      </c>
      <c r="R9" s="4" t="s">
        <v>360</v>
      </c>
      <c r="S9" s="4" t="s">
        <v>360</v>
      </c>
      <c r="T9" s="4" t="s">
        <v>360</v>
      </c>
      <c r="U9" s="4" t="s">
        <v>360</v>
      </c>
      <c r="V9" s="4" t="s">
        <v>360</v>
      </c>
      <c r="W9" s="4" t="s">
        <v>360</v>
      </c>
      <c r="X9" s="4" t="s">
        <v>360</v>
      </c>
      <c r="Y9" s="4" t="s">
        <v>360</v>
      </c>
      <c r="Z9" s="4" t="s">
        <v>360</v>
      </c>
      <c r="AA9" s="4" t="s">
        <v>360</v>
      </c>
      <c r="AB9" s="5" t="s">
        <v>360</v>
      </c>
      <c r="AC9" s="5" t="s">
        <v>360</v>
      </c>
      <c r="AD9" s="5" t="s">
        <v>360</v>
      </c>
      <c r="AE9" s="5" t="s">
        <v>360</v>
      </c>
      <c r="AF9" s="5" t="s">
        <v>360</v>
      </c>
      <c r="AG9" s="5" t="s">
        <v>360</v>
      </c>
      <c r="AH9" s="4" t="s">
        <v>360</v>
      </c>
      <c r="AI9" s="2" t="str">
        <f>IF(Tabla_Decretos[[#This Row],[id_padre]]=Tabla_Decretos[[#This Row],[Id]],"NOK","OK")</f>
        <v>OK</v>
      </c>
      <c r="AJ9" s="2"/>
      <c r="AK9" s="2"/>
      <c r="AL9" s="2"/>
      <c r="AM9" s="2"/>
      <c r="AN9" s="2"/>
    </row>
    <row r="10" spans="1:40" x14ac:dyDescent="0.5">
      <c r="A10" s="2">
        <f>MAX(Tabla_Compras[Id])</f>
        <v>736</v>
      </c>
      <c r="B10" s="2">
        <v>738</v>
      </c>
      <c r="C10" s="5">
        <f>IF(Tabla_Decretos[[#This Row],[id_padre]]="",0,_xlfn.XLOOKUP(Tabla_Decretos[[#This Row],[id_padre]],Tabla_Decretos[Id],Tabla_Decretos[Nivel],0,0,1)+1)</f>
        <v>2</v>
      </c>
      <c r="D10" s="2" t="s">
        <v>645</v>
      </c>
      <c r="E10" s="2">
        <f>IF(Tabla_Decretos[[#This Row],[Id_anterior]]=1,ROW()-1,SUM(ROW()-1,Tabla_Decretos[[#This Row],[Id_anterior]]))</f>
        <v>745</v>
      </c>
      <c r="F1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DECRETOS_PARAMETROS_MANTENCION_INGRESOS_EGRESOS</v>
      </c>
      <c r="G10" s="2" t="str">
        <f>CLEAN(PROPER(Tabla_Decretos[[#This Row],[Nombre Opción]]))</f>
        <v>Mantencion Ingresos / Egresos</v>
      </c>
      <c r="H10" s="2" t="s">
        <v>1735</v>
      </c>
      <c r="I10" s="2" t="str">
        <f>_xlfn.XLOOKUP(Tabla_Decretos[[#This Row],[id_padre]],Tabla_Decretos[Id],Tabla_Decretos[Codigo_Tecnico],"",0,1)</f>
        <v>DECRETOS_PARAMETROS</v>
      </c>
      <c r="J1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/decretos/parametros/mantencion-ingresos-egresos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mantencion-ingresos-egresos</v>
      </c>
      <c r="L10" s="2" t="s">
        <v>1379</v>
      </c>
      <c r="M10" t="s">
        <v>1799</v>
      </c>
      <c r="N10" s="4" t="s">
        <v>360</v>
      </c>
      <c r="P10" s="4"/>
      <c r="Q10" s="4" t="s">
        <v>360</v>
      </c>
      <c r="R10" s="4" t="s">
        <v>360</v>
      </c>
      <c r="S10" s="4"/>
      <c r="AB10" s="5"/>
      <c r="AC10" s="5"/>
      <c r="AD10" s="5"/>
      <c r="AE10" s="5"/>
      <c r="AF10" s="5"/>
      <c r="AG10" s="5"/>
      <c r="AH10" s="4" t="s">
        <v>360</v>
      </c>
      <c r="AI10" s="2" t="str">
        <f>IF(Tabla_Decretos[[#This Row],[id_padre]]=Tabla_Decretos[[#This Row],[Id]],"NOK","OK")</f>
        <v>OK</v>
      </c>
      <c r="AJ10" s="2"/>
      <c r="AK10" s="2"/>
      <c r="AL10" s="2"/>
      <c r="AM10" s="2"/>
      <c r="AN10" s="2"/>
    </row>
    <row r="11" spans="1:40" x14ac:dyDescent="0.5">
      <c r="A11" s="2">
        <f>MAX(Tabla_Compras[Id])</f>
        <v>736</v>
      </c>
      <c r="B11" s="2">
        <v>738</v>
      </c>
      <c r="C11" s="5">
        <f>IF(Tabla_Decretos[[#This Row],[id_padre]]="",0,_xlfn.XLOOKUP(Tabla_Decretos[[#This Row],[id_padre]],Tabla_Decretos[Id],Tabla_Decretos[Nivel],0,0,1)+1)</f>
        <v>2</v>
      </c>
      <c r="D11" s="2" t="s">
        <v>646</v>
      </c>
      <c r="E11" s="2">
        <f>IF(Tabla_Decretos[[#This Row],[Id_anterior]]=1,ROW()-1,SUM(ROW()-1,Tabla_Decretos[[#This Row],[Id_anterior]]))</f>
        <v>746</v>
      </c>
      <c r="F1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DECRETOS_PARAMETROS_MANTENCION_CASOS_FMS_ASIENTOS_CONTABLES</v>
      </c>
      <c r="G11" s="2" t="str">
        <f>CLEAN(PROPER(Tabla_Decretos[[#This Row],[Nombre Opción]]))</f>
        <v>Mantencion Casos F.M.S. Asientos Contables</v>
      </c>
      <c r="H11" s="2" t="s">
        <v>1735</v>
      </c>
      <c r="I11" s="2" t="str">
        <f>_xlfn.XLOOKUP(Tabla_Decretos[[#This Row],[id_padre]],Tabla_Decretos[Id],Tabla_Decretos[Codigo_Tecnico],"",0,1)</f>
        <v>DECRETOS_PARAMETROS</v>
      </c>
      <c r="J1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/decretos/parametros/mantencion-casos-fms-asientos-contables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mantencion-casos-fms-asientos-contables</v>
      </c>
      <c r="L11" s="2" t="s">
        <v>1367</v>
      </c>
      <c r="M11" t="s">
        <v>1799</v>
      </c>
      <c r="N11" s="4" t="s">
        <v>360</v>
      </c>
      <c r="P11" s="4"/>
      <c r="Q11" s="4" t="s">
        <v>360</v>
      </c>
      <c r="R11" s="4" t="s">
        <v>360</v>
      </c>
      <c r="S11" s="4" t="s">
        <v>360</v>
      </c>
      <c r="W11" s="4" t="s">
        <v>360</v>
      </c>
      <c r="X11" s="4" t="s">
        <v>360</v>
      </c>
      <c r="AB11" s="5"/>
      <c r="AC11" s="5"/>
      <c r="AD11" s="5"/>
      <c r="AE11" s="5"/>
      <c r="AF11" s="5"/>
      <c r="AG11" s="5"/>
      <c r="AH11" s="4" t="s">
        <v>360</v>
      </c>
      <c r="AI11" s="2" t="str">
        <f>IF(Tabla_Decretos[[#This Row],[id_padre]]=Tabla_Decretos[[#This Row],[Id]],"NOK","OK")</f>
        <v>OK</v>
      </c>
      <c r="AJ11" s="2"/>
      <c r="AK11" s="2"/>
      <c r="AL11" s="2"/>
      <c r="AM11" s="2"/>
      <c r="AN11" s="2"/>
    </row>
    <row r="12" spans="1:40" x14ac:dyDescent="0.5">
      <c r="A12" s="2">
        <f>MAX(Tabla_Compras[Id])</f>
        <v>736</v>
      </c>
      <c r="B12" s="2">
        <v>738</v>
      </c>
      <c r="C12" s="5">
        <f>IF(Tabla_Decretos[[#This Row],[id_padre]]="",0,_xlfn.XLOOKUP(Tabla_Decretos[[#This Row],[id_padre]],Tabla_Decretos[Id],Tabla_Decretos[Nivel],0,0,1)+1)</f>
        <v>2</v>
      </c>
      <c r="D12" s="2" t="s">
        <v>647</v>
      </c>
      <c r="E12" s="2">
        <f>IF(Tabla_Decretos[[#This Row],[Id_anterior]]=1,ROW()-1,SUM(ROW()-1,Tabla_Decretos[[#This Row],[Id_anterior]]))</f>
        <v>747</v>
      </c>
      <c r="F1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DECRETOS_PARAMETROS_MANTENCION_ANTICIPOS_PROVEEDORES_BANCO</v>
      </c>
      <c r="G12" s="2" t="str">
        <f>CLEAN(PROPER(Tabla_Decretos[[#This Row],[Nombre Opción]]))</f>
        <v>Mantencion Anticipos A Proveedores / Banco</v>
      </c>
      <c r="H12" s="2" t="s">
        <v>1735</v>
      </c>
      <c r="I12" s="2" t="str">
        <f>_xlfn.XLOOKUP(Tabla_Decretos[[#This Row],[id_padre]],Tabla_Decretos[Id],Tabla_Decretos[Codigo_Tecnico],"",0,1)</f>
        <v>DECRETOS_PARAMETROS</v>
      </c>
      <c r="J1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/decretos/parametros/mantencion-anticipos-proveedores-banco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mantencion-anticipos-proveedores-banco</v>
      </c>
      <c r="L12" s="2" t="s">
        <v>1395</v>
      </c>
      <c r="M12" t="s">
        <v>1799</v>
      </c>
      <c r="N12" s="4" t="s">
        <v>360</v>
      </c>
      <c r="P12" s="4"/>
      <c r="Q12" s="4" t="s">
        <v>360</v>
      </c>
      <c r="R12" s="4" t="s">
        <v>360</v>
      </c>
      <c r="S12" s="4" t="s">
        <v>360</v>
      </c>
      <c r="W12" s="4" t="s">
        <v>360</v>
      </c>
      <c r="X12" s="4" t="s">
        <v>360</v>
      </c>
      <c r="AB12" s="5"/>
      <c r="AC12" s="5"/>
      <c r="AD12" s="5"/>
      <c r="AE12" s="5"/>
      <c r="AF12" s="5"/>
      <c r="AG12" s="5"/>
      <c r="AH12" s="4" t="s">
        <v>360</v>
      </c>
      <c r="AI12" s="2" t="str">
        <f>IF(Tabla_Decretos[[#This Row],[id_padre]]=Tabla_Decretos[[#This Row],[Id]],"NOK","OK")</f>
        <v>OK</v>
      </c>
      <c r="AJ12" s="2"/>
      <c r="AK12" s="2"/>
      <c r="AL12" s="2"/>
      <c r="AM12" s="2"/>
      <c r="AN12" s="2"/>
    </row>
    <row r="13" spans="1:40" x14ac:dyDescent="0.5">
      <c r="A13" s="2">
        <f>MAX(Tabla_Compras[Id])</f>
        <v>736</v>
      </c>
      <c r="B13" s="2">
        <v>738</v>
      </c>
      <c r="C13" s="5">
        <f>IF(Tabla_Decretos[[#This Row],[id_padre]]="",0,_xlfn.XLOOKUP(Tabla_Decretos[[#This Row],[id_padre]],Tabla_Decretos[Id],Tabla_Decretos[Nivel],0,0,1)+1)</f>
        <v>2</v>
      </c>
      <c r="D13" s="2" t="s">
        <v>648</v>
      </c>
      <c r="E13" s="2">
        <f>IF(Tabla_Decretos[[#This Row],[Id_anterior]]=1,ROW()-1,SUM(ROW()-1,Tabla_Decretos[[#This Row],[Id_anterior]]))</f>
        <v>748</v>
      </c>
      <c r="F1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DECRETOS_PARAMETROS_MANTENCION_COLOCACIONES_POR_DECRETO</v>
      </c>
      <c r="G13" s="2" t="str">
        <f>CLEAN(PROPER(Tabla_Decretos[[#This Row],[Nombre Opción]]))</f>
        <v>Mantencion Colocaciones Por Decreto</v>
      </c>
      <c r="H13" s="2" t="s">
        <v>1735</v>
      </c>
      <c r="I13" s="2" t="str">
        <f>_xlfn.XLOOKUP(Tabla_Decretos[[#This Row],[id_padre]],Tabla_Decretos[Id],Tabla_Decretos[Codigo_Tecnico],"",0,1)</f>
        <v>DECRETOS_PARAMETROS</v>
      </c>
      <c r="J1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/decretos/parametros/mantencion-colocaciones-por-decreto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mantencion-colocaciones-por-decreto</v>
      </c>
      <c r="L13" s="2" t="s">
        <v>1413</v>
      </c>
      <c r="M13" t="s">
        <v>1799</v>
      </c>
      <c r="N13" s="4" t="s">
        <v>360</v>
      </c>
      <c r="P13" s="4"/>
      <c r="Q13" s="4" t="s">
        <v>360</v>
      </c>
      <c r="R13" s="4" t="s">
        <v>360</v>
      </c>
      <c r="S13" s="4" t="s">
        <v>360</v>
      </c>
      <c r="W13" s="4" t="s">
        <v>360</v>
      </c>
      <c r="X13" s="4" t="s">
        <v>360</v>
      </c>
      <c r="AB13" s="5"/>
      <c r="AC13" s="5"/>
      <c r="AD13" s="5"/>
      <c r="AE13" s="5"/>
      <c r="AF13" s="5"/>
      <c r="AG13" s="5"/>
      <c r="AH13" s="4" t="s">
        <v>360</v>
      </c>
      <c r="AI13" s="2" t="str">
        <f>IF(Tabla_Decretos[[#This Row],[id_padre]]=Tabla_Decretos[[#This Row],[Id]],"NOK","OK")</f>
        <v>OK</v>
      </c>
      <c r="AJ13" s="2"/>
      <c r="AK13" s="2"/>
      <c r="AL13" s="2"/>
      <c r="AM13" s="2"/>
      <c r="AN13" s="2"/>
    </row>
    <row r="14" spans="1:40" x14ac:dyDescent="0.5">
      <c r="A14" s="2">
        <f>MAX(Tabla_Compras[Id])</f>
        <v>736</v>
      </c>
      <c r="B14" s="2">
        <v>738</v>
      </c>
      <c r="C14" s="5">
        <f>IF(Tabla_Decretos[[#This Row],[id_padre]]="",0,_xlfn.XLOOKUP(Tabla_Decretos[[#This Row],[id_padre]],Tabla_Decretos[Id],Tabla_Decretos[Nivel],0,0,1)+1)</f>
        <v>2</v>
      </c>
      <c r="D14" s="2" t="s">
        <v>649</v>
      </c>
      <c r="E14" s="2">
        <f>IF(Tabla_Decretos[[#This Row],[Id_anterior]]=1,ROW()-1,SUM(ROW()-1,Tabla_Decretos[[#This Row],[Id_anterior]]))</f>
        <v>749</v>
      </c>
      <c r="F1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DECRETOS_PARAMETROS_MANTENCION_COLOCACIONES_POR_FOLIO</v>
      </c>
      <c r="G14" s="2" t="str">
        <f>CLEAN(PROPER(Tabla_Decretos[[#This Row],[Nombre Opción]]))</f>
        <v>Mantencion Colocaciones Por Folio</v>
      </c>
      <c r="H14" s="2" t="s">
        <v>1735</v>
      </c>
      <c r="I14" s="2" t="str">
        <f>_xlfn.XLOOKUP(Tabla_Decretos[[#This Row],[id_padre]],Tabla_Decretos[Id],Tabla_Decretos[Codigo_Tecnico],"",0,1)</f>
        <v>DECRETOS_PARAMETROS</v>
      </c>
      <c r="J1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/decretos/parametros/mantencion-colocaciones-por-folio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mantencion-colocaciones-por-folio</v>
      </c>
      <c r="L14" s="2" t="s">
        <v>1406</v>
      </c>
      <c r="M14" t="s">
        <v>1799</v>
      </c>
      <c r="N14" s="4" t="s">
        <v>360</v>
      </c>
      <c r="P14" s="4"/>
      <c r="Q14" s="4" t="s">
        <v>360</v>
      </c>
      <c r="R14" s="4" t="s">
        <v>360</v>
      </c>
      <c r="S14" s="4" t="s">
        <v>360</v>
      </c>
      <c r="W14" s="4" t="s">
        <v>360</v>
      </c>
      <c r="X14" s="4" t="s">
        <v>360</v>
      </c>
      <c r="AB14" s="5"/>
      <c r="AC14" s="5"/>
      <c r="AD14" s="5"/>
      <c r="AE14" s="5"/>
      <c r="AF14" s="5"/>
      <c r="AG14" s="5"/>
      <c r="AH14" s="4" t="s">
        <v>360</v>
      </c>
      <c r="AI14" s="2" t="str">
        <f>IF(Tabla_Decretos[[#This Row],[id_padre]]=Tabla_Decretos[[#This Row],[Id]],"NOK","OK")</f>
        <v>OK</v>
      </c>
      <c r="AJ14" s="2"/>
      <c r="AK14" s="2"/>
      <c r="AL14" s="2"/>
      <c r="AM14" s="2"/>
      <c r="AN14" s="2"/>
    </row>
    <row r="15" spans="1:40" x14ac:dyDescent="0.5">
      <c r="A15" s="2">
        <f>MAX(Tabla_Compras[Id])</f>
        <v>736</v>
      </c>
      <c r="B15" s="2">
        <v>738</v>
      </c>
      <c r="C15" s="5">
        <f>IF(Tabla_Decretos[[#This Row],[id_padre]]="",0,_xlfn.XLOOKUP(Tabla_Decretos[[#This Row],[id_padre]],Tabla_Decretos[Id],Tabla_Decretos[Nivel],0,0,1)+1)</f>
        <v>2</v>
      </c>
      <c r="D15" s="2" t="s">
        <v>650</v>
      </c>
      <c r="E15" s="2">
        <f>IF(Tabla_Decretos[[#This Row],[Id_anterior]]=1,ROW()-1,SUM(ROW()-1,Tabla_Decretos[[#This Row],[Id_anterior]]))</f>
        <v>750</v>
      </c>
      <c r="F1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DECRETOS_PARAMETROS_PIES_FIRMA_CARATULAS</v>
      </c>
      <c r="G15" s="2" t="str">
        <f>CLEAN(PROPER(Tabla_Decretos[[#This Row],[Nombre Opción]]))</f>
        <v>Pies De Firma Caratulas</v>
      </c>
      <c r="H15" s="2" t="s">
        <v>1735</v>
      </c>
      <c r="I15" s="2" t="str">
        <f>_xlfn.XLOOKUP(Tabla_Decretos[[#This Row],[id_padre]],Tabla_Decretos[Id],Tabla_Decretos[Codigo_Tecnico],"",0,1)</f>
        <v>DECRETOS_PARAMETROS</v>
      </c>
      <c r="J1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/decretos/parametros/pies-firma-caratulas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pies-firma-caratulas</v>
      </c>
      <c r="L15" s="2" t="s">
        <v>1471</v>
      </c>
      <c r="M15" t="s">
        <v>1799</v>
      </c>
      <c r="N15" s="4" t="s">
        <v>360</v>
      </c>
      <c r="O15" s="4" t="s">
        <v>360</v>
      </c>
      <c r="P15" s="4"/>
      <c r="Q15" s="4" t="s">
        <v>360</v>
      </c>
      <c r="R15" s="4" t="s">
        <v>360</v>
      </c>
      <c r="S15" s="4"/>
      <c r="AB15" s="5"/>
      <c r="AC15" s="5"/>
      <c r="AD15" s="5"/>
      <c r="AE15" s="5"/>
      <c r="AF15" s="5"/>
      <c r="AG15" s="5"/>
      <c r="AH15" s="4" t="s">
        <v>360</v>
      </c>
      <c r="AI15" s="2" t="str">
        <f>IF(Tabla_Decretos[[#This Row],[id_padre]]=Tabla_Decretos[[#This Row],[Id]],"NOK","OK")</f>
        <v>OK</v>
      </c>
      <c r="AJ15" s="2"/>
      <c r="AK15" s="2"/>
      <c r="AL15" s="2"/>
      <c r="AM15" s="2"/>
      <c r="AN15" s="2"/>
    </row>
    <row r="16" spans="1:40" x14ac:dyDescent="0.5">
      <c r="A16" s="2">
        <f>MAX(Tabla_Compras[Id])</f>
        <v>736</v>
      </c>
      <c r="B16" s="2">
        <v>738</v>
      </c>
      <c r="C16" s="5">
        <f>IF(Tabla_Decretos[[#This Row],[id_padre]]="",0,_xlfn.XLOOKUP(Tabla_Decretos[[#This Row],[id_padre]],Tabla_Decretos[Id],Tabla_Decretos[Nivel],0,0,1)+1)</f>
        <v>2</v>
      </c>
      <c r="D16" s="2" t="s">
        <v>651</v>
      </c>
      <c r="E16" s="2">
        <f>IF(Tabla_Decretos[[#This Row],[Id_anterior]]=1,ROW()-1,SUM(ROW()-1,Tabla_Decretos[[#This Row],[Id_anterior]]))</f>
        <v>751</v>
      </c>
      <c r="F1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DECRETOS_PARAMETROS_TIPOS_GASTOS</v>
      </c>
      <c r="G16" s="2" t="str">
        <f>CLEAN(PROPER(Tabla_Decretos[[#This Row],[Nombre Opción]]))</f>
        <v>Tipos De Gastos</v>
      </c>
      <c r="H16" s="2" t="s">
        <v>1735</v>
      </c>
      <c r="I16" s="2" t="str">
        <f>_xlfn.XLOOKUP(Tabla_Decretos[[#This Row],[id_padre]],Tabla_Decretos[Id],Tabla_Decretos[Codigo_Tecnico],"",0,1)</f>
        <v>DECRETOS_PARAMETROS</v>
      </c>
      <c r="J1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/decretos/parametros/tipos-gastos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tipos-gastos</v>
      </c>
      <c r="L16" s="2" t="s">
        <v>1407</v>
      </c>
      <c r="M16" t="s">
        <v>1799</v>
      </c>
      <c r="N16" s="4" t="s">
        <v>360</v>
      </c>
      <c r="P16" s="4"/>
      <c r="Q16" s="4" t="s">
        <v>360</v>
      </c>
      <c r="R16" s="4" t="s">
        <v>360</v>
      </c>
      <c r="S16" s="4"/>
      <c r="AB16" s="5"/>
      <c r="AC16" s="5"/>
      <c r="AD16" s="5"/>
      <c r="AE16" s="5"/>
      <c r="AF16" s="5"/>
      <c r="AG16" s="5"/>
      <c r="AH16" s="4" t="s">
        <v>360</v>
      </c>
      <c r="AI16" s="2" t="str">
        <f>IF(Tabla_Decretos[[#This Row],[id_padre]]=Tabla_Decretos[[#This Row],[Id]],"NOK","OK")</f>
        <v>OK</v>
      </c>
      <c r="AJ16" s="2"/>
      <c r="AK16" s="2"/>
      <c r="AL16" s="2"/>
      <c r="AM16" s="2"/>
      <c r="AN16" s="2"/>
    </row>
    <row r="17" spans="1:40" x14ac:dyDescent="0.5">
      <c r="A17" s="2">
        <f>MAX(Tabla_Compras[Id])</f>
        <v>736</v>
      </c>
      <c r="B17" s="2">
        <v>738</v>
      </c>
      <c r="C17" s="5">
        <f>IF(Tabla_Decretos[[#This Row],[id_padre]]="",0,_xlfn.XLOOKUP(Tabla_Decretos[[#This Row],[id_padre]],Tabla_Decretos[Id],Tabla_Decretos[Nivel],0,0,1)+1)</f>
        <v>2</v>
      </c>
      <c r="D17" s="2" t="s">
        <v>652</v>
      </c>
      <c r="E17" s="2">
        <f>IF(Tabla_Decretos[[#This Row],[Id_anterior]]=1,ROW()-1,SUM(ROW()-1,Tabla_Decretos[[#This Row],[Id_anterior]]))</f>
        <v>752</v>
      </c>
      <c r="F1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DECRETOS_PARAMETROS_TIPOS_AGENCIAS_IMPLEMENTACION</v>
      </c>
      <c r="G17" s="2" t="str">
        <f>CLEAN(PROPER(Tabla_Decretos[[#This Row],[Nombre Opción]]))</f>
        <v>Tipos De Agencias De Implementacion</v>
      </c>
      <c r="H17" s="2" t="s">
        <v>1735</v>
      </c>
      <c r="I17" s="2" t="str">
        <f>_xlfn.XLOOKUP(Tabla_Decretos[[#This Row],[id_padre]],Tabla_Decretos[Id],Tabla_Decretos[Codigo_Tecnico],"",0,1)</f>
        <v>DECRETOS_PARAMETROS</v>
      </c>
      <c r="J1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/decretos/parametros/tipos-agencias-implementacion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tipos-agencias-implementacion</v>
      </c>
      <c r="L17" s="2" t="s">
        <v>1401</v>
      </c>
      <c r="M17" t="s">
        <v>1799</v>
      </c>
      <c r="P17" s="4"/>
      <c r="R17" s="4"/>
      <c r="S17" s="4" t="s">
        <v>360</v>
      </c>
      <c r="W17" s="4" t="s">
        <v>360</v>
      </c>
      <c r="AB17" s="5"/>
      <c r="AC17" s="5"/>
      <c r="AD17" s="5"/>
      <c r="AE17" s="5"/>
      <c r="AF17" s="5"/>
      <c r="AG17" s="5"/>
      <c r="AH17" s="4" t="s">
        <v>360</v>
      </c>
      <c r="AI17" s="2" t="str">
        <f>IF(Tabla_Decretos[[#This Row],[id_padre]]=Tabla_Decretos[[#This Row],[Id]],"NOK","OK")</f>
        <v>OK</v>
      </c>
      <c r="AJ17" s="2"/>
      <c r="AK17" s="2"/>
      <c r="AL17" s="2"/>
      <c r="AM17" s="2"/>
      <c r="AN17" s="2"/>
    </row>
    <row r="18" spans="1:40" x14ac:dyDescent="0.5">
      <c r="A18" s="2">
        <f>MAX(Tabla_Compras[Id])</f>
        <v>736</v>
      </c>
      <c r="B18" s="2">
        <v>738</v>
      </c>
      <c r="C18" s="5">
        <f>IF(Tabla_Decretos[[#This Row],[id_padre]]="",0,_xlfn.XLOOKUP(Tabla_Decretos[[#This Row],[id_padre]],Tabla_Decretos[Id],Tabla_Decretos[Nivel],0,0,1)+1)</f>
        <v>2</v>
      </c>
      <c r="D18" s="2" t="s">
        <v>653</v>
      </c>
      <c r="E18" s="2">
        <f>IF(Tabla_Decretos[[#This Row],[Id_anterior]]=1,ROW()-1,SUM(ROW()-1,Tabla_Decretos[[#This Row],[Id_anterior]]))</f>
        <v>753</v>
      </c>
      <c r="F1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DECRETOS_PARAMETROS_TIPOS_CONTRATOS</v>
      </c>
      <c r="G18" s="2" t="str">
        <f>CLEAN(PROPER(Tabla_Decretos[[#This Row],[Nombre Opción]]))</f>
        <v>Tipos De Contratos</v>
      </c>
      <c r="H18" s="2" t="s">
        <v>1735</v>
      </c>
      <c r="I18" s="2" t="str">
        <f>_xlfn.XLOOKUP(Tabla_Decretos[[#This Row],[id_padre]],Tabla_Decretos[Id],Tabla_Decretos[Codigo_Tecnico],"",0,1)</f>
        <v>DECRETOS_PARAMETROS</v>
      </c>
      <c r="J1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/decretos/parametros/tipos-contratos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tipos-contratos</v>
      </c>
      <c r="L18" s="2" t="s">
        <v>1343</v>
      </c>
      <c r="M18" t="s">
        <v>1799</v>
      </c>
      <c r="P18" s="4"/>
      <c r="R18" s="4"/>
      <c r="S18" s="4" t="s">
        <v>360</v>
      </c>
      <c r="W18" s="4" t="s">
        <v>360</v>
      </c>
      <c r="Z18" s="4" t="s">
        <v>360</v>
      </c>
      <c r="AB18" s="5"/>
      <c r="AC18" s="5"/>
      <c r="AD18" s="5"/>
      <c r="AE18" s="5"/>
      <c r="AF18" s="5"/>
      <c r="AG18" s="5"/>
      <c r="AH18" s="4" t="s">
        <v>360</v>
      </c>
      <c r="AI18" s="2" t="str">
        <f>IF(Tabla_Decretos[[#This Row],[id_padre]]=Tabla_Decretos[[#This Row],[Id]],"NOK","OK")</f>
        <v>OK</v>
      </c>
      <c r="AJ18" s="2"/>
      <c r="AK18" s="2"/>
      <c r="AL18" s="2"/>
      <c r="AM18" s="2"/>
      <c r="AN18" s="2"/>
    </row>
    <row r="19" spans="1:40" x14ac:dyDescent="0.5">
      <c r="A19" s="2">
        <f>MAX(Tabla_Compras[Id])</f>
        <v>736</v>
      </c>
      <c r="B19" s="2">
        <v>738</v>
      </c>
      <c r="C19" s="5">
        <f>IF(Tabla_Decretos[[#This Row],[id_padre]]="",0,_xlfn.XLOOKUP(Tabla_Decretos[[#This Row],[id_padre]],Tabla_Decretos[Id],Tabla_Decretos[Nivel],0,0,1)+1)</f>
        <v>2</v>
      </c>
      <c r="D19" s="2" t="s">
        <v>654</v>
      </c>
      <c r="E19" s="2">
        <f>IF(Tabla_Decretos[[#This Row],[Id_anterior]]=1,ROW()-1,SUM(ROW()-1,Tabla_Decretos[[#This Row],[Id_anterior]]))</f>
        <v>754</v>
      </c>
      <c r="F1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DECRETOS_PARAMETROS_TIPOS_ADQUISICIONES</v>
      </c>
      <c r="G19" s="2" t="str">
        <f>CLEAN(PROPER(Tabla_Decretos[[#This Row],[Nombre Opción]]))</f>
        <v>Tipos De Adquisiciones</v>
      </c>
      <c r="H19" s="2" t="s">
        <v>1735</v>
      </c>
      <c r="I19" s="2" t="str">
        <f>_xlfn.XLOOKUP(Tabla_Decretos[[#This Row],[id_padre]],Tabla_Decretos[Id],Tabla_Decretos[Codigo_Tecnico],"",0,1)</f>
        <v>DECRETOS_PARAMETROS</v>
      </c>
      <c r="J1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/decretos/parametros/tipos-adquisiciones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tipos-adquisiciones</v>
      </c>
      <c r="L19" s="2" t="s">
        <v>1446</v>
      </c>
      <c r="M19" t="s">
        <v>1799</v>
      </c>
      <c r="P19" s="4"/>
      <c r="R19" s="4"/>
      <c r="S19" s="4"/>
      <c r="AB19" s="5" t="s">
        <v>360</v>
      </c>
      <c r="AC19" s="5"/>
      <c r="AD19" s="5"/>
      <c r="AE19" s="5" t="s">
        <v>360</v>
      </c>
      <c r="AF19" s="5" t="s">
        <v>360</v>
      </c>
      <c r="AG19" s="5"/>
      <c r="AH19" s="4" t="s">
        <v>360</v>
      </c>
      <c r="AI19" s="2" t="str">
        <f>IF(Tabla_Decretos[[#This Row],[id_padre]]=Tabla_Decretos[[#This Row],[Id]],"NOK","OK")</f>
        <v>OK</v>
      </c>
      <c r="AJ19" s="2"/>
      <c r="AK19" s="2"/>
      <c r="AL19" s="2"/>
      <c r="AM19" s="2"/>
      <c r="AN19" s="2"/>
    </row>
    <row r="20" spans="1:40" x14ac:dyDescent="0.5">
      <c r="A20" s="2">
        <f>MAX(Tabla_Compras[Id])</f>
        <v>736</v>
      </c>
      <c r="B20" s="2">
        <v>738</v>
      </c>
      <c r="C20" s="5">
        <f>IF(Tabla_Decretos[[#This Row],[id_padre]]="",0,_xlfn.XLOOKUP(Tabla_Decretos[[#This Row],[id_padre]],Tabla_Decretos[Id],Tabla_Decretos[Nivel],0,0,1)+1)</f>
        <v>2</v>
      </c>
      <c r="D20" s="2" t="s">
        <v>655</v>
      </c>
      <c r="E20" s="2">
        <f>IF(Tabla_Decretos[[#This Row],[Id_anterior]]=1,ROW()-1,SUM(ROW()-1,Tabla_Decretos[[#This Row],[Id_anterior]]))</f>
        <v>755</v>
      </c>
      <c r="F2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DECRETOS_PARAMETROS_TIPOS_CASOS_FMS</v>
      </c>
      <c r="G20" s="2" t="str">
        <f>CLEAN(PROPER(Tabla_Decretos[[#This Row],[Nombre Opción]]))</f>
        <v>Tipos De Casos F.M.S</v>
      </c>
      <c r="H20" s="2" t="s">
        <v>1735</v>
      </c>
      <c r="I20" s="2" t="str">
        <f>_xlfn.XLOOKUP(Tabla_Decretos[[#This Row],[id_padre]],Tabla_Decretos[Id],Tabla_Decretos[Codigo_Tecnico],"",0,1)</f>
        <v>DECRETOS_PARAMETROS</v>
      </c>
      <c r="J2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/decretos/parametros/tipos-casos-fms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tipos-casos-fms</v>
      </c>
      <c r="L20" s="2" t="s">
        <v>1550</v>
      </c>
      <c r="M20" t="s">
        <v>1799</v>
      </c>
      <c r="P20" s="4"/>
      <c r="R20" s="4"/>
      <c r="S20" s="4" t="s">
        <v>360</v>
      </c>
      <c r="W20" s="4" t="s">
        <v>360</v>
      </c>
      <c r="Z20" s="4" t="s">
        <v>360</v>
      </c>
      <c r="AB20" s="5"/>
      <c r="AC20" s="5"/>
      <c r="AD20" s="5"/>
      <c r="AE20" s="5"/>
      <c r="AF20" s="5"/>
      <c r="AG20" s="5"/>
      <c r="AH20" s="4" t="s">
        <v>360</v>
      </c>
      <c r="AI20" s="2" t="str">
        <f>IF(Tabla_Decretos[[#This Row],[id_padre]]=Tabla_Decretos[[#This Row],[Id]],"NOK","OK")</f>
        <v>OK</v>
      </c>
      <c r="AJ20" s="2"/>
      <c r="AK20" s="2"/>
      <c r="AL20" s="2"/>
      <c r="AM20" s="2"/>
      <c r="AN20" s="2"/>
    </row>
    <row r="21" spans="1:40" x14ac:dyDescent="0.5">
      <c r="A21" s="2">
        <f>MAX(Tabla_Compras[Id])</f>
        <v>736</v>
      </c>
      <c r="B21" s="2">
        <v>738</v>
      </c>
      <c r="C21" s="5">
        <f>IF(Tabla_Decretos[[#This Row],[id_padre]]="",0,_xlfn.XLOOKUP(Tabla_Decretos[[#This Row],[id_padre]],Tabla_Decretos[Id],Tabla_Decretos[Nivel],0,0,1)+1)</f>
        <v>2</v>
      </c>
      <c r="D21" s="2" t="s">
        <v>1547</v>
      </c>
      <c r="E21" s="2">
        <f>IF(Tabla_Decretos[[#This Row],[Id_anterior]]=1,ROW()-1,SUM(ROW()-1,Tabla_Decretos[[#This Row],[Id_anterior]]))</f>
        <v>756</v>
      </c>
      <c r="F2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DECRETOS_PARAMETROS_TIPOS_SIGLAS_FMS</v>
      </c>
      <c r="G21" s="2" t="str">
        <f>CLEAN(PROPER(Tabla_Decretos[[#This Row],[Nombre Opción]]))</f>
        <v>Tipos De Siglas F.M.S.</v>
      </c>
      <c r="H21" s="2" t="s">
        <v>1735</v>
      </c>
      <c r="I21" s="2" t="str">
        <f>_xlfn.XLOOKUP(Tabla_Decretos[[#This Row],[id_padre]],Tabla_Decretos[Id],Tabla_Decretos[Codigo_Tecnico],"",0,1)</f>
        <v>DECRETOS_PARAMETROS</v>
      </c>
      <c r="J2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/decretos/parametros/tipos-siglas-fms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tipos-siglas-fms</v>
      </c>
      <c r="L21" s="2" t="s">
        <v>1377</v>
      </c>
      <c r="M21" t="s">
        <v>1799</v>
      </c>
      <c r="P21" s="4"/>
      <c r="R21" s="4"/>
      <c r="S21" s="4" t="s">
        <v>360</v>
      </c>
      <c r="W21" s="4" t="s">
        <v>360</v>
      </c>
      <c r="Z21" s="4" t="s">
        <v>360</v>
      </c>
      <c r="AB21" s="5"/>
      <c r="AC21" s="5"/>
      <c r="AD21" s="5"/>
      <c r="AE21" s="5"/>
      <c r="AF21" s="5"/>
      <c r="AG21" s="5"/>
      <c r="AH21" s="4" t="s">
        <v>360</v>
      </c>
      <c r="AI21" s="2" t="str">
        <f>IF(Tabla_Decretos[[#This Row],[id_padre]]=Tabla_Decretos[[#This Row],[Id]],"NOK","OK")</f>
        <v>OK</v>
      </c>
      <c r="AJ21" s="2"/>
      <c r="AK21" s="2"/>
      <c r="AL21" s="2"/>
      <c r="AM21" s="2"/>
      <c r="AN21" s="2"/>
    </row>
    <row r="22" spans="1:40" x14ac:dyDescent="0.5">
      <c r="A22" s="2">
        <f>MAX(Tabla_Compras[Id])</f>
        <v>736</v>
      </c>
      <c r="B22" s="2">
        <v>738</v>
      </c>
      <c r="C22" s="5">
        <f>IF(Tabla_Decretos[[#This Row],[id_padre]]="",0,_xlfn.XLOOKUP(Tabla_Decretos[[#This Row],[id_padre]],Tabla_Decretos[Id],Tabla_Decretos[Nivel],0,0,1)+1)</f>
        <v>2</v>
      </c>
      <c r="D22" s="2" t="s">
        <v>656</v>
      </c>
      <c r="E22" s="2">
        <f>IF(Tabla_Decretos[[#This Row],[Id_anterior]]=1,ROW()-1,SUM(ROW()-1,Tabla_Decretos[[#This Row],[Id_anterior]]))</f>
        <v>757</v>
      </c>
      <c r="F2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DECRETOS_PARAMETROS_TIPOS_AMBITO_ACCION</v>
      </c>
      <c r="G22" s="2" t="str">
        <f>CLEAN(PROPER(Tabla_Decretos[[#This Row],[Nombre Opción]]))</f>
        <v>Tipos De Ambito De Accion</v>
      </c>
      <c r="H22" s="2" t="s">
        <v>1735</v>
      </c>
      <c r="I22" s="2" t="str">
        <f>_xlfn.XLOOKUP(Tabla_Decretos[[#This Row],[id_padre]],Tabla_Decretos[Id],Tabla_Decretos[Codigo_Tecnico],"",0,1)</f>
        <v>DECRETOS_PARAMETROS</v>
      </c>
      <c r="J2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/decretos/parametros/tipos-ambito-accion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tipos-ambito-accion</v>
      </c>
      <c r="L22" s="2" t="s">
        <v>1551</v>
      </c>
      <c r="M22" t="s">
        <v>1799</v>
      </c>
      <c r="P22" s="4"/>
      <c r="R22" s="4"/>
      <c r="S22" s="4"/>
      <c r="AB22" s="5" t="s">
        <v>360</v>
      </c>
      <c r="AC22" s="5"/>
      <c r="AD22" s="5"/>
      <c r="AE22" s="5"/>
      <c r="AF22" s="5" t="s">
        <v>360</v>
      </c>
      <c r="AG22" s="5"/>
      <c r="AH22" s="4" t="s">
        <v>360</v>
      </c>
      <c r="AI22" s="2" t="str">
        <f>IF(Tabla_Decretos[[#This Row],[id_padre]]=Tabla_Decretos[[#This Row],[Id]],"NOK","OK")</f>
        <v>OK</v>
      </c>
      <c r="AJ22" s="2"/>
      <c r="AK22" s="2"/>
      <c r="AL22" s="2"/>
      <c r="AM22" s="2"/>
      <c r="AN22" s="2"/>
    </row>
    <row r="23" spans="1:40" x14ac:dyDescent="0.5">
      <c r="A23" s="2">
        <f>MAX(Tabla_Compras[Id])</f>
        <v>736</v>
      </c>
      <c r="B23" s="2">
        <v>757</v>
      </c>
      <c r="C23" s="5">
        <f>IF(Tabla_Decretos[[#This Row],[id_padre]]="",0,_xlfn.XLOOKUP(Tabla_Decretos[[#This Row],[id_padre]],Tabla_Decretos[Id],Tabla_Decretos[Nivel],0,0,1)+1)</f>
        <v>3</v>
      </c>
      <c r="D23" s="2" t="s">
        <v>657</v>
      </c>
      <c r="E23" s="2">
        <f>IF(Tabla_Decretos[[#This Row],[Id_anterior]]=1,ROW()-1,SUM(ROW()-1,Tabla_Decretos[[#This Row],[Id_anterior]]))</f>
        <v>758</v>
      </c>
      <c r="F2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DECRETOS_PARAMETROS_TIPOS_AMBITO_ACCION_TIPOS_SECTORES</v>
      </c>
      <c r="G23" s="2" t="str">
        <f>CLEAN(PROPER(Tabla_Decretos[[#This Row],[Nombre Opción]]))</f>
        <v>Tipos De Sectores</v>
      </c>
      <c r="H23" s="2" t="s">
        <v>1735</v>
      </c>
      <c r="I23" s="2" t="str">
        <f>_xlfn.XLOOKUP(Tabla_Decretos[[#This Row],[id_padre]],Tabla_Decretos[Id],Tabla_Decretos[Codigo_Tecnico],"",0,1)</f>
        <v>DECRETOS_PARAMETROS_TIPOS_AMBITO_ACCION</v>
      </c>
      <c r="J2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/decretos/parametros/tipos-ambito-accion/tipos-sectores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tipos-sectores</v>
      </c>
      <c r="L23" s="2" t="s">
        <v>1552</v>
      </c>
      <c r="M23" t="s">
        <v>1799</v>
      </c>
      <c r="P23" s="4"/>
      <c r="R23" s="4"/>
      <c r="S23" s="4"/>
      <c r="AB23" s="5" t="s">
        <v>360</v>
      </c>
      <c r="AC23" s="5"/>
      <c r="AD23" s="5"/>
      <c r="AE23" s="5"/>
      <c r="AF23" s="5" t="s">
        <v>360</v>
      </c>
      <c r="AG23" s="5"/>
      <c r="AH23" s="4" t="s">
        <v>360</v>
      </c>
      <c r="AI23" s="2" t="str">
        <f>IF(Tabla_Decretos[[#This Row],[id_padre]]=Tabla_Decretos[[#This Row],[Id]],"NOK","OK")</f>
        <v>OK</v>
      </c>
      <c r="AJ23" s="2"/>
      <c r="AK23" s="2"/>
      <c r="AL23" s="2"/>
      <c r="AM23" s="2"/>
      <c r="AN23" s="2"/>
    </row>
    <row r="24" spans="1:40" x14ac:dyDescent="0.5">
      <c r="A24" s="2">
        <f>MAX(Tabla_Compras[Id])</f>
        <v>736</v>
      </c>
      <c r="B24" s="2">
        <v>757</v>
      </c>
      <c r="C24" s="5">
        <f>IF(Tabla_Decretos[[#This Row],[id_padre]]="",0,_xlfn.XLOOKUP(Tabla_Decretos[[#This Row],[id_padre]],Tabla_Decretos[Id],Tabla_Decretos[Nivel],0,0,1)+1)</f>
        <v>3</v>
      </c>
      <c r="D24" s="2" t="s">
        <v>658</v>
      </c>
      <c r="E24" s="2">
        <f>IF(Tabla_Decretos[[#This Row],[Id_anterior]]=1,ROW()-1,SUM(ROW()-1,Tabla_Decretos[[#This Row],[Id_anterior]]))</f>
        <v>759</v>
      </c>
      <c r="F2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DECRETOS_PARAMETROS_TIPOS_AMBITO_ACCION_TIPOS_SUBSECTORES</v>
      </c>
      <c r="G24" s="2" t="str">
        <f>CLEAN(PROPER(Tabla_Decretos[[#This Row],[Nombre Opción]]))</f>
        <v>Tipos De Subsectores</v>
      </c>
      <c r="H24" s="2" t="s">
        <v>1735</v>
      </c>
      <c r="I24" s="2" t="str">
        <f>_xlfn.XLOOKUP(Tabla_Decretos[[#This Row],[id_padre]],Tabla_Decretos[Id],Tabla_Decretos[Codigo_Tecnico],"",0,1)</f>
        <v>DECRETOS_PARAMETROS_TIPOS_AMBITO_ACCION</v>
      </c>
      <c r="J2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/decretos/parametros/tipos-ambito-accion/tipos-subsectores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tipos-subsectores</v>
      </c>
      <c r="L24" s="2" t="s">
        <v>1553</v>
      </c>
      <c r="M24" t="s">
        <v>1799</v>
      </c>
      <c r="P24" s="4"/>
      <c r="R24" s="4"/>
      <c r="S24" s="4"/>
      <c r="AB24" s="5" t="s">
        <v>360</v>
      </c>
      <c r="AC24" s="5"/>
      <c r="AD24" s="5"/>
      <c r="AE24" s="5"/>
      <c r="AF24" s="5" t="s">
        <v>360</v>
      </c>
      <c r="AG24" s="5"/>
      <c r="AH24" s="4" t="s">
        <v>360</v>
      </c>
      <c r="AI24" s="2" t="str">
        <f>IF(Tabla_Decretos[[#This Row],[id_padre]]=Tabla_Decretos[[#This Row],[Id]],"NOK","OK")</f>
        <v>OK</v>
      </c>
      <c r="AJ24" s="2"/>
      <c r="AK24" s="2"/>
      <c r="AL24" s="2"/>
      <c r="AM24" s="2"/>
      <c r="AN24" s="2"/>
    </row>
    <row r="25" spans="1:40" x14ac:dyDescent="0.5">
      <c r="A25" s="2">
        <f>MAX(Tabla_Compras[Id])</f>
        <v>736</v>
      </c>
      <c r="B25" s="2">
        <v>738</v>
      </c>
      <c r="C25" s="5">
        <f>IF(Tabla_Decretos[[#This Row],[id_padre]]="",0,_xlfn.XLOOKUP(Tabla_Decretos[[#This Row],[id_padre]],Tabla_Decretos[Id],Tabla_Decretos[Nivel],0,0,1)+1)</f>
        <v>2</v>
      </c>
      <c r="D25" s="2" t="s">
        <v>659</v>
      </c>
      <c r="E25" s="2">
        <f>IF(Tabla_Decretos[[#This Row],[Id_anterior]]=1,ROW()-1,SUM(ROW()-1,Tabla_Decretos[[#This Row],[Id_anterior]]))</f>
        <v>760</v>
      </c>
      <c r="F2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DECRETOS_PARAMETROS_PROYECTOS_PROGRAMAS_INTERNOS</v>
      </c>
      <c r="G25" s="2" t="str">
        <f>CLEAN(PROPER(Tabla_Decretos[[#This Row],[Nombre Opción]]))</f>
        <v>Proyectos / Programas Internos</v>
      </c>
      <c r="H25" s="2" t="s">
        <v>1735</v>
      </c>
      <c r="I25" s="2" t="str">
        <f>_xlfn.XLOOKUP(Tabla_Decretos[[#This Row],[id_padre]],Tabla_Decretos[Id],Tabla_Decretos[Codigo_Tecnico],"",0,1)</f>
        <v>DECRETOS_PARAMETROS</v>
      </c>
      <c r="J2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/decretos/parametros/proyectos-programas-internos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proyectos-programas-internos</v>
      </c>
      <c r="L25" s="2" t="s">
        <v>1338</v>
      </c>
      <c r="M25" t="s">
        <v>1799</v>
      </c>
      <c r="P25" s="4"/>
      <c r="Q25" s="4" t="s">
        <v>360</v>
      </c>
      <c r="R25" s="4" t="s">
        <v>360</v>
      </c>
      <c r="S25" s="4"/>
      <c r="AB25" s="5" t="s">
        <v>360</v>
      </c>
      <c r="AC25" s="5"/>
      <c r="AD25" s="5"/>
      <c r="AE25" s="5"/>
      <c r="AF25" s="5"/>
      <c r="AG25" s="5"/>
      <c r="AH25" s="4" t="s">
        <v>360</v>
      </c>
      <c r="AI25" s="2" t="str">
        <f>IF(Tabla_Decretos[[#This Row],[id_padre]]=Tabla_Decretos[[#This Row],[Id]],"NOK","OK")</f>
        <v>OK</v>
      </c>
      <c r="AJ25" s="2"/>
      <c r="AK25" s="2"/>
      <c r="AL25" s="2"/>
      <c r="AM25" s="2"/>
      <c r="AN25" s="2"/>
    </row>
    <row r="26" spans="1:40" x14ac:dyDescent="0.5">
      <c r="A26" s="2">
        <f>MAX(Tabla_Compras[Id])</f>
        <v>736</v>
      </c>
      <c r="B26" s="2">
        <v>738</v>
      </c>
      <c r="C26" s="5">
        <f>IF(Tabla_Decretos[[#This Row],[id_padre]]="",0,_xlfn.XLOOKUP(Tabla_Decretos[[#This Row],[id_padre]],Tabla_Decretos[Id],Tabla_Decretos[Nivel],0,0,1)+1)</f>
        <v>2</v>
      </c>
      <c r="D26" s="2" t="s">
        <v>660</v>
      </c>
      <c r="E26" s="2">
        <f>IF(Tabla_Decretos[[#This Row],[Id_anterior]]=1,ROW()-1,SUM(ROW()-1,Tabla_Decretos[[#This Row],[Id_anterior]]))</f>
        <v>761</v>
      </c>
      <c r="F2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DECRETOS_PARAMETROS_CONTRATOS_OBRAS</v>
      </c>
      <c r="G26" s="2" t="str">
        <f>CLEAN(PROPER(Tabla_Decretos[[#This Row],[Nombre Opción]]))</f>
        <v>Contratos / Obras</v>
      </c>
      <c r="H26" s="2" t="s">
        <v>1735</v>
      </c>
      <c r="I26" s="2" t="str">
        <f>_xlfn.XLOOKUP(Tabla_Decretos[[#This Row],[id_padre]],Tabla_Decretos[Id],Tabla_Decretos[Codigo_Tecnico],"",0,1)</f>
        <v>DECRETOS_PARAMETROS</v>
      </c>
      <c r="J2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/decretos/parametros/contratos-obras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contratos-obras</v>
      </c>
      <c r="L26" s="2" t="s">
        <v>1554</v>
      </c>
      <c r="M26" t="s">
        <v>1799</v>
      </c>
      <c r="P26" s="4"/>
      <c r="Q26" s="4" t="s">
        <v>360</v>
      </c>
      <c r="R26" s="4" t="s">
        <v>360</v>
      </c>
      <c r="S26" s="4"/>
      <c r="AB26" s="5" t="s">
        <v>360</v>
      </c>
      <c r="AC26" s="5"/>
      <c r="AD26" s="5"/>
      <c r="AE26" s="5"/>
      <c r="AF26" s="5"/>
      <c r="AG26" s="5"/>
      <c r="AH26" s="4" t="s">
        <v>360</v>
      </c>
      <c r="AI26" s="2" t="str">
        <f>IF(Tabla_Decretos[[#This Row],[id_padre]]=Tabla_Decretos[[#This Row],[Id]],"NOK","OK")</f>
        <v>OK</v>
      </c>
      <c r="AJ26" s="2"/>
      <c r="AK26" s="2"/>
      <c r="AL26" s="2"/>
      <c r="AM26" s="2"/>
      <c r="AN26" s="2"/>
    </row>
    <row r="27" spans="1:40" x14ac:dyDescent="0.5">
      <c r="A27" s="2">
        <f>MAX(Tabla_Compras[Id])</f>
        <v>736</v>
      </c>
      <c r="B27" s="2">
        <v>738</v>
      </c>
      <c r="C27" s="5">
        <f>IF(Tabla_Decretos[[#This Row],[id_padre]]="",0,_xlfn.XLOOKUP(Tabla_Decretos[[#This Row],[id_padre]],Tabla_Decretos[Id],Tabla_Decretos[Nivel],0,0,1)+1)</f>
        <v>2</v>
      </c>
      <c r="D27" s="2" t="s">
        <v>661</v>
      </c>
      <c r="E27" s="2">
        <f>IF(Tabla_Decretos[[#This Row],[Id_anterior]]=1,ROW()-1,SUM(ROW()-1,Tabla_Decretos[[#This Row],[Id_anterior]]))</f>
        <v>762</v>
      </c>
      <c r="F2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DECRETOS_PARAMETROS_ASOCIA_CONTRATOS/OBRAS_DECRETOS</v>
      </c>
      <c r="G27" s="2" t="str">
        <f>CLEAN(PROPER(Tabla_Decretos[[#This Row],[Nombre Opción]]))</f>
        <v>Asocia Contratos/Obras A Decretos</v>
      </c>
      <c r="H27" s="2" t="s">
        <v>1735</v>
      </c>
      <c r="I27" s="2" t="str">
        <f>_xlfn.XLOOKUP(Tabla_Decretos[[#This Row],[id_padre]],Tabla_Decretos[Id],Tabla_Decretos[Codigo_Tecnico],"",0,1)</f>
        <v>DECRETOS_PARAMETROS</v>
      </c>
      <c r="J2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/decretos/parametros/asocia-contratos/obras-decretos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asocia-contratos/obras-decretos</v>
      </c>
      <c r="L27" s="2" t="s">
        <v>1555</v>
      </c>
      <c r="M27" t="s">
        <v>1799</v>
      </c>
      <c r="P27" s="4"/>
      <c r="Q27" s="4" t="s">
        <v>360</v>
      </c>
      <c r="R27" s="4" t="s">
        <v>360</v>
      </c>
      <c r="S27" s="4"/>
      <c r="AB27" s="5" t="s">
        <v>360</v>
      </c>
      <c r="AC27" s="5"/>
      <c r="AD27" s="5"/>
      <c r="AE27" s="5"/>
      <c r="AF27" s="5"/>
      <c r="AG27" s="5"/>
      <c r="AH27" s="4" t="s">
        <v>360</v>
      </c>
      <c r="AI27" s="2" t="str">
        <f>IF(Tabla_Decretos[[#This Row],[id_padre]]=Tabla_Decretos[[#This Row],[Id]],"NOK","OK")</f>
        <v>OK</v>
      </c>
      <c r="AJ27" s="2"/>
      <c r="AK27" s="2"/>
      <c r="AL27" s="2"/>
      <c r="AM27" s="2"/>
      <c r="AN27" s="2"/>
    </row>
    <row r="28" spans="1:40" x14ac:dyDescent="0.5">
      <c r="A28" s="2">
        <f>MAX(Tabla_Compras[Id])</f>
        <v>736</v>
      </c>
      <c r="B28" s="2">
        <v>738</v>
      </c>
      <c r="C28" s="5">
        <f>IF(Tabla_Decretos[[#This Row],[id_padre]]="",0,_xlfn.XLOOKUP(Tabla_Decretos[[#This Row],[id_padre]],Tabla_Decretos[Id],Tabla_Decretos[Nivel],0,0,1)+1)</f>
        <v>2</v>
      </c>
      <c r="D28" s="2" t="s">
        <v>662</v>
      </c>
      <c r="E28" s="2">
        <f>IF(Tabla_Decretos[[#This Row],[Id_anterior]]=1,ROW()-1,SUM(ROW()-1,Tabla_Decretos[[#This Row],[Id_anterior]]))</f>
        <v>763</v>
      </c>
      <c r="F2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DECRETOS_PARAMETROS_LINEAS_PAGO_CASOS_FMS</v>
      </c>
      <c r="G28" s="2" t="str">
        <f>CLEAN(PROPER(Tabla_Decretos[[#This Row],[Nombre Opción]]))</f>
        <v>Lineas De Pago Casos F.M.S.</v>
      </c>
      <c r="H28" s="2" t="s">
        <v>1735</v>
      </c>
      <c r="I28" s="2" t="str">
        <f>_xlfn.XLOOKUP(Tabla_Decretos[[#This Row],[id_padre]],Tabla_Decretos[Id],Tabla_Decretos[Codigo_Tecnico],"",0,1)</f>
        <v>DECRETOS_PARAMETROS</v>
      </c>
      <c r="J2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/decretos/parametros/lineas-pago-casos-fms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lineas-pago-casos-fms</v>
      </c>
      <c r="L28" s="2" t="s">
        <v>1392</v>
      </c>
      <c r="M28" t="s">
        <v>1799</v>
      </c>
      <c r="P28" s="4"/>
      <c r="R28" s="4"/>
      <c r="S28" s="4" t="s">
        <v>360</v>
      </c>
      <c r="W28" s="4" t="s">
        <v>360</v>
      </c>
      <c r="AB28" s="5"/>
      <c r="AC28" s="5"/>
      <c r="AD28" s="5"/>
      <c r="AE28" s="5"/>
      <c r="AF28" s="5"/>
      <c r="AG28" s="5"/>
      <c r="AH28" s="4" t="s">
        <v>360</v>
      </c>
      <c r="AI28" s="2" t="str">
        <f>IF(Tabla_Decretos[[#This Row],[id_padre]]=Tabla_Decretos[[#This Row],[Id]],"NOK","OK")</f>
        <v>OK</v>
      </c>
      <c r="AJ28" s="2"/>
      <c r="AK28" s="2"/>
      <c r="AL28" s="2"/>
      <c r="AM28" s="2"/>
      <c r="AN28" s="2"/>
    </row>
    <row r="29" spans="1:40" x14ac:dyDescent="0.5">
      <c r="A29" s="2">
        <f>MAX(Tabla_Compras[Id])</f>
        <v>736</v>
      </c>
      <c r="B29" s="2">
        <v>738</v>
      </c>
      <c r="C29" s="5">
        <f>IF(Tabla_Decretos[[#This Row],[id_padre]]="",0,_xlfn.XLOOKUP(Tabla_Decretos[[#This Row],[id_padre]],Tabla_Decretos[Id],Tabla_Decretos[Nivel],0,0,1)+1)</f>
        <v>2</v>
      </c>
      <c r="D29" s="2" t="s">
        <v>663</v>
      </c>
      <c r="E29" s="2">
        <f>IF(Tabla_Decretos[[#This Row],[Id_anterior]]=1,ROW()-1,SUM(ROW()-1,Tabla_Decretos[[#This Row],[Id_anterior]]))</f>
        <v>764</v>
      </c>
      <c r="F2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DECRETOS_PARAMETROS_RELACION_EVALUACIONES</v>
      </c>
      <c r="G29" s="2" t="str">
        <f>CLEAN(PROPER(Tabla_Decretos[[#This Row],[Nombre Opción]]))</f>
        <v>Relacion De Evaluaciones</v>
      </c>
      <c r="H29" s="2" t="s">
        <v>1735</v>
      </c>
      <c r="I29" s="2" t="str">
        <f>_xlfn.XLOOKUP(Tabla_Decretos[[#This Row],[id_padre]],Tabla_Decretos[Id],Tabla_Decretos[Codigo_Tecnico],"",0,1)</f>
        <v>DECRETOS_PARAMETROS</v>
      </c>
      <c r="J2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/decretos/parametros/relacion-evaluaciones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relacion-evaluaciones</v>
      </c>
      <c r="L29" s="2" t="s">
        <v>1424</v>
      </c>
      <c r="M29" t="s">
        <v>1799</v>
      </c>
      <c r="N29" s="4" t="s">
        <v>360</v>
      </c>
      <c r="P29" s="4"/>
      <c r="R29" s="4"/>
      <c r="S29" s="4"/>
      <c r="AB29" s="5" t="s">
        <v>360</v>
      </c>
      <c r="AC29" s="5"/>
      <c r="AD29" s="5"/>
      <c r="AE29" s="5" t="s">
        <v>360</v>
      </c>
      <c r="AF29" s="5"/>
      <c r="AG29" s="5"/>
      <c r="AH29" s="4" t="s">
        <v>360</v>
      </c>
      <c r="AI29" s="2" t="str">
        <f>IF(Tabla_Decretos[[#This Row],[id_padre]]=Tabla_Decretos[[#This Row],[Id]],"NOK","OK")</f>
        <v>OK</v>
      </c>
      <c r="AJ29" s="2"/>
      <c r="AK29" s="2"/>
      <c r="AL29" s="2"/>
      <c r="AM29" s="2"/>
      <c r="AN29" s="2"/>
    </row>
    <row r="30" spans="1:40" x14ac:dyDescent="0.5">
      <c r="A30" s="2">
        <f>MAX(Tabla_Compras[Id])</f>
        <v>736</v>
      </c>
      <c r="B30" s="2">
        <v>738</v>
      </c>
      <c r="C30" s="5">
        <f>IF(Tabla_Decretos[[#This Row],[id_padre]]="",0,_xlfn.XLOOKUP(Tabla_Decretos[[#This Row],[id_padre]],Tabla_Decretos[Id],Tabla_Decretos[Nivel],0,0,1)+1)</f>
        <v>2</v>
      </c>
      <c r="D30" s="2" t="s">
        <v>664</v>
      </c>
      <c r="E30" s="2">
        <f>IF(Tabla_Decretos[[#This Row],[Id_anterior]]=1,ROW()-1,SUM(ROW()-1,Tabla_Decretos[[#This Row],[Id_anterior]]))</f>
        <v>765</v>
      </c>
      <c r="F3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</v>
      </c>
      <c r="G30" s="2" t="str">
        <f>CLEAN(PROPER(Tabla_Decretos[[#This Row],[Nombre Opción]]))</f>
        <v>Matriz Ciclo De Vida</v>
      </c>
      <c r="H30" s="2" t="s">
        <v>1735</v>
      </c>
      <c r="I30" s="2" t="str">
        <f>_xlfn.XLOOKUP(Tabla_Decretos[[#This Row],[id_padre]],Tabla_Decretos[Id],Tabla_Decretos[Codigo_Tecnico],"",0,1)</f>
        <v>DECRETOS_PARAMETROS</v>
      </c>
      <c r="J3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matriz-ciclo-vida</v>
      </c>
      <c r="L30" s="2" t="s">
        <v>1556</v>
      </c>
      <c r="M30" t="s">
        <v>1799</v>
      </c>
      <c r="N30" s="4" t="s">
        <v>360</v>
      </c>
      <c r="P30" s="4"/>
      <c r="R30" s="4"/>
      <c r="S30" s="4" t="s">
        <v>360</v>
      </c>
      <c r="AB30" s="5" t="s">
        <v>360</v>
      </c>
      <c r="AC30" s="5"/>
      <c r="AD30" s="5"/>
      <c r="AE30" s="5"/>
      <c r="AF30" s="5"/>
      <c r="AG30" s="5"/>
      <c r="AH30" s="4" t="s">
        <v>360</v>
      </c>
      <c r="AI30" s="2" t="str">
        <f>IF(Tabla_Decretos[[#This Row],[id_padre]]=Tabla_Decretos[[#This Row],[Id]],"NOK","OK")</f>
        <v>OK</v>
      </c>
      <c r="AJ30" s="2"/>
      <c r="AK30" s="2"/>
      <c r="AL30" s="2"/>
      <c r="AM30" s="2"/>
      <c r="AN30" s="2"/>
    </row>
    <row r="31" spans="1:40" x14ac:dyDescent="0.5">
      <c r="A31" s="2">
        <f>MAX(Tabla_Compras[Id])</f>
        <v>736</v>
      </c>
      <c r="B31" s="2">
        <v>765</v>
      </c>
      <c r="C31" s="5">
        <f>IF(Tabla_Decretos[[#This Row],[id_padre]]="",0,_xlfn.XLOOKUP(Tabla_Decretos[[#This Row],[id_padre]],Tabla_Decretos[Id],Tabla_Decretos[Nivel],0,0,1)+1)</f>
        <v>3</v>
      </c>
      <c r="D31" s="2" t="s">
        <v>665</v>
      </c>
      <c r="E31" s="2">
        <f>IF(Tabla_Decretos[[#This Row],[Id_anterior]]=1,ROW()-1,SUM(ROW()-1,Tabla_Decretos[[#This Row],[Id_anterior]]))</f>
        <v>766</v>
      </c>
      <c r="F3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DECRETOS_PARAMETROS_MATRIZ_CICLO_VIDA_FACTORES</v>
      </c>
      <c r="G31" s="2" t="str">
        <f>CLEAN(PROPER(Tabla_Decretos[[#This Row],[Nombre Opción]]))</f>
        <v>Factores</v>
      </c>
      <c r="H31" s="2" t="s">
        <v>1735</v>
      </c>
      <c r="I31" s="2" t="str">
        <f>_xlfn.XLOOKUP(Tabla_Decretos[[#This Row],[id_padre]],Tabla_Decretos[Id],Tabla_Decretos[Codigo_Tecnico],"",0,1)</f>
        <v>DECRETOS_PARAMETROS_MATRIZ_CICLO_VIDA</v>
      </c>
      <c r="J3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/decretos/parametros/matriz-ciclo-vida/factores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factores</v>
      </c>
      <c r="L31" s="2" t="s">
        <v>1557</v>
      </c>
      <c r="M31" t="s">
        <v>1799</v>
      </c>
      <c r="N31" s="4" t="s">
        <v>360</v>
      </c>
      <c r="P31" s="4"/>
      <c r="R31" s="4"/>
      <c r="S31" s="4" t="s">
        <v>360</v>
      </c>
      <c r="AB31" s="5" t="s">
        <v>360</v>
      </c>
      <c r="AC31" s="5"/>
      <c r="AD31" s="5"/>
      <c r="AE31" s="5"/>
      <c r="AF31" s="5"/>
      <c r="AG31" s="5"/>
      <c r="AH31" s="4" t="s">
        <v>360</v>
      </c>
      <c r="AI31" s="2" t="str">
        <f>IF(Tabla_Decretos[[#This Row],[id_padre]]=Tabla_Decretos[[#This Row],[Id]],"NOK","OK")</f>
        <v>OK</v>
      </c>
      <c r="AJ31" s="2"/>
      <c r="AK31" s="2"/>
      <c r="AL31" s="2"/>
      <c r="AM31" s="2"/>
      <c r="AN31" s="2"/>
    </row>
    <row r="32" spans="1:40" x14ac:dyDescent="0.5">
      <c r="A32" s="2">
        <f>MAX(Tabla_Compras[Id])</f>
        <v>736</v>
      </c>
      <c r="B32" s="2">
        <v>765</v>
      </c>
      <c r="C32" s="5">
        <f>IF(Tabla_Decretos[[#This Row],[id_padre]]="",0,_xlfn.XLOOKUP(Tabla_Decretos[[#This Row],[id_padre]],Tabla_Decretos[Id],Tabla_Decretos[Nivel],0,0,1)+1)</f>
        <v>3</v>
      </c>
      <c r="D32" s="2" t="s">
        <v>666</v>
      </c>
      <c r="E32" s="2">
        <f>IF(Tabla_Decretos[[#This Row],[Id_anterior]]=1,ROW()-1,SUM(ROW()-1,Tabla_Decretos[[#This Row],[Id_anterior]]))</f>
        <v>767</v>
      </c>
      <c r="F3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DECRETOS_PARAMETROS_MATRIZ_CICLO_VIDA_INVESTIGACION</v>
      </c>
      <c r="G32" s="2" t="str">
        <f>CLEAN(PROPER(Tabla_Decretos[[#This Row],[Nombre Opción]]))</f>
        <v>Investigacion</v>
      </c>
      <c r="H32" s="2" t="s">
        <v>1735</v>
      </c>
      <c r="I32" s="2" t="str">
        <f>_xlfn.XLOOKUP(Tabla_Decretos[[#This Row],[id_padre]],Tabla_Decretos[Id],Tabla_Decretos[Codigo_Tecnico],"",0,1)</f>
        <v>DECRETOS_PARAMETROS_MATRIZ_CICLO_VIDA</v>
      </c>
      <c r="J3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/decretos/parametros/matriz-ciclo-vida/investigacion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investigacion</v>
      </c>
      <c r="L32" s="2" t="s">
        <v>1558</v>
      </c>
      <c r="M32" t="s">
        <v>1799</v>
      </c>
      <c r="N32" s="4" t="s">
        <v>360</v>
      </c>
      <c r="P32" s="4"/>
      <c r="R32" s="4"/>
      <c r="S32" s="4" t="s">
        <v>360</v>
      </c>
      <c r="AB32" s="5" t="s">
        <v>360</v>
      </c>
      <c r="AC32" s="5"/>
      <c r="AD32" s="5"/>
      <c r="AE32" s="5"/>
      <c r="AF32" s="5"/>
      <c r="AG32" s="5"/>
      <c r="AH32" s="4" t="s">
        <v>360</v>
      </c>
      <c r="AI32" s="2" t="str">
        <f>IF(Tabla_Decretos[[#This Row],[id_padre]]=Tabla_Decretos[[#This Row],[Id]],"NOK","OK")</f>
        <v>OK</v>
      </c>
      <c r="AJ32" s="2"/>
      <c r="AK32" s="2"/>
      <c r="AL32" s="2"/>
      <c r="AM32" s="2"/>
      <c r="AN32" s="2"/>
    </row>
    <row r="33" spans="1:40" x14ac:dyDescent="0.5">
      <c r="A33" s="2">
        <f>MAX(Tabla_Compras[Id])</f>
        <v>736</v>
      </c>
      <c r="B33" s="2">
        <v>765</v>
      </c>
      <c r="C33" s="5">
        <f>IF(Tabla_Decretos[[#This Row],[id_padre]]="",0,_xlfn.XLOOKUP(Tabla_Decretos[[#This Row],[id_padre]],Tabla_Decretos[Id],Tabla_Decretos[Nivel],0,0,1)+1)</f>
        <v>3</v>
      </c>
      <c r="D33" s="2" t="s">
        <v>667</v>
      </c>
      <c r="E33" s="2">
        <f>IF(Tabla_Decretos[[#This Row],[Id_anterior]]=1,ROW()-1,SUM(ROW()-1,Tabla_Decretos[[#This Row],[Id_anterior]]))</f>
        <v>768</v>
      </c>
      <c r="F3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DECRETOS_PARAMETROS_MATRIZ_CICLO_VIDA_PERSONAL</v>
      </c>
      <c r="G33" s="2" t="str">
        <f>CLEAN(PROPER(Tabla_Decretos[[#This Row],[Nombre Opción]]))</f>
        <v>Personal</v>
      </c>
      <c r="H33" s="2" t="s">
        <v>1735</v>
      </c>
      <c r="I33" s="2" t="str">
        <f>_xlfn.XLOOKUP(Tabla_Decretos[[#This Row],[id_padre]],Tabla_Decretos[Id],Tabla_Decretos[Codigo_Tecnico],"",0,1)</f>
        <v>DECRETOS_PARAMETROS_MATRIZ_CICLO_VIDA</v>
      </c>
      <c r="J3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/decretos/parametros/matriz-ciclo-vida/personal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personal</v>
      </c>
      <c r="L33" s="2" t="s">
        <v>1506</v>
      </c>
      <c r="M33" t="s">
        <v>1799</v>
      </c>
      <c r="N33" s="4" t="s">
        <v>360</v>
      </c>
      <c r="P33" s="4"/>
      <c r="R33" s="4"/>
      <c r="S33" s="4" t="s">
        <v>360</v>
      </c>
      <c r="AB33" s="5" t="s">
        <v>360</v>
      </c>
      <c r="AC33" s="5"/>
      <c r="AD33" s="5"/>
      <c r="AE33" s="5"/>
      <c r="AF33" s="5"/>
      <c r="AG33" s="5"/>
      <c r="AH33" s="4" t="s">
        <v>360</v>
      </c>
      <c r="AI33" s="2" t="str">
        <f>IF(Tabla_Decretos[[#This Row],[id_padre]]=Tabla_Decretos[[#This Row],[Id]],"NOK","OK")</f>
        <v>OK</v>
      </c>
      <c r="AJ33" s="2"/>
      <c r="AK33" s="2"/>
      <c r="AL33" s="2"/>
      <c r="AM33" s="2"/>
      <c r="AN33" s="2"/>
    </row>
    <row r="34" spans="1:40" x14ac:dyDescent="0.5">
      <c r="A34" s="2">
        <f>MAX(Tabla_Compras[Id])</f>
        <v>736</v>
      </c>
      <c r="B34" s="2">
        <v>765</v>
      </c>
      <c r="C34" s="5">
        <f>IF(Tabla_Decretos[[#This Row],[id_padre]]="",0,_xlfn.XLOOKUP(Tabla_Decretos[[#This Row],[id_padre]],Tabla_Decretos[Id],Tabla_Decretos[Nivel],0,0,1)+1)</f>
        <v>3</v>
      </c>
      <c r="D34" s="2" t="s">
        <v>668</v>
      </c>
      <c r="E34" s="2">
        <f>IF(Tabla_Decretos[[#This Row],[Id_anterior]]=1,ROW()-1,SUM(ROW()-1,Tabla_Decretos[[#This Row],[Id_anterior]]))</f>
        <v>769</v>
      </c>
      <c r="F3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DECRETOS_PARAMETROS_MATRIZ_CICLO_VIDA_OPERACION</v>
      </c>
      <c r="G34" s="2" t="str">
        <f>CLEAN(PROPER(Tabla_Decretos[[#This Row],[Nombre Opción]]))</f>
        <v>Operación</v>
      </c>
      <c r="H34" s="2" t="s">
        <v>1735</v>
      </c>
      <c r="I34" s="2" t="str">
        <f>_xlfn.XLOOKUP(Tabla_Decretos[[#This Row],[id_padre]],Tabla_Decretos[Id],Tabla_Decretos[Codigo_Tecnico],"",0,1)</f>
        <v>DECRETOS_PARAMETROS_MATRIZ_CICLO_VIDA</v>
      </c>
      <c r="J3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/decretos/parametros/matriz-ciclo-vida/operacion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operacion</v>
      </c>
      <c r="L34" s="2" t="s">
        <v>1559</v>
      </c>
      <c r="M34" t="s">
        <v>1799</v>
      </c>
      <c r="N34" s="4" t="s">
        <v>360</v>
      </c>
      <c r="P34" s="4"/>
      <c r="R34" s="4"/>
      <c r="S34" s="4" t="s">
        <v>360</v>
      </c>
      <c r="AB34" s="5" t="s">
        <v>360</v>
      </c>
      <c r="AC34" s="5"/>
      <c r="AD34" s="5"/>
      <c r="AE34" s="5"/>
      <c r="AF34" s="5"/>
      <c r="AG34" s="5"/>
      <c r="AH34" s="4" t="s">
        <v>360</v>
      </c>
      <c r="AI34" s="2" t="str">
        <f>IF(Tabla_Decretos[[#This Row],[id_padre]]=Tabla_Decretos[[#This Row],[Id]],"NOK","OK")</f>
        <v>OK</v>
      </c>
      <c r="AJ34" s="2"/>
      <c r="AK34" s="2"/>
      <c r="AL34" s="2"/>
      <c r="AM34" s="2"/>
      <c r="AN34" s="2"/>
    </row>
    <row r="35" spans="1:40" x14ac:dyDescent="0.5">
      <c r="A35" s="2">
        <f>MAX(Tabla_Compras[Id])</f>
        <v>736</v>
      </c>
      <c r="B35" s="2">
        <v>765</v>
      </c>
      <c r="C35" s="5">
        <f>IF(Tabla_Decretos[[#This Row],[id_padre]]="",0,_xlfn.XLOOKUP(Tabla_Decretos[[#This Row],[id_padre]],Tabla_Decretos[Id],Tabla_Decretos[Nivel],0,0,1)+1)</f>
        <v>3</v>
      </c>
      <c r="D35" s="2" t="s">
        <v>669</v>
      </c>
      <c r="E35" s="2">
        <f>IF(Tabla_Decretos[[#This Row],[Id_anterior]]=1,ROW()-1,SUM(ROW()-1,Tabla_Decretos[[#This Row],[Id_anterior]]))</f>
        <v>770</v>
      </c>
      <c r="F3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DECRETOS_PARAMETROS_MATRIZ_CICLO_VIDA_ELIMINACION</v>
      </c>
      <c r="G35" s="2" t="str">
        <f>CLEAN(PROPER(Tabla_Decretos[[#This Row],[Nombre Opción]]))</f>
        <v>Eliminacion</v>
      </c>
      <c r="H35" s="2" t="s">
        <v>1735</v>
      </c>
      <c r="I35" s="2" t="str">
        <f>_xlfn.XLOOKUP(Tabla_Decretos[[#This Row],[id_padre]],Tabla_Decretos[Id],Tabla_Decretos[Codigo_Tecnico],"",0,1)</f>
        <v>DECRETOS_PARAMETROS_MATRIZ_CICLO_VIDA</v>
      </c>
      <c r="J3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/decretos/parametros/matriz-ciclo-vida/eliminacion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eliminacion</v>
      </c>
      <c r="L35" s="2" t="s">
        <v>1560</v>
      </c>
      <c r="M35" t="s">
        <v>1799</v>
      </c>
      <c r="N35" s="4" t="s">
        <v>360</v>
      </c>
      <c r="P35" s="4"/>
      <c r="R35" s="4"/>
      <c r="S35" s="4" t="s">
        <v>360</v>
      </c>
      <c r="AB35" s="5" t="s">
        <v>360</v>
      </c>
      <c r="AC35" s="5"/>
      <c r="AD35" s="5"/>
      <c r="AE35" s="5"/>
      <c r="AF35" s="5"/>
      <c r="AG35" s="5"/>
      <c r="AH35" s="4" t="s">
        <v>360</v>
      </c>
      <c r="AI35" s="2" t="str">
        <f>IF(Tabla_Decretos[[#This Row],[id_padre]]=Tabla_Decretos[[#This Row],[Id]],"NOK","OK")</f>
        <v>OK</v>
      </c>
      <c r="AJ35" s="2"/>
      <c r="AK35" s="2"/>
      <c r="AL35" s="2"/>
      <c r="AM35" s="2"/>
      <c r="AN35" s="2"/>
    </row>
    <row r="36" spans="1:40" x14ac:dyDescent="0.5">
      <c r="A36" s="2">
        <f>MAX(Tabla_Compras[Id])</f>
        <v>736</v>
      </c>
      <c r="B36" s="2">
        <v>765</v>
      </c>
      <c r="C36" s="5">
        <f>IF(Tabla_Decretos[[#This Row],[id_padre]]="",0,_xlfn.XLOOKUP(Tabla_Decretos[[#This Row],[id_padre]],Tabla_Decretos[Id],Tabla_Decretos[Nivel],0,0,1)+1)</f>
        <v>3</v>
      </c>
      <c r="D36" s="2" t="s">
        <v>670</v>
      </c>
      <c r="E36" s="2">
        <f>IF(Tabla_Decretos[[#This Row],[Id_anterior]]=1,ROW()-1,SUM(ROW()-1,Tabla_Decretos[[#This Row],[Id_anterior]]))</f>
        <v>771</v>
      </c>
      <c r="F3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DECRETOS_PARAMETROS_MATRIZ_CICLO_VIDA_COSTOS_INVESTIGACION</v>
      </c>
      <c r="G36" s="2" t="str">
        <f>CLEAN(PROPER(Tabla_Decretos[[#This Row],[Nombre Opción]]))</f>
        <v>Costos Investigacion</v>
      </c>
      <c r="H36" s="2" t="s">
        <v>1735</v>
      </c>
      <c r="I36" s="2" t="str">
        <f>_xlfn.XLOOKUP(Tabla_Decretos[[#This Row],[id_padre]],Tabla_Decretos[Id],Tabla_Decretos[Codigo_Tecnico],"",0,1)</f>
        <v>DECRETOS_PARAMETROS_MATRIZ_CICLO_VIDA</v>
      </c>
      <c r="J3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/decretos/parametros/matriz-ciclo-vida/costos-investigacion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costos-investigacion</v>
      </c>
      <c r="L36" s="2" t="s">
        <v>1344</v>
      </c>
      <c r="M36" t="s">
        <v>1799</v>
      </c>
      <c r="N36" s="4" t="s">
        <v>360</v>
      </c>
      <c r="P36" s="4"/>
      <c r="R36" s="4"/>
      <c r="S36" s="4" t="s">
        <v>360</v>
      </c>
      <c r="AB36" s="5" t="s">
        <v>360</v>
      </c>
      <c r="AC36" s="5"/>
      <c r="AD36" s="5"/>
      <c r="AE36" s="5"/>
      <c r="AF36" s="5"/>
      <c r="AG36" s="5"/>
      <c r="AH36" s="4" t="s">
        <v>360</v>
      </c>
      <c r="AI36" s="2" t="str">
        <f>IF(Tabla_Decretos[[#This Row],[id_padre]]=Tabla_Decretos[[#This Row],[Id]],"NOK","OK")</f>
        <v>OK</v>
      </c>
      <c r="AJ36" s="2"/>
      <c r="AK36" s="2"/>
      <c r="AL36" s="2"/>
      <c r="AM36" s="2"/>
      <c r="AN36" s="2"/>
    </row>
    <row r="37" spans="1:40" x14ac:dyDescent="0.5">
      <c r="A37" s="2">
        <f>MAX(Tabla_Compras[Id])</f>
        <v>736</v>
      </c>
      <c r="B37" s="2">
        <v>765</v>
      </c>
      <c r="C37" s="5">
        <f>IF(Tabla_Decretos[[#This Row],[id_padre]]="",0,_xlfn.XLOOKUP(Tabla_Decretos[[#This Row],[id_padre]],Tabla_Decretos[Id],Tabla_Decretos[Nivel],0,0,1)+1)</f>
        <v>3</v>
      </c>
      <c r="D37" s="2" t="s">
        <v>671</v>
      </c>
      <c r="E37" s="2">
        <f>IF(Tabla_Decretos[[#This Row],[Id_anterior]]=1,ROW()-1,SUM(ROW()-1,Tabla_Decretos[[#This Row],[Id_anterior]]))</f>
        <v>772</v>
      </c>
      <c r="F3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DECRETOS_PARAMETROS_MATRIZ_CICLO_VIDA_COSTOS_INVERSION</v>
      </c>
      <c r="G37" s="2" t="str">
        <f>CLEAN(PROPER(Tabla_Decretos[[#This Row],[Nombre Opción]]))</f>
        <v>Costos Inversion</v>
      </c>
      <c r="H37" s="2" t="s">
        <v>1735</v>
      </c>
      <c r="I37" s="2" t="str">
        <f>_xlfn.XLOOKUP(Tabla_Decretos[[#This Row],[id_padre]],Tabla_Decretos[Id],Tabla_Decretos[Codigo_Tecnico],"",0,1)</f>
        <v>DECRETOS_PARAMETROS_MATRIZ_CICLO_VIDA</v>
      </c>
      <c r="J3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/decretos/parametros/matriz-ciclo-vida/costos-inversion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costos-inversion</v>
      </c>
      <c r="L37" s="2" t="s">
        <v>1371</v>
      </c>
      <c r="M37" t="s">
        <v>1799</v>
      </c>
      <c r="N37" s="4" t="s">
        <v>360</v>
      </c>
      <c r="P37" s="4"/>
      <c r="R37" s="4"/>
      <c r="S37" s="4" t="s">
        <v>360</v>
      </c>
      <c r="AB37" s="5" t="s">
        <v>360</v>
      </c>
      <c r="AC37" s="5"/>
      <c r="AD37" s="5"/>
      <c r="AE37" s="5"/>
      <c r="AF37" s="5"/>
      <c r="AG37" s="5"/>
      <c r="AH37" s="4" t="s">
        <v>360</v>
      </c>
      <c r="AI37" s="2" t="str">
        <f>IF(Tabla_Decretos[[#This Row],[id_padre]]=Tabla_Decretos[[#This Row],[Id]],"NOK","OK")</f>
        <v>OK</v>
      </c>
      <c r="AJ37" s="2"/>
      <c r="AK37" s="2"/>
      <c r="AL37" s="2"/>
      <c r="AM37" s="2"/>
      <c r="AN37" s="2"/>
    </row>
    <row r="38" spans="1:40" x14ac:dyDescent="0.5">
      <c r="A38" s="2">
        <f>MAX(Tabla_Compras[Id])</f>
        <v>736</v>
      </c>
      <c r="B38" s="2">
        <v>765</v>
      </c>
      <c r="C38" s="5">
        <f>IF(Tabla_Decretos[[#This Row],[id_padre]]="",0,_xlfn.XLOOKUP(Tabla_Decretos[[#This Row],[id_padre]],Tabla_Decretos[Id],Tabla_Decretos[Nivel],0,0,1)+1)</f>
        <v>3</v>
      </c>
      <c r="D38" s="2" t="s">
        <v>672</v>
      </c>
      <c r="E38" s="2">
        <f>IF(Tabla_Decretos[[#This Row],[Id_anterior]]=1,ROW()-1,SUM(ROW()-1,Tabla_Decretos[[#This Row],[Id_anterior]]))</f>
        <v>773</v>
      </c>
      <c r="F3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DECRETOS_PARAMETROS_MATRIZ_CICLO_VIDA_COSTOS_OPERACIONES</v>
      </c>
      <c r="G38" s="2" t="str">
        <f>CLEAN(PROPER(Tabla_Decretos[[#This Row],[Nombre Opción]]))</f>
        <v>Costos Operaciones</v>
      </c>
      <c r="H38" s="2" t="s">
        <v>1735</v>
      </c>
      <c r="I38" s="2" t="str">
        <f>_xlfn.XLOOKUP(Tabla_Decretos[[#This Row],[id_padre]],Tabla_Decretos[Id],Tabla_Decretos[Codigo_Tecnico],"",0,1)</f>
        <v>DECRETOS_PARAMETROS_MATRIZ_CICLO_VIDA</v>
      </c>
      <c r="J3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/decretos/parametros/matriz-ciclo-vida/costos-operaciones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costos-operaciones</v>
      </c>
      <c r="L38" s="2" t="s">
        <v>1353</v>
      </c>
      <c r="M38" t="s">
        <v>1799</v>
      </c>
      <c r="N38" s="4" t="s">
        <v>360</v>
      </c>
      <c r="P38" s="4"/>
      <c r="R38" s="4"/>
      <c r="S38" s="4" t="s">
        <v>360</v>
      </c>
      <c r="AB38" s="5" t="s">
        <v>360</v>
      </c>
      <c r="AC38" s="5"/>
      <c r="AD38" s="5"/>
      <c r="AE38" s="5"/>
      <c r="AF38" s="5"/>
      <c r="AG38" s="5"/>
      <c r="AH38" s="4" t="s">
        <v>360</v>
      </c>
      <c r="AI38" s="2" t="str">
        <f>IF(Tabla_Decretos[[#This Row],[id_padre]]=Tabla_Decretos[[#This Row],[Id]],"NOK","OK")</f>
        <v>OK</v>
      </c>
      <c r="AJ38" s="2"/>
      <c r="AK38" s="2"/>
      <c r="AL38" s="2"/>
      <c r="AM38" s="2"/>
      <c r="AN38" s="2"/>
    </row>
    <row r="39" spans="1:40" x14ac:dyDescent="0.5">
      <c r="A39" s="2">
        <f>MAX(Tabla_Compras[Id])</f>
        <v>736</v>
      </c>
      <c r="B39" s="2">
        <v>765</v>
      </c>
      <c r="C39" s="5">
        <f>IF(Tabla_Decretos[[#This Row],[id_padre]]="",0,_xlfn.XLOOKUP(Tabla_Decretos[[#This Row],[id_padre]],Tabla_Decretos[Id],Tabla_Decretos[Nivel],0,0,1)+1)</f>
        <v>3</v>
      </c>
      <c r="D39" s="2" t="s">
        <v>673</v>
      </c>
      <c r="E39" s="2">
        <f>IF(Tabla_Decretos[[#This Row],[Id_anterior]]=1,ROW()-1,SUM(ROW()-1,Tabla_Decretos[[#This Row],[Id_anterior]]))</f>
        <v>774</v>
      </c>
      <c r="F3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DECRETOS_PARAMETROS_MATRIZ_CICLO_VIDA_COSTOS_DISPOSICION</v>
      </c>
      <c r="G39" s="2" t="str">
        <f>CLEAN(PROPER(Tabla_Decretos[[#This Row],[Nombre Opción]]))</f>
        <v>Costos Disposicion</v>
      </c>
      <c r="H39" s="2" t="s">
        <v>1735</v>
      </c>
      <c r="I39" s="2" t="str">
        <f>_xlfn.XLOOKUP(Tabla_Decretos[[#This Row],[id_padre]],Tabla_Decretos[Id],Tabla_Decretos[Codigo_Tecnico],"",0,1)</f>
        <v>DECRETOS_PARAMETROS_MATRIZ_CICLO_VIDA</v>
      </c>
      <c r="J3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/decretos/parametros/matriz-ciclo-vida/costos-disposicion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costos-disposicion</v>
      </c>
      <c r="L39" s="2" t="s">
        <v>1345</v>
      </c>
      <c r="M39" t="s">
        <v>1799</v>
      </c>
      <c r="N39" s="4" t="s">
        <v>360</v>
      </c>
      <c r="P39" s="4"/>
      <c r="R39" s="4"/>
      <c r="S39" s="4" t="s">
        <v>360</v>
      </c>
      <c r="AB39" s="5" t="s">
        <v>360</v>
      </c>
      <c r="AC39" s="5"/>
      <c r="AD39" s="5"/>
      <c r="AE39" s="5"/>
      <c r="AF39" s="5"/>
      <c r="AG39" s="5"/>
      <c r="AH39" s="4" t="s">
        <v>360</v>
      </c>
      <c r="AI39" s="2" t="str">
        <f>IF(Tabla_Decretos[[#This Row],[id_padre]]=Tabla_Decretos[[#This Row],[Id]],"NOK","OK")</f>
        <v>OK</v>
      </c>
      <c r="AJ39" s="2"/>
      <c r="AK39" s="2"/>
      <c r="AL39" s="2"/>
      <c r="AM39" s="2"/>
      <c r="AN39" s="2"/>
    </row>
    <row r="40" spans="1:40" x14ac:dyDescent="0.5">
      <c r="A40" s="2">
        <f>MAX(Tabla_Compras[Id])</f>
        <v>736</v>
      </c>
      <c r="B40" s="2">
        <v>738</v>
      </c>
      <c r="C40" s="5">
        <f>IF(Tabla_Decretos[[#This Row],[id_padre]]="",0,_xlfn.XLOOKUP(Tabla_Decretos[[#This Row],[id_padre]],Tabla_Decretos[Id],Tabla_Decretos[Nivel],0,0,1)+1)</f>
        <v>2</v>
      </c>
      <c r="D40" s="2" t="s">
        <v>674</v>
      </c>
      <c r="E40" s="2">
        <f>IF(Tabla_Decretos[[#This Row],[Id_anterior]]=1,ROW()-1,SUM(ROW()-1,Tabla_Decretos[[#This Row],[Id_anterior]]))</f>
        <v>775</v>
      </c>
      <c r="F4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DECRETOS_PARAMETROS_FICHAS_FUNDAMENTO_PROYECTOS_EXTERNOS</v>
      </c>
      <c r="G40" s="2" t="str">
        <f>CLEAN(PROPER(Tabla_Decretos[[#This Row],[Nombre Opción]]))</f>
        <v>Fichas Fundamento / Proyectos Externos</v>
      </c>
      <c r="H40" s="2" t="s">
        <v>1735</v>
      </c>
      <c r="I40" s="2" t="str">
        <f>_xlfn.XLOOKUP(Tabla_Decretos[[#This Row],[id_padre]],Tabla_Decretos[Id],Tabla_Decretos[Codigo_Tecnico],"",0,1)</f>
        <v>DECRETOS_PARAMETROS</v>
      </c>
      <c r="J4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/decretos/parametros/fichas-fundamento-proyectos-externos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fichas-fundamento-proyectos-externos</v>
      </c>
      <c r="L40" s="2" t="s">
        <v>1494</v>
      </c>
      <c r="M40" t="s">
        <v>1799</v>
      </c>
      <c r="N40" s="4" t="s">
        <v>360</v>
      </c>
      <c r="P40" s="4"/>
      <c r="Q40" s="4" t="s">
        <v>360</v>
      </c>
      <c r="R40" s="4"/>
      <c r="S40" s="4"/>
      <c r="AB40" s="5" t="s">
        <v>360</v>
      </c>
      <c r="AC40" s="5"/>
      <c r="AD40" s="5"/>
      <c r="AE40" s="5"/>
      <c r="AF40" s="5" t="s">
        <v>360</v>
      </c>
      <c r="AG40" s="5"/>
      <c r="AH40" s="4" t="s">
        <v>360</v>
      </c>
      <c r="AI40" s="2" t="str">
        <f>IF(Tabla_Decretos[[#This Row],[id_padre]]=Tabla_Decretos[[#This Row],[Id]],"NOK","OK")</f>
        <v>OK</v>
      </c>
      <c r="AJ40" s="2"/>
      <c r="AK40" s="2"/>
      <c r="AL40" s="2"/>
      <c r="AM40" s="2"/>
      <c r="AN40" s="2"/>
    </row>
    <row r="41" spans="1:40" x14ac:dyDescent="0.5">
      <c r="A41" s="2">
        <f>MAX(Tabla_Compras[Id])</f>
        <v>736</v>
      </c>
      <c r="B41" s="2">
        <v>738</v>
      </c>
      <c r="C41" s="5">
        <f>IF(Tabla_Decretos[[#This Row],[id_padre]]="",0,_xlfn.XLOOKUP(Tabla_Decretos[[#This Row],[id_padre]],Tabla_Decretos[Id],Tabla_Decretos[Nivel],0,0,1)+1)</f>
        <v>2</v>
      </c>
      <c r="D41" s="2" t="s">
        <v>675</v>
      </c>
      <c r="E41" s="2">
        <f>IF(Tabla_Decretos[[#This Row],[Id_anterior]]=1,ROW()-1,SUM(ROW()-1,Tabla_Decretos[[#This Row],[Id_anterior]]))</f>
        <v>776</v>
      </c>
      <c r="F4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DECRETOS_PARAMETROS_JEFES_PROYECTOS</v>
      </c>
      <c r="G41" s="2" t="str">
        <f>CLEAN(PROPER(Tabla_Decretos[[#This Row],[Nombre Opción]]))</f>
        <v>Jefes De Proyectos</v>
      </c>
      <c r="H41" s="2" t="s">
        <v>1735</v>
      </c>
      <c r="I41" s="2" t="str">
        <f>_xlfn.XLOOKUP(Tabla_Decretos[[#This Row],[id_padre]],Tabla_Decretos[Id],Tabla_Decretos[Codigo_Tecnico],"",0,1)</f>
        <v>DECRETOS_PARAMETROS</v>
      </c>
      <c r="J4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/decretos/parametros/jefes-proyectos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jefes-proyectos</v>
      </c>
      <c r="L41" s="2" t="s">
        <v>1561</v>
      </c>
      <c r="M41" t="s">
        <v>1799</v>
      </c>
      <c r="P41" s="4"/>
      <c r="R41" s="4"/>
      <c r="S41" s="4"/>
      <c r="AB41" s="5" t="s">
        <v>360</v>
      </c>
      <c r="AC41" s="5"/>
      <c r="AD41" s="5"/>
      <c r="AE41" s="5"/>
      <c r="AF41" s="5" t="s">
        <v>360</v>
      </c>
      <c r="AG41" s="5"/>
      <c r="AH41" s="4" t="s">
        <v>360</v>
      </c>
      <c r="AI41" s="2" t="str">
        <f>IF(Tabla_Decretos[[#This Row],[id_padre]]=Tabla_Decretos[[#This Row],[Id]],"NOK","OK")</f>
        <v>OK</v>
      </c>
      <c r="AJ41" s="2"/>
      <c r="AK41" s="2"/>
      <c r="AL41" s="2"/>
      <c r="AM41" s="2"/>
      <c r="AN41" s="2"/>
    </row>
    <row r="42" spans="1:40" x14ac:dyDescent="0.5">
      <c r="A42" s="2">
        <f>MAX(Tabla_Compras[Id])</f>
        <v>736</v>
      </c>
      <c r="B42" s="2">
        <v>738</v>
      </c>
      <c r="C42" s="5">
        <f>IF(Tabla_Decretos[[#This Row],[id_padre]]="",0,_xlfn.XLOOKUP(Tabla_Decretos[[#This Row],[id_padre]],Tabla_Decretos[Id],Tabla_Decretos[Nivel],0,0,1)+1)</f>
        <v>2</v>
      </c>
      <c r="D42" s="2" t="s">
        <v>676</v>
      </c>
      <c r="E42" s="2">
        <f>IF(Tabla_Decretos[[#This Row],[Id_anterior]]=1,ROW()-1,SUM(ROW()-1,Tabla_Decretos[[#This Row],[Id_anterior]]))</f>
        <v>777</v>
      </c>
      <c r="F4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DECRETOS_PARAMETROS_JEFES_PROYECTOS_CASOS_FMS</v>
      </c>
      <c r="G42" s="2" t="str">
        <f>CLEAN(PROPER(Tabla_Decretos[[#This Row],[Nombre Opción]]))</f>
        <v>Jefes De Proyectos Casos F.M.S</v>
      </c>
      <c r="H42" s="2" t="s">
        <v>1735</v>
      </c>
      <c r="I42" s="2" t="str">
        <f>_xlfn.XLOOKUP(Tabla_Decretos[[#This Row],[id_padre]],Tabla_Decretos[Id],Tabla_Decretos[Codigo_Tecnico],"",0,1)</f>
        <v>DECRETOS_PARAMETROS</v>
      </c>
      <c r="J4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/decretos/parametros/jefes-proyectos-casos-fms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jefes-proyectos-casos-fms</v>
      </c>
      <c r="L42" s="2" t="s">
        <v>1562</v>
      </c>
      <c r="M42" t="s">
        <v>1799</v>
      </c>
      <c r="P42" s="4"/>
      <c r="R42" s="4"/>
      <c r="S42" s="4" t="s">
        <v>360</v>
      </c>
      <c r="W42" s="4" t="s">
        <v>360</v>
      </c>
      <c r="Z42" s="4" t="s">
        <v>360</v>
      </c>
      <c r="AB42" s="5"/>
      <c r="AC42" s="5"/>
      <c r="AD42" s="5"/>
      <c r="AE42" s="5"/>
      <c r="AF42" s="5"/>
      <c r="AG42" s="5"/>
      <c r="AH42" s="4" t="s">
        <v>360</v>
      </c>
      <c r="AI42" s="2" t="str">
        <f>IF(Tabla_Decretos[[#This Row],[id_padre]]=Tabla_Decretos[[#This Row],[Id]],"NOK","OK")</f>
        <v>OK</v>
      </c>
      <c r="AJ42" s="2"/>
      <c r="AK42" s="2"/>
      <c r="AL42" s="2"/>
      <c r="AM42" s="2"/>
      <c r="AN42" s="2"/>
    </row>
    <row r="43" spans="1:40" x14ac:dyDescent="0.5">
      <c r="A43" s="2">
        <f>MAX(Tabla_Compras[Id])</f>
        <v>736</v>
      </c>
      <c r="B43" s="2">
        <v>738</v>
      </c>
      <c r="C43" s="5">
        <f>IF(Tabla_Decretos[[#This Row],[id_padre]]="",0,_xlfn.XLOOKUP(Tabla_Decretos[[#This Row],[id_padre]],Tabla_Decretos[Id],Tabla_Decretos[Nivel],0,0,1)+1)</f>
        <v>2</v>
      </c>
      <c r="D43" s="2" t="s">
        <v>677</v>
      </c>
      <c r="E43" s="2">
        <f>IF(Tabla_Decretos[[#This Row],[Id_anterior]]=1,ROW()-1,SUM(ROW()-1,Tabla_Decretos[[#This Row],[Id_anterior]]))</f>
        <v>778</v>
      </c>
      <c r="F4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DECRETOS_PARAMETROS_FIRMAS_INFORMES_FINANCIEROS_</v>
      </c>
      <c r="G43" s="2" t="str">
        <f>CLEAN(PROPER(Tabla_Decretos[[#This Row],[Nombre Opción]]))</f>
        <v xml:space="preserve">Firmas Informes Financieros </v>
      </c>
      <c r="H43" s="2" t="s">
        <v>1735</v>
      </c>
      <c r="I43" s="2" t="str">
        <f>_xlfn.XLOOKUP(Tabla_Decretos[[#This Row],[id_padre]],Tabla_Decretos[Id],Tabla_Decretos[Codigo_Tecnico],"",0,1)</f>
        <v>DECRETOS_PARAMETROS</v>
      </c>
      <c r="J4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/decretos/parametros/firmas-informes-financieros-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firmas-informes-financieros-</v>
      </c>
      <c r="L43" s="2" t="s">
        <v>1563</v>
      </c>
      <c r="M43" t="s">
        <v>1799</v>
      </c>
      <c r="P43" s="4"/>
      <c r="R43" s="4"/>
      <c r="S43" s="4" t="s">
        <v>360</v>
      </c>
      <c r="W43" s="4" t="s">
        <v>360</v>
      </c>
      <c r="Z43" s="4" t="s">
        <v>360</v>
      </c>
      <c r="AB43" s="5"/>
      <c r="AC43" s="5"/>
      <c r="AD43" s="5"/>
      <c r="AE43" s="5"/>
      <c r="AF43" s="5"/>
      <c r="AG43" s="5"/>
      <c r="AH43" s="4" t="s">
        <v>360</v>
      </c>
      <c r="AI43" s="2" t="str">
        <f>IF(Tabla_Decretos[[#This Row],[id_padre]]=Tabla_Decretos[[#This Row],[Id]],"NOK","OK")</f>
        <v>OK</v>
      </c>
      <c r="AJ43" s="2"/>
      <c r="AK43" s="2"/>
      <c r="AL43" s="2"/>
      <c r="AM43" s="2"/>
      <c r="AN43" s="2"/>
    </row>
    <row r="44" spans="1:40" x14ac:dyDescent="0.5">
      <c r="A44" s="2">
        <f>MAX(Tabla_Compras[Id])</f>
        <v>736</v>
      </c>
      <c r="B44" s="2">
        <v>738</v>
      </c>
      <c r="C44" s="5">
        <f>IF(Tabla_Decretos[[#This Row],[id_padre]]="",0,_xlfn.XLOOKUP(Tabla_Decretos[[#This Row],[id_padre]],Tabla_Decretos[Id],Tabla_Decretos[Nivel],0,0,1)+1)</f>
        <v>2</v>
      </c>
      <c r="D44" s="2" t="s">
        <v>678</v>
      </c>
      <c r="E44" s="2">
        <f>IF(Tabla_Decretos[[#This Row],[Id_anterior]]=1,ROW()-1,SUM(ROW()-1,Tabla_Decretos[[#This Row],[Id_anterior]]))</f>
        <v>779</v>
      </c>
      <c r="F4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DECRETOS_PARAMETROS_REFRENDEDORES</v>
      </c>
      <c r="G44" s="2" t="str">
        <f>CLEAN(PROPER(Tabla_Decretos[[#This Row],[Nombre Opción]]))</f>
        <v>Refrendedores</v>
      </c>
      <c r="H44" s="2" t="s">
        <v>1735</v>
      </c>
      <c r="I44" s="2" t="str">
        <f>_xlfn.XLOOKUP(Tabla_Decretos[[#This Row],[id_padre]],Tabla_Decretos[Id],Tabla_Decretos[Codigo_Tecnico],"",0,1)</f>
        <v>DECRETOS_PARAMETROS</v>
      </c>
      <c r="J4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/decretos/parametros/refrendedores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refrendedores</v>
      </c>
      <c r="L44" s="2" t="s">
        <v>1564</v>
      </c>
      <c r="M44" t="s">
        <v>1799</v>
      </c>
      <c r="P44" s="4"/>
      <c r="R44" s="4"/>
      <c r="S44" s="4" t="s">
        <v>360</v>
      </c>
      <c r="X44" s="4" t="s">
        <v>360</v>
      </c>
      <c r="AA44" s="4" t="s">
        <v>360</v>
      </c>
      <c r="AB44" s="5"/>
      <c r="AC44" s="5"/>
      <c r="AD44" s="5"/>
      <c r="AE44" s="5"/>
      <c r="AF44" s="5"/>
      <c r="AG44" s="5"/>
      <c r="AH44" s="4" t="s">
        <v>360</v>
      </c>
      <c r="AI44" s="2" t="str">
        <f>IF(Tabla_Decretos[[#This Row],[id_padre]]=Tabla_Decretos[[#This Row],[Id]],"NOK","OK")</f>
        <v>OK</v>
      </c>
      <c r="AJ44" s="2"/>
      <c r="AK44" s="2"/>
      <c r="AL44" s="2"/>
      <c r="AM44" s="2"/>
      <c r="AN44" s="2"/>
    </row>
    <row r="45" spans="1:40" hidden="1" x14ac:dyDescent="0.5">
      <c r="A45" s="2">
        <f>MAX(Tabla_Compras[Id])</f>
        <v>736</v>
      </c>
      <c r="B45" s="2">
        <v>739</v>
      </c>
      <c r="C45" s="5">
        <f>IF(Tabla_Decretos[[#This Row],[id_padre]]="",0,_xlfn.XLOOKUP(Tabla_Decretos[[#This Row],[id_padre]],Tabla_Decretos[Id],Tabla_Decretos[Nivel],0,0,1)+1)</f>
        <v>2</v>
      </c>
      <c r="D45" s="2" t="s">
        <v>679</v>
      </c>
      <c r="E45" s="2">
        <f>IF(Tabla_Decretos[[#This Row],[Id_anterior]]=1,ROW()-1,SUM(ROW()-1,Tabla_Decretos[[#This Row],[Id_anterior]]))</f>
        <v>780</v>
      </c>
      <c r="F4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DECRETOS_DECRETOS_INGRESOS_CUENTA_RVA_NRO_9153</v>
      </c>
      <c r="G45" s="2" t="str">
        <f>CLEAN(PROPER(Tabla_Decretos[[#This Row],[Nombre Opción]]))</f>
        <v>Ingresos Cuenta De Rva Nro 9.153</v>
      </c>
      <c r="H45" s="2" t="s">
        <v>1735</v>
      </c>
      <c r="I45" s="2" t="str">
        <f>_xlfn.XLOOKUP(Tabla_Decretos[[#This Row],[id_padre]],Tabla_Decretos[Id],Tabla_Decretos[Codigo_Tecnico],"",0,1)</f>
        <v>DECRETOS_DECRETOS</v>
      </c>
      <c r="J4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/decretos/decretos/ingresos-cuenta-rva-nro-9153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ingresos-cuenta-rva-nro-9153</v>
      </c>
      <c r="L45" s="2" t="s">
        <v>1367</v>
      </c>
      <c r="M45" t="s">
        <v>1799</v>
      </c>
      <c r="N45" s="4" t="s">
        <v>360</v>
      </c>
      <c r="P45" s="4"/>
      <c r="R45" s="4"/>
      <c r="S45" s="4"/>
      <c r="AB45" s="5"/>
      <c r="AC45" s="5"/>
      <c r="AD45" s="5"/>
      <c r="AE45" s="5"/>
      <c r="AF45" s="5"/>
      <c r="AG45" s="5"/>
      <c r="AH45" s="4" t="s">
        <v>360</v>
      </c>
      <c r="AI45" s="2" t="str">
        <f>IF(Tabla_Decretos[[#This Row],[id_padre]]=Tabla_Decretos[[#This Row],[Id]],"NOK","OK")</f>
        <v>OK</v>
      </c>
      <c r="AJ45" s="2"/>
      <c r="AK45" s="2"/>
      <c r="AL45" s="2"/>
      <c r="AM45" s="2"/>
      <c r="AN45" s="2"/>
    </row>
    <row r="46" spans="1:40" hidden="1" x14ac:dyDescent="0.5">
      <c r="A46" s="2">
        <f>MAX(Tabla_Compras[Id])</f>
        <v>736</v>
      </c>
      <c r="B46" s="2">
        <v>739</v>
      </c>
      <c r="C46" s="5">
        <f>IF(Tabla_Decretos[[#This Row],[id_padre]]="",0,_xlfn.XLOOKUP(Tabla_Decretos[[#This Row],[id_padre]],Tabla_Decretos[Id],Tabla_Decretos[Nivel],0,0,1)+1)</f>
        <v>2</v>
      </c>
      <c r="D46" s="2" t="s">
        <v>680</v>
      </c>
      <c r="E46" s="2">
        <f>IF(Tabla_Decretos[[#This Row],[Id_anterior]]=1,ROW()-1,SUM(ROW()-1,Tabla_Decretos[[#This Row],[Id_anterior]]))</f>
        <v>781</v>
      </c>
      <c r="F4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DECRETOS_DECRETOS_INGRESO_Y_GASTO_PISO_ANUAL</v>
      </c>
      <c r="G46" s="2" t="str">
        <f>CLEAN(PROPER(Tabla_Decretos[[#This Row],[Nombre Opción]]))</f>
        <v>Ingreso Y Gasto Piso Anual</v>
      </c>
      <c r="H46" s="2" t="s">
        <v>1735</v>
      </c>
      <c r="I46" s="2" t="str">
        <f>_xlfn.XLOOKUP(Tabla_Decretos[[#This Row],[id_padre]],Tabla_Decretos[Id],Tabla_Decretos[Codigo_Tecnico],"",0,1)</f>
        <v>DECRETOS_DECRETOS</v>
      </c>
      <c r="J4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/decretos/decretos/ingreso-y-gasto-piso-anual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ingreso-y-gasto-piso-anual</v>
      </c>
      <c r="L46" s="2" t="s">
        <v>1408</v>
      </c>
      <c r="M46" t="s">
        <v>1799</v>
      </c>
      <c r="N46" s="4" t="s">
        <v>360</v>
      </c>
      <c r="P46" s="4"/>
      <c r="R46" s="4"/>
      <c r="S46" s="4"/>
      <c r="AB46" s="5"/>
      <c r="AC46" s="5"/>
      <c r="AD46" s="5"/>
      <c r="AE46" s="5"/>
      <c r="AF46" s="5"/>
      <c r="AG46" s="5"/>
      <c r="AH46" s="4" t="s">
        <v>360</v>
      </c>
      <c r="AI46" s="2" t="str">
        <f>IF(Tabla_Decretos[[#This Row],[id_padre]]=Tabla_Decretos[[#This Row],[Id]],"NOK","OK")</f>
        <v>OK</v>
      </c>
      <c r="AJ46" s="2"/>
      <c r="AK46" s="2"/>
      <c r="AL46" s="2"/>
      <c r="AM46" s="2"/>
      <c r="AN46" s="2"/>
    </row>
    <row r="47" spans="1:40" hidden="1" x14ac:dyDescent="0.5">
      <c r="A47" s="2">
        <f>MAX(Tabla_Compras[Id])</f>
        <v>736</v>
      </c>
      <c r="B47" s="2">
        <v>739</v>
      </c>
      <c r="C47" s="5">
        <f>IF(Tabla_Decretos[[#This Row],[id_padre]]="",0,_xlfn.XLOOKUP(Tabla_Decretos[[#This Row],[id_padre]],Tabla_Decretos[Id],Tabla_Decretos[Nivel],0,0,1)+1)</f>
        <v>2</v>
      </c>
      <c r="D47" s="2" t="s">
        <v>681</v>
      </c>
      <c r="E47" s="2">
        <f>IF(Tabla_Decretos[[#This Row],[Id_anterior]]=1,ROW()-1,SUM(ROW()-1,Tabla_Decretos[[#This Row],[Id_anterior]]))</f>
        <v>782</v>
      </c>
      <c r="F4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DECRETOS_DECRETOS_DECRETO_MATRIZ</v>
      </c>
      <c r="G47" s="2" t="str">
        <f>CLEAN(PROPER(Tabla_Decretos[[#This Row],[Nombre Opción]]))</f>
        <v>Decreto Matriz</v>
      </c>
      <c r="H47" s="2" t="s">
        <v>1735</v>
      </c>
      <c r="I47" s="2" t="str">
        <f>_xlfn.XLOOKUP(Tabla_Decretos[[#This Row],[id_padre]],Tabla_Decretos[Id],Tabla_Decretos[Codigo_Tecnico],"",0,1)</f>
        <v>DECRETOS_DECRETOS</v>
      </c>
      <c r="J4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/decretos/decretos/decreto-matriz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decreto-matriz</v>
      </c>
      <c r="L47" s="2" t="s">
        <v>1458</v>
      </c>
      <c r="M47" t="s">
        <v>1799</v>
      </c>
      <c r="N47" s="4" t="s">
        <v>360</v>
      </c>
      <c r="O47" s="4" t="s">
        <v>360</v>
      </c>
      <c r="P47" s="4"/>
      <c r="Q47" s="4" t="s">
        <v>360</v>
      </c>
      <c r="R47" s="4" t="s">
        <v>360</v>
      </c>
      <c r="S47" s="4"/>
      <c r="AB47" s="5"/>
      <c r="AC47" s="5"/>
      <c r="AD47" s="5"/>
      <c r="AE47" s="5"/>
      <c r="AF47" s="5"/>
      <c r="AG47" s="5"/>
      <c r="AH47" s="4" t="s">
        <v>360</v>
      </c>
      <c r="AI47" s="2" t="str">
        <f>IF(Tabla_Decretos[[#This Row],[id_padre]]=Tabla_Decretos[[#This Row],[Id]],"NOK","OK")</f>
        <v>OK</v>
      </c>
      <c r="AJ47" s="2"/>
      <c r="AK47" s="2"/>
      <c r="AL47" s="2"/>
      <c r="AM47" s="2"/>
      <c r="AN47" s="2"/>
    </row>
    <row r="48" spans="1:40" hidden="1" x14ac:dyDescent="0.5">
      <c r="A48" s="2">
        <f>MAX(Tabla_Compras[Id])</f>
        <v>736</v>
      </c>
      <c r="B48" s="2">
        <v>782</v>
      </c>
      <c r="C48" s="5">
        <f>IF(Tabla_Decretos[[#This Row],[id_padre]]="",0,_xlfn.XLOOKUP(Tabla_Decretos[[#This Row],[id_padre]],Tabla_Decretos[Id],Tabla_Decretos[Nivel],0,0,1)+1)</f>
        <v>3</v>
      </c>
      <c r="D48" s="2" t="s">
        <v>685</v>
      </c>
      <c r="E48" s="2">
        <f>IF(Tabla_Decretos[[#This Row],[Id_anterior]]=1,ROW()-1,SUM(ROW()-1,Tabla_Decretos[[#This Row],[Id_anterior]]))</f>
        <v>783</v>
      </c>
      <c r="F4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DECRETOS_DECRETOS_DECRETO_MATRIZ_INGRESO</v>
      </c>
      <c r="G48" s="2" t="str">
        <f>CLEAN(PROPER(Tabla_Decretos[[#This Row],[Nombre Opción]]))</f>
        <v>Ingreso</v>
      </c>
      <c r="H48" s="2" t="s">
        <v>1735</v>
      </c>
      <c r="I48" s="2" t="str">
        <f>_xlfn.XLOOKUP(Tabla_Decretos[[#This Row],[id_padre]],Tabla_Decretos[Id],Tabla_Decretos[Codigo_Tecnico],"",0,1)</f>
        <v>DECRETOS_DECRETOS_DECRETO_MATRIZ</v>
      </c>
      <c r="J4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/decretos/decretos/decreto-matriz/ingreso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</v>
      </c>
      <c r="L48" s="2" t="s">
        <v>1482</v>
      </c>
      <c r="M48" t="s">
        <v>1799</v>
      </c>
      <c r="N48" s="4" t="s">
        <v>360</v>
      </c>
      <c r="O48" s="4" t="s">
        <v>360</v>
      </c>
      <c r="P48" s="4"/>
      <c r="Q48" s="4" t="s">
        <v>360</v>
      </c>
      <c r="R48" s="4" t="s">
        <v>360</v>
      </c>
      <c r="S48" s="4"/>
      <c r="AB48" s="5"/>
      <c r="AC48" s="5"/>
      <c r="AD48" s="5"/>
      <c r="AE48" s="5"/>
      <c r="AF48" s="5"/>
      <c r="AG48" s="5"/>
      <c r="AH48" s="4" t="s">
        <v>360</v>
      </c>
      <c r="AI48" s="2" t="str">
        <f>IF(Tabla_Decretos[[#This Row],[id_padre]]=Tabla_Decretos[[#This Row],[Id]],"NOK","OK")</f>
        <v>OK</v>
      </c>
      <c r="AJ48" s="2"/>
      <c r="AK48" s="2"/>
      <c r="AL48" s="2"/>
      <c r="AM48" s="2"/>
      <c r="AN48" s="2"/>
    </row>
    <row r="49" spans="1:40" hidden="1" x14ac:dyDescent="0.5">
      <c r="A49" s="2">
        <f>MAX(Tabla_Compras[Id])</f>
        <v>736</v>
      </c>
      <c r="B49" s="2">
        <v>782</v>
      </c>
      <c r="C49" s="5">
        <f>IF(Tabla_Decretos[[#This Row],[id_padre]]="",0,_xlfn.XLOOKUP(Tabla_Decretos[[#This Row],[id_padre]],Tabla_Decretos[Id],Tabla_Decretos[Nivel],0,0,1)+1)</f>
        <v>3</v>
      </c>
      <c r="D49" s="2" t="s">
        <v>686</v>
      </c>
      <c r="E49" s="2">
        <f>IF(Tabla_Decretos[[#This Row],[Id_anterior]]=1,ROW()-1,SUM(ROW()-1,Tabla_Decretos[[#This Row],[Id_anterior]]))</f>
        <v>784</v>
      </c>
      <c r="F4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DECRETOS_DECRETOS_DECRETO_MATRIZ_MANTENCION</v>
      </c>
      <c r="G49" s="2" t="str">
        <f>CLEAN(PROPER(Tabla_Decretos[[#This Row],[Nombre Opción]]))</f>
        <v>Mantención</v>
      </c>
      <c r="H49" s="2" t="s">
        <v>1735</v>
      </c>
      <c r="I49" s="2" t="str">
        <f>_xlfn.XLOOKUP(Tabla_Decretos[[#This Row],[id_padre]],Tabla_Decretos[Id],Tabla_Decretos[Codigo_Tecnico],"",0,1)</f>
        <v>DECRETOS_DECRETOS_DECRETO_MATRIZ</v>
      </c>
      <c r="J4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/decretos/decretos/decreto-matriz/mantencion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</v>
      </c>
      <c r="L49" s="2" t="s">
        <v>1352</v>
      </c>
      <c r="M49" t="s">
        <v>1799</v>
      </c>
      <c r="N49" s="4" t="s">
        <v>360</v>
      </c>
      <c r="O49" s="4" t="s">
        <v>360</v>
      </c>
      <c r="P49" s="4"/>
      <c r="Q49" s="4" t="s">
        <v>360</v>
      </c>
      <c r="R49" s="4" t="s">
        <v>360</v>
      </c>
      <c r="S49" s="4"/>
      <c r="AB49" s="5"/>
      <c r="AC49" s="5"/>
      <c r="AD49" s="5"/>
      <c r="AE49" s="5"/>
      <c r="AF49" s="5"/>
      <c r="AG49" s="5"/>
      <c r="AH49" s="4" t="s">
        <v>360</v>
      </c>
      <c r="AI49" s="2" t="str">
        <f>IF(Tabla_Decretos[[#This Row],[id_padre]]=Tabla_Decretos[[#This Row],[Id]],"NOK","OK")</f>
        <v>OK</v>
      </c>
      <c r="AJ49" s="2"/>
      <c r="AK49" s="2"/>
      <c r="AL49" s="2"/>
      <c r="AM49" s="2"/>
      <c r="AN49" s="2"/>
    </row>
    <row r="50" spans="1:40" hidden="1" x14ac:dyDescent="0.5">
      <c r="A50" s="2">
        <f>MAX(Tabla_Compras[Id])</f>
        <v>736</v>
      </c>
      <c r="B50" s="2">
        <v>782</v>
      </c>
      <c r="C50" s="5">
        <f>IF(Tabla_Decretos[[#This Row],[id_padre]]="",0,_xlfn.XLOOKUP(Tabla_Decretos[[#This Row],[id_padre]],Tabla_Decretos[Id],Tabla_Decretos[Nivel],0,0,1)+1)</f>
        <v>3</v>
      </c>
      <c r="D50" s="2" t="s">
        <v>687</v>
      </c>
      <c r="E50" s="2">
        <f>IF(Tabla_Decretos[[#This Row],[Id_anterior]]=1,ROW()-1,SUM(ROW()-1,Tabla_Decretos[[#This Row],[Id_anterior]]))</f>
        <v>785</v>
      </c>
      <c r="F5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DECRETOS_DECRETOS_DECRETO_MATRIZ_INGRESO_FLUJO_GASTOS</v>
      </c>
      <c r="G50" s="2" t="str">
        <f>CLEAN(PROPER(Tabla_Decretos[[#This Row],[Nombre Opción]]))</f>
        <v>Ingreso Flujo De Gastos</v>
      </c>
      <c r="H50" s="2" t="s">
        <v>1735</v>
      </c>
      <c r="I50" s="2" t="str">
        <f>_xlfn.XLOOKUP(Tabla_Decretos[[#This Row],[id_padre]],Tabla_Decretos[Id],Tabla_Decretos[Codigo_Tecnico],"",0,1)</f>
        <v>DECRETOS_DECRETOS_DECRETO_MATRIZ</v>
      </c>
      <c r="J5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/decretos/decretos/decreto-matriz/ingreso-flujo-gastos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ingreso-flujo-gastos</v>
      </c>
      <c r="L50" s="2" t="s">
        <v>1442</v>
      </c>
      <c r="M50" t="s">
        <v>1799</v>
      </c>
      <c r="N50" s="4" t="s">
        <v>360</v>
      </c>
      <c r="O50" s="4" t="s">
        <v>360</v>
      </c>
      <c r="P50" s="4"/>
      <c r="Q50" s="4" t="s">
        <v>360</v>
      </c>
      <c r="R50" s="4" t="s">
        <v>360</v>
      </c>
      <c r="S50" s="4"/>
      <c r="AB50" s="5"/>
      <c r="AC50" s="5"/>
      <c r="AD50" s="5"/>
      <c r="AE50" s="5"/>
      <c r="AF50" s="5"/>
      <c r="AG50" s="5"/>
      <c r="AH50" s="4" t="s">
        <v>360</v>
      </c>
      <c r="AI50" s="2" t="str">
        <f>IF(Tabla_Decretos[[#This Row],[id_padre]]=Tabla_Decretos[[#This Row],[Id]],"NOK","OK")</f>
        <v>OK</v>
      </c>
      <c r="AJ50" s="2"/>
      <c r="AK50" s="2"/>
      <c r="AL50" s="2"/>
      <c r="AM50" s="2"/>
      <c r="AN50" s="2"/>
    </row>
    <row r="51" spans="1:40" hidden="1" x14ac:dyDescent="0.5">
      <c r="A51" s="2">
        <f>MAX(Tabla_Compras[Id])</f>
        <v>736</v>
      </c>
      <c r="B51" s="2">
        <v>782</v>
      </c>
      <c r="C51" s="5">
        <f>IF(Tabla_Decretos[[#This Row],[id_padre]]="",0,_xlfn.XLOOKUP(Tabla_Decretos[[#This Row],[id_padre]],Tabla_Decretos[Id],Tabla_Decretos[Nivel],0,0,1)+1)</f>
        <v>3</v>
      </c>
      <c r="D51" s="2" t="s">
        <v>688</v>
      </c>
      <c r="E51" s="2">
        <f>IF(Tabla_Decretos[[#This Row],[Id_anterior]]=1,ROW()-1,SUM(ROW()-1,Tabla_Decretos[[#This Row],[Id_anterior]]))</f>
        <v>786</v>
      </c>
      <c r="F5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DECRETOS_DECRETOS_DECRETO_MATRIZ_MANTENCION_FLUJO_GASTOS</v>
      </c>
      <c r="G51" s="2" t="str">
        <f>CLEAN(PROPER(Tabla_Decretos[[#This Row],[Nombre Opción]]))</f>
        <v>Mantencion Flujo De Gastos</v>
      </c>
      <c r="H51" s="2" t="s">
        <v>1735</v>
      </c>
      <c r="I51" s="2" t="str">
        <f>_xlfn.XLOOKUP(Tabla_Decretos[[#This Row],[id_padre]],Tabla_Decretos[Id],Tabla_Decretos[Codigo_Tecnico],"",0,1)</f>
        <v>DECRETOS_DECRETOS_DECRETO_MATRIZ</v>
      </c>
      <c r="J5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/decretos/decretos/decreto-matriz/mantencion-flujo-gastos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mantencion-flujo-gastos</v>
      </c>
      <c r="L51" s="2" t="s">
        <v>1565</v>
      </c>
      <c r="M51" t="s">
        <v>1799</v>
      </c>
      <c r="N51" s="4" t="s">
        <v>360</v>
      </c>
      <c r="O51" s="4" t="s">
        <v>360</v>
      </c>
      <c r="P51" s="4"/>
      <c r="Q51" s="4" t="s">
        <v>360</v>
      </c>
      <c r="R51" s="4" t="s">
        <v>360</v>
      </c>
      <c r="S51" s="4"/>
      <c r="AB51" s="5"/>
      <c r="AC51" s="5"/>
      <c r="AD51" s="5"/>
      <c r="AE51" s="5"/>
      <c r="AF51" s="5"/>
      <c r="AG51" s="5"/>
      <c r="AH51" s="4" t="s">
        <v>360</v>
      </c>
      <c r="AI51" s="2" t="str">
        <f>IF(Tabla_Decretos[[#This Row],[id_padre]]=Tabla_Decretos[[#This Row],[Id]],"NOK","OK")</f>
        <v>OK</v>
      </c>
      <c r="AJ51" s="2"/>
      <c r="AK51" s="2"/>
      <c r="AL51" s="2"/>
      <c r="AM51" s="2"/>
      <c r="AN51" s="2"/>
    </row>
    <row r="52" spans="1:40" hidden="1" x14ac:dyDescent="0.5">
      <c r="A52" s="2">
        <f>MAX(Tabla_Compras[Id])</f>
        <v>736</v>
      </c>
      <c r="B52" s="2">
        <v>739</v>
      </c>
      <c r="C52" s="5">
        <f>IF(Tabla_Decretos[[#This Row],[id_padre]]="",0,_xlfn.XLOOKUP(Tabla_Decretos[[#This Row],[id_padre]],Tabla_Decretos[Id],Tabla_Decretos[Nivel],0,0,1)+1)</f>
        <v>2</v>
      </c>
      <c r="D52" s="2" t="s">
        <v>689</v>
      </c>
      <c r="E52" s="2">
        <f>IF(Tabla_Decretos[[#This Row],[Id_anterior]]=1,ROW()-1,SUM(ROW()-1,Tabla_Decretos[[#This Row],[Id_anterior]]))</f>
        <v>787</v>
      </c>
      <c r="F5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DECRETOS_DECRETOS_DECRETO_DIFERIDO</v>
      </c>
      <c r="G52" s="2" t="str">
        <f>CLEAN(PROPER(Tabla_Decretos[[#This Row],[Nombre Opción]]))</f>
        <v>Decreto Diferido</v>
      </c>
      <c r="H52" s="2" t="s">
        <v>1735</v>
      </c>
      <c r="I52" s="2" t="str">
        <f>_xlfn.XLOOKUP(Tabla_Decretos[[#This Row],[id_padre]],Tabla_Decretos[Id],Tabla_Decretos[Codigo_Tecnico],"",0,1)</f>
        <v>DECRETOS_DECRETOS</v>
      </c>
      <c r="J5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/decretos/decretos/decreto-diferido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decreto-diferido</v>
      </c>
      <c r="L52" s="2" t="s">
        <v>1501</v>
      </c>
      <c r="M52" t="s">
        <v>1799</v>
      </c>
      <c r="N52" s="4" t="s">
        <v>360</v>
      </c>
      <c r="O52" s="4" t="s">
        <v>360</v>
      </c>
      <c r="P52" s="4"/>
      <c r="Q52" s="4" t="s">
        <v>360</v>
      </c>
      <c r="R52" s="4" t="s">
        <v>360</v>
      </c>
      <c r="S52" s="4"/>
      <c r="AB52" s="5"/>
      <c r="AC52" s="5"/>
      <c r="AD52" s="5"/>
      <c r="AE52" s="5"/>
      <c r="AF52" s="5"/>
      <c r="AG52" s="5"/>
      <c r="AH52" s="4" t="s">
        <v>360</v>
      </c>
      <c r="AI52" s="2" t="str">
        <f>IF(Tabla_Decretos[[#This Row],[id_padre]]=Tabla_Decretos[[#This Row],[Id]],"NOK","OK")</f>
        <v>OK</v>
      </c>
      <c r="AJ52" s="2"/>
      <c r="AK52" s="2"/>
      <c r="AL52" s="2"/>
      <c r="AM52" s="2"/>
      <c r="AN52" s="2"/>
    </row>
    <row r="53" spans="1:40" hidden="1" x14ac:dyDescent="0.5">
      <c r="A53" s="2">
        <f>MAX(Tabla_Compras[Id])</f>
        <v>736</v>
      </c>
      <c r="B53" s="2">
        <v>787</v>
      </c>
      <c r="C53" s="5">
        <f>IF(Tabla_Decretos[[#This Row],[id_padre]]="",0,_xlfn.XLOOKUP(Tabla_Decretos[[#This Row],[id_padre]],Tabla_Decretos[Id],Tabla_Decretos[Nivel],0,0,1)+1)</f>
        <v>3</v>
      </c>
      <c r="D53" s="2" t="s">
        <v>685</v>
      </c>
      <c r="E53" s="2">
        <f>IF(Tabla_Decretos[[#This Row],[Id_anterior]]=1,ROW()-1,SUM(ROW()-1,Tabla_Decretos[[#This Row],[Id_anterior]]))</f>
        <v>788</v>
      </c>
      <c r="F5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DECRETOS_DECRETOS_DECRETO_DIFERIDO_INGRESO</v>
      </c>
      <c r="G53" s="2" t="str">
        <f>CLEAN(PROPER(Tabla_Decretos[[#This Row],[Nombre Opción]]))</f>
        <v>Ingreso</v>
      </c>
      <c r="H53" s="2" t="s">
        <v>1735</v>
      </c>
      <c r="I53" s="2" t="str">
        <f>_xlfn.XLOOKUP(Tabla_Decretos[[#This Row],[id_padre]],Tabla_Decretos[Id],Tabla_Decretos[Codigo_Tecnico],"",0,1)</f>
        <v>DECRETOS_DECRETOS_DECRETO_DIFERIDO</v>
      </c>
      <c r="J5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/decretos/decretos/decreto-diferido/ingreso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</v>
      </c>
      <c r="L53" s="2" t="s">
        <v>1482</v>
      </c>
      <c r="M53" t="s">
        <v>1799</v>
      </c>
      <c r="N53" s="4" t="s">
        <v>360</v>
      </c>
      <c r="O53" s="4" t="s">
        <v>360</v>
      </c>
      <c r="P53" s="4"/>
      <c r="Q53" s="4" t="s">
        <v>360</v>
      </c>
      <c r="R53" s="4" t="s">
        <v>360</v>
      </c>
      <c r="S53" s="4"/>
      <c r="AB53" s="5"/>
      <c r="AC53" s="5"/>
      <c r="AD53" s="5"/>
      <c r="AE53" s="5"/>
      <c r="AF53" s="5"/>
      <c r="AG53" s="5"/>
      <c r="AH53" s="4" t="s">
        <v>360</v>
      </c>
      <c r="AI53" s="2" t="str">
        <f>IF(Tabla_Decretos[[#This Row],[id_padre]]=Tabla_Decretos[[#This Row],[Id]],"NOK","OK")</f>
        <v>OK</v>
      </c>
      <c r="AJ53" s="2"/>
      <c r="AK53" s="2"/>
      <c r="AL53" s="2"/>
      <c r="AM53" s="2"/>
      <c r="AN53" s="2"/>
    </row>
    <row r="54" spans="1:40" hidden="1" x14ac:dyDescent="0.5">
      <c r="A54" s="2">
        <f>MAX(Tabla_Compras[Id])</f>
        <v>736</v>
      </c>
      <c r="B54" s="2">
        <v>787</v>
      </c>
      <c r="C54" s="5">
        <f>IF(Tabla_Decretos[[#This Row],[id_padre]]="",0,_xlfn.XLOOKUP(Tabla_Decretos[[#This Row],[id_padre]],Tabla_Decretos[Id],Tabla_Decretos[Nivel],0,0,1)+1)</f>
        <v>3</v>
      </c>
      <c r="D54" s="2" t="s">
        <v>134</v>
      </c>
      <c r="E54" s="2">
        <f>IF(Tabla_Decretos[[#This Row],[Id_anterior]]=1,ROW()-1,SUM(ROW()-1,Tabla_Decretos[[#This Row],[Id_anterior]]))</f>
        <v>789</v>
      </c>
      <c r="F5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DECRETOS_DECRETOS_DECRETO_DIFERIDO_MANTENCION</v>
      </c>
      <c r="G54" s="2" t="str">
        <f>CLEAN(PROPER(Tabla_Decretos[[#This Row],[Nombre Opción]]))</f>
        <v>Mantencion</v>
      </c>
      <c r="H54" s="2" t="s">
        <v>1735</v>
      </c>
      <c r="I54" s="2" t="str">
        <f>_xlfn.XLOOKUP(Tabla_Decretos[[#This Row],[id_padre]],Tabla_Decretos[Id],Tabla_Decretos[Codigo_Tecnico],"",0,1)</f>
        <v>DECRETOS_DECRETOS_DECRETO_DIFERIDO</v>
      </c>
      <c r="J5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/decretos/decretos/decreto-diferido/mantencion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</v>
      </c>
      <c r="L54" s="2" t="s">
        <v>1472</v>
      </c>
      <c r="M54" t="s">
        <v>1799</v>
      </c>
      <c r="N54" s="4" t="s">
        <v>360</v>
      </c>
      <c r="O54" s="4" t="s">
        <v>360</v>
      </c>
      <c r="P54" s="4"/>
      <c r="Q54" s="4" t="s">
        <v>360</v>
      </c>
      <c r="R54" s="4" t="s">
        <v>360</v>
      </c>
      <c r="S54" s="4"/>
      <c r="AB54" s="5"/>
      <c r="AC54" s="5"/>
      <c r="AD54" s="5"/>
      <c r="AE54" s="5"/>
      <c r="AF54" s="5"/>
      <c r="AG54" s="5"/>
      <c r="AH54" s="4" t="s">
        <v>360</v>
      </c>
      <c r="AI54" s="2" t="str">
        <f>IF(Tabla_Decretos[[#This Row],[id_padre]]=Tabla_Decretos[[#This Row],[Id]],"NOK","OK")</f>
        <v>OK</v>
      </c>
      <c r="AJ54" s="2"/>
      <c r="AK54" s="2"/>
      <c r="AL54" s="2"/>
      <c r="AM54" s="2"/>
      <c r="AN54" s="2"/>
    </row>
    <row r="55" spans="1:40" hidden="1" x14ac:dyDescent="0.5">
      <c r="A55" s="2">
        <f>MAX(Tabla_Compras[Id])</f>
        <v>736</v>
      </c>
      <c r="B55" s="2">
        <v>787</v>
      </c>
      <c r="C55" s="5">
        <f>IF(Tabla_Decretos[[#This Row],[id_padre]]="",0,_xlfn.XLOOKUP(Tabla_Decretos[[#This Row],[id_padre]],Tabla_Decretos[Id],Tabla_Decretos[Nivel],0,0,1)+1)</f>
        <v>3</v>
      </c>
      <c r="D55" s="2" t="s">
        <v>690</v>
      </c>
      <c r="E55" s="2">
        <f>IF(Tabla_Decretos[[#This Row],[Id_anterior]]=1,ROW()-1,SUM(ROW()-1,Tabla_Decretos[[#This Row],[Id_anterior]]))</f>
        <v>790</v>
      </c>
      <c r="F5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DECRETOS_DECRETOS_DECRETO_DIFERIDO_INGRESOS_PERCIBIDOS</v>
      </c>
      <c r="G55" s="2" t="str">
        <f>CLEAN(PROPER(Tabla_Decretos[[#This Row],[Nombre Opción]]))</f>
        <v>Ingresos Percibidos</v>
      </c>
      <c r="H55" s="2" t="s">
        <v>1735</v>
      </c>
      <c r="I55" s="2" t="str">
        <f>_xlfn.XLOOKUP(Tabla_Decretos[[#This Row],[id_padre]],Tabla_Decretos[Id],Tabla_Decretos[Codigo_Tecnico],"",0,1)</f>
        <v>DECRETOS_DECRETOS_DECRETO_DIFERIDO</v>
      </c>
      <c r="J5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/decretos/decretos/decreto-diferido/ingresos-percibidos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ingresos-percibidos</v>
      </c>
      <c r="L55" s="2" t="s">
        <v>1415</v>
      </c>
      <c r="M55" t="s">
        <v>1799</v>
      </c>
      <c r="N55" s="4" t="s">
        <v>360</v>
      </c>
      <c r="O55" s="4" t="s">
        <v>360</v>
      </c>
      <c r="P55" s="4"/>
      <c r="Q55" s="4" t="s">
        <v>360</v>
      </c>
      <c r="R55" s="4" t="s">
        <v>360</v>
      </c>
      <c r="S55" s="4"/>
      <c r="AB55" s="5"/>
      <c r="AC55" s="5"/>
      <c r="AD55" s="5"/>
      <c r="AE55" s="5"/>
      <c r="AF55" s="5"/>
      <c r="AG55" s="5"/>
      <c r="AH55" s="4" t="s">
        <v>360</v>
      </c>
      <c r="AI55" s="2" t="str">
        <f>IF(Tabla_Decretos[[#This Row],[id_padre]]=Tabla_Decretos[[#This Row],[Id]],"NOK","OK")</f>
        <v>OK</v>
      </c>
      <c r="AJ55" s="2"/>
      <c r="AK55" s="2"/>
      <c r="AL55" s="2"/>
      <c r="AM55" s="2"/>
      <c r="AN55" s="2"/>
    </row>
    <row r="56" spans="1:40" hidden="1" x14ac:dyDescent="0.5">
      <c r="A56" s="2">
        <f>MAX(Tabla_Compras[Id])</f>
        <v>736</v>
      </c>
      <c r="B56" s="2">
        <v>787</v>
      </c>
      <c r="C56" s="5">
        <f>IF(Tabla_Decretos[[#This Row],[id_padre]]="",0,_xlfn.XLOOKUP(Tabla_Decretos[[#This Row],[id_padre]],Tabla_Decretos[Id],Tabla_Decretos[Nivel],0,0,1)+1)</f>
        <v>3</v>
      </c>
      <c r="D56" s="2" t="s">
        <v>691</v>
      </c>
      <c r="E56" s="2">
        <f>IF(Tabla_Decretos[[#This Row],[Id_anterior]]=1,ROW()-1,SUM(ROW()-1,Tabla_Decretos[[#This Row],[Id_anterior]]))</f>
        <v>791</v>
      </c>
      <c r="F5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DECRETOS_DECRETOS_DECRETO_DIFERIDO_PAGOS_HISTORICOS</v>
      </c>
      <c r="G56" s="2" t="str">
        <f>CLEAN(PROPER(Tabla_Decretos[[#This Row],[Nombre Opción]]))</f>
        <v>Pagos Historicos</v>
      </c>
      <c r="H56" s="2" t="s">
        <v>1735</v>
      </c>
      <c r="I56" s="2" t="str">
        <f>_xlfn.XLOOKUP(Tabla_Decretos[[#This Row],[id_padre]],Tabla_Decretos[Id],Tabla_Decretos[Codigo_Tecnico],"",0,1)</f>
        <v>DECRETOS_DECRETOS_DECRETO_DIFERIDO</v>
      </c>
      <c r="J5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/decretos/decretos/decreto-diferido/pagos-historicos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pagos-historicos</v>
      </c>
      <c r="L56" s="2" t="s">
        <v>1439</v>
      </c>
      <c r="M56" t="s">
        <v>1799</v>
      </c>
      <c r="N56" s="4" t="s">
        <v>360</v>
      </c>
      <c r="O56" s="4" t="s">
        <v>360</v>
      </c>
      <c r="P56" s="4"/>
      <c r="Q56" s="4" t="s">
        <v>360</v>
      </c>
      <c r="R56" s="4" t="s">
        <v>360</v>
      </c>
      <c r="S56" s="4"/>
      <c r="AB56" s="5"/>
      <c r="AC56" s="5"/>
      <c r="AD56" s="5"/>
      <c r="AE56" s="5"/>
      <c r="AF56" s="5"/>
      <c r="AG56" s="5"/>
      <c r="AH56" s="4" t="s">
        <v>360</v>
      </c>
      <c r="AI56" s="2" t="str">
        <f>IF(Tabla_Decretos[[#This Row],[id_padre]]=Tabla_Decretos[[#This Row],[Id]],"NOK","OK")</f>
        <v>OK</v>
      </c>
      <c r="AJ56" s="2"/>
      <c r="AK56" s="2"/>
      <c r="AL56" s="2"/>
      <c r="AM56" s="2"/>
      <c r="AN56" s="2"/>
    </row>
    <row r="57" spans="1:40" hidden="1" x14ac:dyDescent="0.5">
      <c r="A57" s="2">
        <f>MAX(Tabla_Compras[Id])</f>
        <v>736</v>
      </c>
      <c r="B57" s="2">
        <v>787</v>
      </c>
      <c r="C57" s="5">
        <f>IF(Tabla_Decretos[[#This Row],[id_padre]]="",0,_xlfn.XLOOKUP(Tabla_Decretos[[#This Row],[id_padre]],Tabla_Decretos[Id],Tabla_Decretos[Nivel],0,0,1)+1)</f>
        <v>3</v>
      </c>
      <c r="D57" s="2" t="s">
        <v>692</v>
      </c>
      <c r="E57" s="2">
        <f>IF(Tabla_Decretos[[#This Row],[Id_anterior]]=1,ROW()-1,SUM(ROW()-1,Tabla_Decretos[[#This Row],[Id_anterior]]))</f>
        <v>792</v>
      </c>
      <c r="F5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DECRETOS_DECRETOS_DECRETO_DIFERIDO_RATE_CONVERSION_POR_DECRETO</v>
      </c>
      <c r="G57" s="2" t="str">
        <f>CLEAN(PROPER(Tabla_Decretos[[#This Row],[Nombre Opción]]))</f>
        <v>Rate Conversion Por Decreto</v>
      </c>
      <c r="H57" s="2" t="s">
        <v>1735</v>
      </c>
      <c r="I57" s="2" t="str">
        <f>_xlfn.XLOOKUP(Tabla_Decretos[[#This Row],[id_padre]],Tabla_Decretos[Id],Tabla_Decretos[Codigo_Tecnico],"",0,1)</f>
        <v>DECRETOS_DECRETOS_DECRETO_DIFERIDO</v>
      </c>
      <c r="J5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/decretos/decretos/decreto-diferido/rate-conversion-por-decreto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rate-conversion-por-decreto</v>
      </c>
      <c r="L57" s="2" t="s">
        <v>1362</v>
      </c>
      <c r="M57" t="s">
        <v>1799</v>
      </c>
      <c r="N57" s="4" t="s">
        <v>360</v>
      </c>
      <c r="O57" s="4" t="s">
        <v>360</v>
      </c>
      <c r="P57" s="4"/>
      <c r="Q57" s="4" t="s">
        <v>360</v>
      </c>
      <c r="R57" s="4" t="s">
        <v>360</v>
      </c>
      <c r="S57" s="4"/>
      <c r="AB57" s="5"/>
      <c r="AC57" s="5"/>
      <c r="AD57" s="5"/>
      <c r="AE57" s="5"/>
      <c r="AF57" s="5"/>
      <c r="AG57" s="5"/>
      <c r="AH57" s="4" t="s">
        <v>360</v>
      </c>
      <c r="AI57" s="2" t="str">
        <f>IF(Tabla_Decretos[[#This Row],[id_padre]]=Tabla_Decretos[[#This Row],[Id]],"NOK","OK")</f>
        <v>OK</v>
      </c>
      <c r="AJ57" s="2"/>
      <c r="AK57" s="2"/>
      <c r="AL57" s="2"/>
      <c r="AM57" s="2"/>
      <c r="AN57" s="2"/>
    </row>
    <row r="58" spans="1:40" hidden="1" x14ac:dyDescent="0.5">
      <c r="A58" s="2">
        <f>MAX(Tabla_Compras[Id])</f>
        <v>736</v>
      </c>
      <c r="B58" s="2">
        <v>739</v>
      </c>
      <c r="C58" s="5">
        <f>IF(Tabla_Decretos[[#This Row],[id_padre]]="",0,_xlfn.XLOOKUP(Tabla_Decretos[[#This Row],[id_padre]],Tabla_Decretos[Id],Tabla_Decretos[Nivel],0,0,1)+1)</f>
        <v>2</v>
      </c>
      <c r="D58" s="2" t="s">
        <v>693</v>
      </c>
      <c r="E58" s="2">
        <f>IF(Tabla_Decretos[[#This Row],[Id_anterior]]=1,ROW()-1,SUM(ROW()-1,Tabla_Decretos[[#This Row],[Id_anterior]]))</f>
        <v>793</v>
      </c>
      <c r="F5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DECRETOS_DECRETOS_DECRETO_ADENDUM</v>
      </c>
      <c r="G58" s="2" t="str">
        <f>CLEAN(PROPER(Tabla_Decretos[[#This Row],[Nombre Opción]]))</f>
        <v>Decreto Adendum</v>
      </c>
      <c r="H58" s="2" t="s">
        <v>1735</v>
      </c>
      <c r="I58" s="2" t="str">
        <f>_xlfn.XLOOKUP(Tabla_Decretos[[#This Row],[id_padre]],Tabla_Decretos[Id],Tabla_Decretos[Codigo_Tecnico],"",0,1)</f>
        <v>DECRETOS_DECRETOS</v>
      </c>
      <c r="J5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/decretos/decretos/decreto-adendum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decreto-adendum</v>
      </c>
      <c r="L58" s="2" t="s">
        <v>1566</v>
      </c>
      <c r="M58" t="s">
        <v>1799</v>
      </c>
      <c r="N58" s="4" t="s">
        <v>360</v>
      </c>
      <c r="O58" s="4" t="s">
        <v>360</v>
      </c>
      <c r="P58" s="4"/>
      <c r="Q58" s="4" t="s">
        <v>360</v>
      </c>
      <c r="R58" s="4" t="s">
        <v>360</v>
      </c>
      <c r="S58" s="4"/>
      <c r="AB58" s="5"/>
      <c r="AC58" s="5"/>
      <c r="AD58" s="5"/>
      <c r="AE58" s="5"/>
      <c r="AF58" s="5"/>
      <c r="AG58" s="5"/>
      <c r="AH58" s="4" t="s">
        <v>360</v>
      </c>
      <c r="AI58" s="2" t="str">
        <f>IF(Tabla_Decretos[[#This Row],[id_padre]]=Tabla_Decretos[[#This Row],[Id]],"NOK","OK")</f>
        <v>OK</v>
      </c>
      <c r="AJ58" s="2"/>
      <c r="AK58" s="2"/>
      <c r="AL58" s="2"/>
      <c r="AM58" s="2"/>
      <c r="AN58" s="2"/>
    </row>
    <row r="59" spans="1:40" hidden="1" x14ac:dyDescent="0.5">
      <c r="A59" s="2">
        <f>MAX(Tabla_Compras[Id])</f>
        <v>736</v>
      </c>
      <c r="B59" s="2">
        <v>793</v>
      </c>
      <c r="C59" s="5">
        <f>IF(Tabla_Decretos[[#This Row],[id_padre]]="",0,_xlfn.XLOOKUP(Tabla_Decretos[[#This Row],[id_padre]],Tabla_Decretos[Id],Tabla_Decretos[Nivel],0,0,1)+1)</f>
        <v>3</v>
      </c>
      <c r="D59" s="2" t="s">
        <v>685</v>
      </c>
      <c r="E59" s="2">
        <f>IF(Tabla_Decretos[[#This Row],[Id_anterior]]=1,ROW()-1,SUM(ROW()-1,Tabla_Decretos[[#This Row],[Id_anterior]]))</f>
        <v>794</v>
      </c>
      <c r="F5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DECRETOS_DECRETOS_DECRETO_ADENDUM_INGRESO</v>
      </c>
      <c r="G59" s="2" t="str">
        <f>CLEAN(PROPER(Tabla_Decretos[[#This Row],[Nombre Opción]]))</f>
        <v>Ingreso</v>
      </c>
      <c r="H59" s="2" t="s">
        <v>1735</v>
      </c>
      <c r="I59" s="2" t="str">
        <f>_xlfn.XLOOKUP(Tabla_Decretos[[#This Row],[id_padre]],Tabla_Decretos[Id],Tabla_Decretos[Codigo_Tecnico],"",0,1)</f>
        <v>DECRETOS_DECRETOS_DECRETO_ADENDUM</v>
      </c>
      <c r="J5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/decretos/decretos/decreto-adendum/ingreso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</v>
      </c>
      <c r="L59" s="2" t="s">
        <v>1365</v>
      </c>
      <c r="M59" t="s">
        <v>1799</v>
      </c>
      <c r="N59" s="4" t="s">
        <v>360</v>
      </c>
      <c r="O59" s="4" t="s">
        <v>360</v>
      </c>
      <c r="P59" s="4"/>
      <c r="Q59" s="4" t="s">
        <v>360</v>
      </c>
      <c r="R59" s="4" t="s">
        <v>360</v>
      </c>
      <c r="S59" s="4"/>
      <c r="AB59" s="5"/>
      <c r="AC59" s="5"/>
      <c r="AD59" s="5"/>
      <c r="AE59" s="5"/>
      <c r="AF59" s="5"/>
      <c r="AG59" s="5"/>
      <c r="AH59" s="4" t="s">
        <v>360</v>
      </c>
      <c r="AI59" s="2" t="str">
        <f>IF(Tabla_Decretos[[#This Row],[id_padre]]=Tabla_Decretos[[#This Row],[Id]],"NOK","OK")</f>
        <v>OK</v>
      </c>
      <c r="AJ59" s="2"/>
      <c r="AK59" s="2"/>
      <c r="AL59" s="2"/>
      <c r="AM59" s="2"/>
      <c r="AN59" s="2"/>
    </row>
    <row r="60" spans="1:40" hidden="1" x14ac:dyDescent="0.5">
      <c r="A60" s="2">
        <f>MAX(Tabla_Compras[Id])</f>
        <v>736</v>
      </c>
      <c r="B60" s="2">
        <v>793</v>
      </c>
      <c r="C60" s="5">
        <f>IF(Tabla_Decretos[[#This Row],[id_padre]]="",0,_xlfn.XLOOKUP(Tabla_Decretos[[#This Row],[id_padre]],Tabla_Decretos[Id],Tabla_Decretos[Nivel],0,0,1)+1)</f>
        <v>3</v>
      </c>
      <c r="D60" s="2" t="s">
        <v>134</v>
      </c>
      <c r="E60" s="2">
        <f>IF(Tabla_Decretos[[#This Row],[Id_anterior]]=1,ROW()-1,SUM(ROW()-1,Tabla_Decretos[[#This Row],[Id_anterior]]))</f>
        <v>795</v>
      </c>
      <c r="F6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DECRETOS_DECRETOS_DECRETO_ADENDUM_MANTENCION</v>
      </c>
      <c r="G60" s="2" t="str">
        <f>CLEAN(PROPER(Tabla_Decretos[[#This Row],[Nombre Opción]]))</f>
        <v>Mantencion</v>
      </c>
      <c r="H60" s="2" t="s">
        <v>1735</v>
      </c>
      <c r="I60" s="2" t="str">
        <f>_xlfn.XLOOKUP(Tabla_Decretos[[#This Row],[id_padre]],Tabla_Decretos[Id],Tabla_Decretos[Codigo_Tecnico],"",0,1)</f>
        <v>DECRETOS_DECRETOS_DECRETO_ADENDUM</v>
      </c>
      <c r="J6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/decretos/decretos/decreto-adendum/mantencion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</v>
      </c>
      <c r="L60" s="2" t="s">
        <v>1449</v>
      </c>
      <c r="M60" t="s">
        <v>1799</v>
      </c>
      <c r="N60" s="4" t="s">
        <v>360</v>
      </c>
      <c r="O60" s="4" t="s">
        <v>360</v>
      </c>
      <c r="P60" s="4"/>
      <c r="Q60" s="4" t="s">
        <v>360</v>
      </c>
      <c r="R60" s="4" t="s">
        <v>360</v>
      </c>
      <c r="S60" s="4"/>
      <c r="AB60" s="5"/>
      <c r="AC60" s="5"/>
      <c r="AD60" s="5"/>
      <c r="AE60" s="5"/>
      <c r="AF60" s="5"/>
      <c r="AG60" s="5"/>
      <c r="AH60" s="4" t="s">
        <v>360</v>
      </c>
      <c r="AI60" s="2" t="str">
        <f>IF(Tabla_Decretos[[#This Row],[id_padre]]=Tabla_Decretos[[#This Row],[Id]],"NOK","OK")</f>
        <v>OK</v>
      </c>
      <c r="AJ60" s="2"/>
      <c r="AK60" s="2"/>
      <c r="AL60" s="2"/>
      <c r="AM60" s="2"/>
      <c r="AN60" s="2"/>
    </row>
    <row r="61" spans="1:40" hidden="1" x14ac:dyDescent="0.5">
      <c r="A61" s="2">
        <f>MAX(Tabla_Compras[Id])</f>
        <v>736</v>
      </c>
      <c r="B61" s="2">
        <v>739</v>
      </c>
      <c r="C61" s="5">
        <f>IF(Tabla_Decretos[[#This Row],[id_padre]]="",0,_xlfn.XLOOKUP(Tabla_Decretos[[#This Row],[id_padre]],Tabla_Decretos[Id],Tabla_Decretos[Nivel],0,0,1)+1)</f>
        <v>2</v>
      </c>
      <c r="D61" s="2" t="s">
        <v>682</v>
      </c>
      <c r="E61" s="2">
        <f>IF(Tabla_Decretos[[#This Row],[Id_anterior]]=1,ROW()-1,SUM(ROW()-1,Tabla_Decretos[[#This Row],[Id_anterior]]))</f>
        <v>796</v>
      </c>
      <c r="F6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DECRETOS_DECRETOS_REDECRETACION</v>
      </c>
      <c r="G61" s="2" t="str">
        <f>CLEAN(PROPER(Tabla_Decretos[[#This Row],[Nombre Opción]]))</f>
        <v>Redecretacion</v>
      </c>
      <c r="H61" s="2" t="s">
        <v>1735</v>
      </c>
      <c r="I61" s="2" t="str">
        <f>_xlfn.XLOOKUP(Tabla_Decretos[[#This Row],[id_padre]],Tabla_Decretos[Id],Tabla_Decretos[Codigo_Tecnico],"",0,1)</f>
        <v>DECRETOS_DECRETOS</v>
      </c>
      <c r="J6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/decretos/decretos/redecretacion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redecretacion</v>
      </c>
      <c r="L61" s="2" t="s">
        <v>1429</v>
      </c>
      <c r="M61" t="s">
        <v>1799</v>
      </c>
      <c r="N61" s="4" t="s">
        <v>360</v>
      </c>
      <c r="O61" s="4" t="s">
        <v>360</v>
      </c>
      <c r="P61" s="4"/>
      <c r="Q61" s="4" t="s">
        <v>360</v>
      </c>
      <c r="R61" s="4" t="s">
        <v>360</v>
      </c>
      <c r="S61" s="4"/>
      <c r="AB61" s="5"/>
      <c r="AC61" s="5"/>
      <c r="AD61" s="5"/>
      <c r="AE61" s="5"/>
      <c r="AF61" s="5"/>
      <c r="AG61" s="5"/>
      <c r="AH61" s="4" t="s">
        <v>360</v>
      </c>
      <c r="AI61" s="2" t="str">
        <f>IF(Tabla_Decretos[[#This Row],[id_padre]]=Tabla_Decretos[[#This Row],[Id]],"NOK","OK")</f>
        <v>OK</v>
      </c>
      <c r="AJ61" s="2"/>
      <c r="AK61" s="2"/>
      <c r="AL61" s="2"/>
      <c r="AM61" s="2"/>
      <c r="AN61" s="2"/>
    </row>
    <row r="62" spans="1:40" hidden="1" x14ac:dyDescent="0.5">
      <c r="A62" s="2">
        <f>MAX(Tabla_Compras[Id])</f>
        <v>736</v>
      </c>
      <c r="B62" s="2">
        <v>739</v>
      </c>
      <c r="C62" s="5">
        <f>IF(Tabla_Decretos[[#This Row],[id_padre]]="",0,_xlfn.XLOOKUP(Tabla_Decretos[[#This Row],[id_padre]],Tabla_Decretos[Id],Tabla_Decretos[Nivel],0,0,1)+1)</f>
        <v>2</v>
      </c>
      <c r="D62" s="2" t="s">
        <v>683</v>
      </c>
      <c r="E62" s="2">
        <f>IF(Tabla_Decretos[[#This Row],[Id_anterior]]=1,ROW()-1,SUM(ROW()-1,Tabla_Decretos[[#This Row],[Id_anterior]]))</f>
        <v>797</v>
      </c>
      <c r="F6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DECRETOS_DECRETOS_CARTAS_CREDITO</v>
      </c>
      <c r="G62" s="2" t="str">
        <f>CLEAN(PROPER(Tabla_Decretos[[#This Row],[Nombre Opción]]))</f>
        <v>Cartas De Credito</v>
      </c>
      <c r="H62" s="2" t="s">
        <v>1735</v>
      </c>
      <c r="I62" s="2" t="str">
        <f>_xlfn.XLOOKUP(Tabla_Decretos[[#This Row],[id_padre]],Tabla_Decretos[Id],Tabla_Decretos[Codigo_Tecnico],"",0,1)</f>
        <v>DECRETOS_DECRETOS</v>
      </c>
      <c r="J6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/decretos/decretos/cartas-credito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cartas-credito</v>
      </c>
      <c r="L62" s="2" t="s">
        <v>1567</v>
      </c>
      <c r="M62" t="s">
        <v>1799</v>
      </c>
      <c r="N62" s="4" t="s">
        <v>360</v>
      </c>
      <c r="O62" s="4" t="s">
        <v>360</v>
      </c>
      <c r="P62" s="4"/>
      <c r="Q62" s="4" t="s">
        <v>360</v>
      </c>
      <c r="R62" s="4" t="s">
        <v>360</v>
      </c>
      <c r="S62" s="4"/>
      <c r="AB62" s="5"/>
      <c r="AC62" s="5"/>
      <c r="AD62" s="5"/>
      <c r="AE62" s="5"/>
      <c r="AF62" s="5"/>
      <c r="AG62" s="5"/>
      <c r="AH62" s="4" t="s">
        <v>360</v>
      </c>
      <c r="AI62" s="2" t="str">
        <f>IF(Tabla_Decretos[[#This Row],[id_padre]]=Tabla_Decretos[[#This Row],[Id]],"NOK","OK")</f>
        <v>OK</v>
      </c>
      <c r="AJ62" s="2"/>
      <c r="AK62" s="2"/>
      <c r="AL62" s="2"/>
      <c r="AM62" s="2"/>
      <c r="AN62" s="2"/>
    </row>
    <row r="63" spans="1:40" hidden="1" x14ac:dyDescent="0.5">
      <c r="A63" s="2">
        <f>MAX(Tabla_Compras[Id])</f>
        <v>736</v>
      </c>
      <c r="B63" s="2">
        <v>739</v>
      </c>
      <c r="C63" s="5">
        <f>IF(Tabla_Decretos[[#This Row],[id_padre]]="",0,_xlfn.XLOOKUP(Tabla_Decretos[[#This Row],[id_padre]],Tabla_Decretos[Id],Tabla_Decretos[Nivel],0,0,1)+1)</f>
        <v>2</v>
      </c>
      <c r="D63" s="2" t="s">
        <v>684</v>
      </c>
      <c r="E63" s="2">
        <f>IF(Tabla_Decretos[[#This Row],[Id_anterior]]=1,ROW()-1,SUM(ROW()-1,Tabla_Decretos[[#This Row],[Id_anterior]]))</f>
        <v>798</v>
      </c>
      <c r="F6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DECRETOS_DECRETOS_REINTEGROS</v>
      </c>
      <c r="G63" s="2" t="str">
        <f>CLEAN(PROPER(Tabla_Decretos[[#This Row],[Nombre Opción]]))</f>
        <v>Reintegros</v>
      </c>
      <c r="H63" s="2" t="s">
        <v>1735</v>
      </c>
      <c r="I63" s="2" t="str">
        <f>_xlfn.XLOOKUP(Tabla_Decretos[[#This Row],[id_padre]],Tabla_Decretos[Id],Tabla_Decretos[Codigo_Tecnico],"",0,1)</f>
        <v>DECRETOS_DECRETOS</v>
      </c>
      <c r="J6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/decretos/decretos/reintegros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reintegros</v>
      </c>
      <c r="L63" s="2" t="s">
        <v>1385</v>
      </c>
      <c r="M63" t="s">
        <v>1799</v>
      </c>
      <c r="N63" s="4" t="s">
        <v>360</v>
      </c>
      <c r="O63" s="4" t="s">
        <v>360</v>
      </c>
      <c r="P63" s="4"/>
      <c r="Q63" s="4" t="s">
        <v>360</v>
      </c>
      <c r="R63" s="4" t="s">
        <v>360</v>
      </c>
      <c r="S63" s="4"/>
      <c r="AB63" s="5"/>
      <c r="AC63" s="5"/>
      <c r="AD63" s="5"/>
      <c r="AE63" s="5"/>
      <c r="AF63" s="5"/>
      <c r="AG63" s="5"/>
      <c r="AH63" s="4" t="s">
        <v>360</v>
      </c>
      <c r="AI63" s="2" t="str">
        <f>IF(Tabla_Decretos[[#This Row],[id_padre]]=Tabla_Decretos[[#This Row],[Id]],"NOK","OK")</f>
        <v>OK</v>
      </c>
      <c r="AJ63" s="2"/>
      <c r="AK63" s="2"/>
      <c r="AL63" s="2"/>
      <c r="AM63" s="2"/>
      <c r="AN63" s="2"/>
    </row>
    <row r="64" spans="1:40" hidden="1" x14ac:dyDescent="0.5">
      <c r="A64" s="2">
        <f>MAX(Tabla_Compras[Id])</f>
        <v>736</v>
      </c>
      <c r="B64" s="2">
        <v>739</v>
      </c>
      <c r="C64" s="5">
        <f>IF(Tabla_Decretos[[#This Row],[id_padre]]="",0,_xlfn.XLOOKUP(Tabla_Decretos[[#This Row],[id_padre]],Tabla_Decretos[Id],Tabla_Decretos[Nivel],0,0,1)+1)</f>
        <v>2</v>
      </c>
      <c r="D64" s="2" t="s">
        <v>694</v>
      </c>
      <c r="E64" s="2">
        <f>IF(Tabla_Decretos[[#This Row],[Id_anterior]]=1,ROW()-1,SUM(ROW()-1,Tabla_Decretos[[#This Row],[Id_anterior]]))</f>
        <v>799</v>
      </c>
      <c r="F6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DECRETOS_DECRETOS_PREPARA_BALANCE_SUBSEC_PARA_FFAA</v>
      </c>
      <c r="G64" s="2" t="str">
        <f>CLEAN(PROPER(Tabla_Decretos[[#This Row],[Nombre Opción]]))</f>
        <v>Prepara Balance Subsec Para Las Ff.Aa</v>
      </c>
      <c r="H64" s="2" t="s">
        <v>1735</v>
      </c>
      <c r="I64" s="2" t="str">
        <f>_xlfn.XLOOKUP(Tabla_Decretos[[#This Row],[id_padre]],Tabla_Decretos[Id],Tabla_Decretos[Codigo_Tecnico],"",0,1)</f>
        <v>DECRETOS_DECRETOS</v>
      </c>
      <c r="J6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/decretos/decretos/prepara-balance-subsec-para-ffaa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prepara-balance-subsec-para-ffaa</v>
      </c>
      <c r="L64" s="2" t="s">
        <v>1431</v>
      </c>
      <c r="M64" t="s">
        <v>1799</v>
      </c>
      <c r="N64" s="4" t="s">
        <v>360</v>
      </c>
      <c r="O64" s="4" t="s">
        <v>360</v>
      </c>
      <c r="P64" s="4" t="s">
        <v>360</v>
      </c>
      <c r="Q64" s="4" t="s">
        <v>360</v>
      </c>
      <c r="R64" s="4" t="s">
        <v>360</v>
      </c>
      <c r="S64" s="4"/>
      <c r="AB64" s="5"/>
      <c r="AC64" s="5"/>
      <c r="AD64" s="5"/>
      <c r="AE64" s="5"/>
      <c r="AF64" s="5"/>
      <c r="AG64" s="5"/>
      <c r="AH64" s="4" t="s">
        <v>360</v>
      </c>
      <c r="AI64" s="2" t="str">
        <f>IF(Tabla_Decretos[[#This Row],[id_padre]]=Tabla_Decretos[[#This Row],[Id]],"NOK","OK")</f>
        <v>OK</v>
      </c>
      <c r="AJ64" s="2"/>
      <c r="AK64" s="2"/>
      <c r="AL64" s="2"/>
      <c r="AM64" s="2"/>
      <c r="AN64" s="2"/>
    </row>
    <row r="65" spans="1:40" hidden="1" x14ac:dyDescent="0.5">
      <c r="A65" s="2">
        <f>MAX(Tabla_Compras[Id])</f>
        <v>736</v>
      </c>
      <c r="B65" s="2">
        <v>740</v>
      </c>
      <c r="C65" s="5">
        <f>IF(Tabla_Decretos[[#This Row],[id_padre]]="",0,_xlfn.XLOOKUP(Tabla_Decretos[[#This Row],[id_padre]],Tabla_Decretos[Id],Tabla_Decretos[Nivel],0,0,1)+1)</f>
        <v>2</v>
      </c>
      <c r="D65" s="2" t="s">
        <v>696</v>
      </c>
      <c r="E65" s="2">
        <f>IF(Tabla_Decretos[[#This Row],[Id_anterior]]=1,ROW()-1,SUM(ROW()-1,Tabla_Decretos[[#This Row],[Id_anterior]]))</f>
        <v>800</v>
      </c>
      <c r="F6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DECRETOS_PROYECTOS_MANTENCION_PROYECTO</v>
      </c>
      <c r="G65" s="2" t="str">
        <f>CLEAN(PROPER(Tabla_Decretos[[#This Row],[Nombre Opción]]))</f>
        <v>Mantencion Del Proyecto</v>
      </c>
      <c r="H65" s="2" t="s">
        <v>1735</v>
      </c>
      <c r="I65" s="2" t="str">
        <f>_xlfn.XLOOKUP(Tabla_Decretos[[#This Row],[id_padre]],Tabla_Decretos[Id],Tabla_Decretos[Codigo_Tecnico],"",0,1)</f>
        <v>DECRETOS_PROYECTOS</v>
      </c>
      <c r="J6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/decretos/proyectos/mantencion-proyecto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mantencion-proyecto</v>
      </c>
      <c r="L65" s="2" t="s">
        <v>1568</v>
      </c>
      <c r="M65" t="s">
        <v>1799</v>
      </c>
      <c r="P65" s="4"/>
      <c r="R65" s="4"/>
      <c r="S65" s="4"/>
      <c r="AB65" s="5" t="s">
        <v>360</v>
      </c>
      <c r="AC65" s="5" t="s">
        <v>360</v>
      </c>
      <c r="AD65" s="5"/>
      <c r="AE65" s="5"/>
      <c r="AF65" s="5" t="s">
        <v>360</v>
      </c>
      <c r="AG65" s="5"/>
      <c r="AH65" s="4" t="s">
        <v>360</v>
      </c>
      <c r="AI65" s="2" t="str">
        <f>IF(Tabla_Decretos[[#This Row],[id_padre]]=Tabla_Decretos[[#This Row],[Id]],"NOK","OK")</f>
        <v>OK</v>
      </c>
      <c r="AJ65" s="2"/>
      <c r="AK65" s="2"/>
      <c r="AL65" s="2"/>
      <c r="AM65" s="2"/>
      <c r="AN65" s="2"/>
    </row>
    <row r="66" spans="1:40" hidden="1" x14ac:dyDescent="0.5">
      <c r="A66" s="2">
        <f>MAX(Tabla_Compras[Id])</f>
        <v>736</v>
      </c>
      <c r="B66" s="2">
        <v>740</v>
      </c>
      <c r="C66" s="5">
        <f>IF(Tabla_Decretos[[#This Row],[id_padre]]="",0,_xlfn.XLOOKUP(Tabla_Decretos[[#This Row],[id_padre]],Tabla_Decretos[Id],Tabla_Decretos[Nivel],0,0,1)+1)</f>
        <v>2</v>
      </c>
      <c r="D66" s="2" t="s">
        <v>697</v>
      </c>
      <c r="E66" s="2">
        <f>IF(Tabla_Decretos[[#This Row],[Id_anterior]]=1,ROW()-1,SUM(ROW()-1,Tabla_Decretos[[#This Row],[Id_anterior]]))</f>
        <v>801</v>
      </c>
      <c r="F6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DECRETOS_PROYECTOS_DESCRIPCION_DETALLADA_ADQUISICION</v>
      </c>
      <c r="G66" s="2" t="str">
        <f>CLEAN(PROPER(Tabla_Decretos[[#This Row],[Nombre Opción]]))</f>
        <v>Descripcion Detallada De Adquisicion</v>
      </c>
      <c r="H66" s="2" t="s">
        <v>1735</v>
      </c>
      <c r="I66" s="2" t="str">
        <f>_xlfn.XLOOKUP(Tabla_Decretos[[#This Row],[id_padre]],Tabla_Decretos[Id],Tabla_Decretos[Codigo_Tecnico],"",0,1)</f>
        <v>DECRETOS_PROYECTOS</v>
      </c>
      <c r="J6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/decretos/proyectos/descripcion-detallada-adquisicion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descripcion-detallada-adquisicion</v>
      </c>
      <c r="L66" s="2" t="s">
        <v>1339</v>
      </c>
      <c r="M66" t="s">
        <v>1799</v>
      </c>
      <c r="P66" s="4"/>
      <c r="R66" s="4"/>
      <c r="S66" s="4"/>
      <c r="AB66" s="5" t="s">
        <v>360</v>
      </c>
      <c r="AC66" s="5" t="s">
        <v>360</v>
      </c>
      <c r="AD66" s="5"/>
      <c r="AE66" s="5"/>
      <c r="AF66" s="5" t="s">
        <v>360</v>
      </c>
      <c r="AG66" s="5"/>
      <c r="AH66" s="4" t="s">
        <v>360</v>
      </c>
      <c r="AI66" s="2" t="str">
        <f>IF(Tabla_Decretos[[#This Row],[id_padre]]=Tabla_Decretos[[#This Row],[Id]],"NOK","OK")</f>
        <v>OK</v>
      </c>
      <c r="AJ66" s="2"/>
      <c r="AK66" s="2"/>
      <c r="AL66" s="2"/>
      <c r="AM66" s="2"/>
      <c r="AN66" s="2"/>
    </row>
    <row r="67" spans="1:40" hidden="1" x14ac:dyDescent="0.5">
      <c r="A67" s="2">
        <f>MAX(Tabla_Compras[Id])</f>
        <v>736</v>
      </c>
      <c r="B67" s="2">
        <v>740</v>
      </c>
      <c r="C67" s="5">
        <f>IF(Tabla_Decretos[[#This Row],[id_padre]]="",0,_xlfn.XLOOKUP(Tabla_Decretos[[#This Row],[id_padre]],Tabla_Decretos[Id],Tabla_Decretos[Nivel],0,0,1)+1)</f>
        <v>2</v>
      </c>
      <c r="D67" s="2" t="s">
        <v>698</v>
      </c>
      <c r="E67" s="2">
        <f>IF(Tabla_Decretos[[#This Row],[Id_anterior]]=1,ROW()-1,SUM(ROW()-1,Tabla_Decretos[[#This Row],[Id_anterior]]))</f>
        <v>802</v>
      </c>
      <c r="F6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DECRETOS_PROYECTOS_ASOCIA_OTROS_GASTOS_PROYECTO_Y_AVANCE</v>
      </c>
      <c r="G67" s="2" t="str">
        <f>CLEAN(PROPER(Tabla_Decretos[[#This Row],[Nombre Opción]]))</f>
        <v>Asocia Otros Gastos A Proyecto Y Avance</v>
      </c>
      <c r="H67" s="2" t="s">
        <v>1735</v>
      </c>
      <c r="I67" s="2" t="str">
        <f>_xlfn.XLOOKUP(Tabla_Decretos[[#This Row],[id_padre]],Tabla_Decretos[Id],Tabla_Decretos[Codigo_Tecnico],"",0,1)</f>
        <v>DECRETOS_PROYECTOS</v>
      </c>
      <c r="J6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/decretos/proyectos/asocia-otros-gastos-proyecto-y-avance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asocia-otros-gastos-proyecto-y-avance</v>
      </c>
      <c r="L67" s="2" t="s">
        <v>1555</v>
      </c>
      <c r="M67" t="s">
        <v>1799</v>
      </c>
      <c r="P67" s="4"/>
      <c r="R67" s="4"/>
      <c r="S67" s="4"/>
      <c r="AB67" s="5" t="s">
        <v>360</v>
      </c>
      <c r="AC67" s="5" t="s">
        <v>360</v>
      </c>
      <c r="AD67" s="5"/>
      <c r="AE67" s="5"/>
      <c r="AF67" s="5" t="s">
        <v>360</v>
      </c>
      <c r="AG67" s="5"/>
      <c r="AH67" s="4" t="s">
        <v>360</v>
      </c>
      <c r="AI67" s="2" t="str">
        <f>IF(Tabla_Decretos[[#This Row],[id_padre]]=Tabla_Decretos[[#This Row],[Id]],"NOK","OK")</f>
        <v>OK</v>
      </c>
      <c r="AJ67" s="2"/>
      <c r="AK67" s="2"/>
      <c r="AL67" s="2"/>
      <c r="AM67" s="2"/>
      <c r="AN67" s="2"/>
    </row>
    <row r="68" spans="1:40" hidden="1" x14ac:dyDescent="0.5">
      <c r="A68" s="2">
        <f>MAX(Tabla_Compras[Id])</f>
        <v>736</v>
      </c>
      <c r="B68" s="2">
        <v>740</v>
      </c>
      <c r="C68" s="5">
        <f>IF(Tabla_Decretos[[#This Row],[id_padre]]="",0,_xlfn.XLOOKUP(Tabla_Decretos[[#This Row],[id_padre]],Tabla_Decretos[Id],Tabla_Decretos[Nivel],0,0,1)+1)</f>
        <v>2</v>
      </c>
      <c r="D68" s="2" t="s">
        <v>699</v>
      </c>
      <c r="E68" s="2">
        <f>IF(Tabla_Decretos[[#This Row],[Id_anterior]]=1,ROW()-1,SUM(ROW()-1,Tabla_Decretos[[#This Row],[Id_anterior]]))</f>
        <v>803</v>
      </c>
      <c r="F6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DECRETOS_PROYECTOS_MANTENCION_AVANCE_POR_JEFE_PROYECTO</v>
      </c>
      <c r="G68" s="2" t="str">
        <f>CLEAN(PROPER(Tabla_Decretos[[#This Row],[Nombre Opción]]))</f>
        <v>Mantencion Avance Por Jefe De Proyecto</v>
      </c>
      <c r="H68" s="2" t="s">
        <v>1735</v>
      </c>
      <c r="I68" s="2" t="str">
        <f>_xlfn.XLOOKUP(Tabla_Decretos[[#This Row],[id_padre]],Tabla_Decretos[Id],Tabla_Decretos[Codigo_Tecnico],"",0,1)</f>
        <v>DECRETOS_PROYECTOS</v>
      </c>
      <c r="J6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/decretos/proyectos/mantencion-avance-por-jefe-proyecto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mantencion-avance-por-jefe-proyecto</v>
      </c>
      <c r="L68" s="2" t="s">
        <v>1413</v>
      </c>
      <c r="M68" t="s">
        <v>1799</v>
      </c>
      <c r="P68" s="4"/>
      <c r="R68" s="4"/>
      <c r="S68" s="4"/>
      <c r="AB68" s="5" t="s">
        <v>360</v>
      </c>
      <c r="AC68" s="5"/>
      <c r="AD68" s="5"/>
      <c r="AE68" s="5" t="s">
        <v>360</v>
      </c>
      <c r="AF68" s="5"/>
      <c r="AG68" s="5"/>
      <c r="AH68" s="4" t="s">
        <v>360</v>
      </c>
      <c r="AI68" s="2" t="str">
        <f>IF(Tabla_Decretos[[#This Row],[id_padre]]=Tabla_Decretos[[#This Row],[Id]],"NOK","OK")</f>
        <v>OK</v>
      </c>
      <c r="AJ68" s="2"/>
      <c r="AK68" s="2"/>
      <c r="AL68" s="2"/>
      <c r="AM68" s="2"/>
      <c r="AN68" s="2"/>
    </row>
    <row r="69" spans="1:40" hidden="1" x14ac:dyDescent="0.5">
      <c r="A69" s="2">
        <f>MAX(Tabla_Compras[Id])</f>
        <v>736</v>
      </c>
      <c r="B69" s="2">
        <v>740</v>
      </c>
      <c r="C69" s="5">
        <f>IF(Tabla_Decretos[[#This Row],[id_padre]]="",0,_xlfn.XLOOKUP(Tabla_Decretos[[#This Row],[id_padre]],Tabla_Decretos[Id],Tabla_Decretos[Nivel],0,0,1)+1)</f>
        <v>2</v>
      </c>
      <c r="D69" s="2" t="s">
        <v>700</v>
      </c>
      <c r="E69" s="2">
        <f>IF(Tabla_Decretos[[#This Row],[Id_anterior]]=1,ROW()-1,SUM(ROW()-1,Tabla_Decretos[[#This Row],[Id_anterior]]))</f>
        <v>804</v>
      </c>
      <c r="F6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</v>
      </c>
      <c r="G69" s="2" t="str">
        <f>CLEAN(PROPER(Tabla_Decretos[[#This Row],[Nombre Opción]]))</f>
        <v>Valores Ciclo De Vida</v>
      </c>
      <c r="H69" s="2" t="s">
        <v>1735</v>
      </c>
      <c r="I69" s="2" t="str">
        <f>_xlfn.XLOOKUP(Tabla_Decretos[[#This Row],[id_padre]],Tabla_Decretos[Id],Tabla_Decretos[Codigo_Tecnico],"",0,1)</f>
        <v>DECRETOS_PROYECTOS</v>
      </c>
      <c r="J6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valores-ciclo-vida</v>
      </c>
      <c r="L69" s="2" t="s">
        <v>1556</v>
      </c>
      <c r="M69" t="s">
        <v>1799</v>
      </c>
      <c r="P69" s="4"/>
      <c r="R69" s="4"/>
      <c r="S69" s="4"/>
      <c r="AB69" s="5" t="s">
        <v>360</v>
      </c>
      <c r="AC69" s="5" t="s">
        <v>360</v>
      </c>
      <c r="AD69" s="5"/>
      <c r="AE69" s="5" t="s">
        <v>360</v>
      </c>
      <c r="AF69" s="5" t="s">
        <v>360</v>
      </c>
      <c r="AG69" s="5"/>
      <c r="AH69" s="4" t="s">
        <v>360</v>
      </c>
      <c r="AI69" s="2" t="str">
        <f>IF(Tabla_Decretos[[#This Row],[id_padre]]=Tabla_Decretos[[#This Row],[Id]],"NOK","OK")</f>
        <v>OK</v>
      </c>
      <c r="AJ69" s="2"/>
      <c r="AK69" s="2"/>
      <c r="AL69" s="2"/>
      <c r="AM69" s="2"/>
      <c r="AN69" s="2"/>
    </row>
    <row r="70" spans="1:40" hidden="1" x14ac:dyDescent="0.5">
      <c r="A70" s="2">
        <f>MAX(Tabla_Compras[Id])</f>
        <v>736</v>
      </c>
      <c r="B70" s="2">
        <v>804</v>
      </c>
      <c r="C70" s="5">
        <f>IF(Tabla_Decretos[[#This Row],[id_padre]]="",0,_xlfn.XLOOKUP(Tabla_Decretos[[#This Row],[id_padre]],Tabla_Decretos[Id],Tabla_Decretos[Nivel],0,0,1)+1)</f>
        <v>3</v>
      </c>
      <c r="D70" s="2" t="s">
        <v>665</v>
      </c>
      <c r="E70" s="2">
        <f>IF(Tabla_Decretos[[#This Row],[Id_anterior]]=1,ROW()-1,SUM(ROW()-1,Tabla_Decretos[[#This Row],[Id_anterior]]))</f>
        <v>805</v>
      </c>
      <c r="F7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DECRETOS_PROYECTOS_VALORES_CICLO_VIDA_FACTORES</v>
      </c>
      <c r="G70" s="2" t="str">
        <f>CLEAN(PROPER(Tabla_Decretos[[#This Row],[Nombre Opción]]))</f>
        <v>Factores</v>
      </c>
      <c r="H70" s="2" t="s">
        <v>1735</v>
      </c>
      <c r="I70" s="2" t="str">
        <f>_xlfn.XLOOKUP(Tabla_Decretos[[#This Row],[id_padre]],Tabla_Decretos[Id],Tabla_Decretos[Codigo_Tecnico],"",0,1)</f>
        <v>DECRETOS_PROYECTOS_VALORES_CICLO_VIDA</v>
      </c>
      <c r="J7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/decretos/proyectos/valores-ciclo-vida/factores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factores</v>
      </c>
      <c r="L70" s="2" t="s">
        <v>1557</v>
      </c>
      <c r="M70" t="s">
        <v>1799</v>
      </c>
      <c r="P70" s="4"/>
      <c r="R70" s="4"/>
      <c r="S70" s="4"/>
      <c r="AB70" s="5" t="s">
        <v>360</v>
      </c>
      <c r="AC70" s="5" t="s">
        <v>360</v>
      </c>
      <c r="AD70" s="5"/>
      <c r="AE70" s="5" t="s">
        <v>360</v>
      </c>
      <c r="AF70" s="5" t="s">
        <v>360</v>
      </c>
      <c r="AG70" s="5"/>
      <c r="AH70" s="4" t="s">
        <v>360</v>
      </c>
      <c r="AI70" s="2" t="str">
        <f>IF(Tabla_Decretos[[#This Row],[id_padre]]=Tabla_Decretos[[#This Row],[Id]],"NOK","OK")</f>
        <v>OK</v>
      </c>
      <c r="AJ70" s="2"/>
      <c r="AK70" s="2"/>
      <c r="AL70" s="2"/>
      <c r="AM70" s="2"/>
      <c r="AN70" s="2"/>
    </row>
    <row r="71" spans="1:40" hidden="1" x14ac:dyDescent="0.5">
      <c r="A71" s="2">
        <f>MAX(Tabla_Compras[Id])</f>
        <v>736</v>
      </c>
      <c r="B71" s="2">
        <v>804</v>
      </c>
      <c r="C71" s="5">
        <f>IF(Tabla_Decretos[[#This Row],[id_padre]]="",0,_xlfn.XLOOKUP(Tabla_Decretos[[#This Row],[id_padre]],Tabla_Decretos[Id],Tabla_Decretos[Nivel],0,0,1)+1)</f>
        <v>3</v>
      </c>
      <c r="D71" s="2" t="s">
        <v>666</v>
      </c>
      <c r="E71" s="2">
        <f>IF(Tabla_Decretos[[#This Row],[Id_anterior]]=1,ROW()-1,SUM(ROW()-1,Tabla_Decretos[[#This Row],[Id_anterior]]))</f>
        <v>806</v>
      </c>
      <c r="F7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DECRETOS_PROYECTOS_VALORES_CICLO_VIDA_INVESTIGACION</v>
      </c>
      <c r="G71" s="2" t="str">
        <f>CLEAN(PROPER(Tabla_Decretos[[#This Row],[Nombre Opción]]))</f>
        <v>Investigacion</v>
      </c>
      <c r="H71" s="2" t="s">
        <v>1735</v>
      </c>
      <c r="I71" s="2" t="str">
        <f>_xlfn.XLOOKUP(Tabla_Decretos[[#This Row],[id_padre]],Tabla_Decretos[Id],Tabla_Decretos[Codigo_Tecnico],"",0,1)</f>
        <v>DECRETOS_PROYECTOS_VALORES_CICLO_VIDA</v>
      </c>
      <c r="J7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/decretos/proyectos/valores-ciclo-vida/investigacion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investigacion</v>
      </c>
      <c r="L71" s="2" t="s">
        <v>1558</v>
      </c>
      <c r="M71" t="s">
        <v>1799</v>
      </c>
      <c r="P71" s="4"/>
      <c r="R71" s="4"/>
      <c r="S71" s="4"/>
      <c r="AB71" s="5" t="s">
        <v>360</v>
      </c>
      <c r="AC71" s="5" t="s">
        <v>360</v>
      </c>
      <c r="AD71" s="5"/>
      <c r="AE71" s="5" t="s">
        <v>360</v>
      </c>
      <c r="AF71" s="5" t="s">
        <v>360</v>
      </c>
      <c r="AG71" s="5"/>
      <c r="AH71" s="4" t="s">
        <v>360</v>
      </c>
      <c r="AI71" s="2" t="str">
        <f>IF(Tabla_Decretos[[#This Row],[id_padre]]=Tabla_Decretos[[#This Row],[Id]],"NOK","OK")</f>
        <v>OK</v>
      </c>
      <c r="AJ71" s="2"/>
      <c r="AK71" s="2"/>
      <c r="AL71" s="2"/>
      <c r="AM71" s="2"/>
      <c r="AN71" s="2"/>
    </row>
    <row r="72" spans="1:40" hidden="1" x14ac:dyDescent="0.5">
      <c r="A72" s="2">
        <f>MAX(Tabla_Compras[Id])</f>
        <v>736</v>
      </c>
      <c r="B72" s="2">
        <v>804</v>
      </c>
      <c r="C72" s="5">
        <f>IF(Tabla_Decretos[[#This Row],[id_padre]]="",0,_xlfn.XLOOKUP(Tabla_Decretos[[#This Row],[id_padre]],Tabla_Decretos[Id],Tabla_Decretos[Nivel],0,0,1)+1)</f>
        <v>3</v>
      </c>
      <c r="D72" s="2" t="s">
        <v>667</v>
      </c>
      <c r="E72" s="2">
        <f>IF(Tabla_Decretos[[#This Row],[Id_anterior]]=1,ROW()-1,SUM(ROW()-1,Tabla_Decretos[[#This Row],[Id_anterior]]))</f>
        <v>807</v>
      </c>
      <c r="F7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DECRETOS_PROYECTOS_VALORES_CICLO_VIDA_PERSONAL</v>
      </c>
      <c r="G72" s="2" t="str">
        <f>CLEAN(PROPER(Tabla_Decretos[[#This Row],[Nombre Opción]]))</f>
        <v>Personal</v>
      </c>
      <c r="H72" s="2" t="s">
        <v>1735</v>
      </c>
      <c r="I72" s="2" t="str">
        <f>_xlfn.XLOOKUP(Tabla_Decretos[[#This Row],[id_padre]],Tabla_Decretos[Id],Tabla_Decretos[Codigo_Tecnico],"",0,1)</f>
        <v>DECRETOS_PROYECTOS_VALORES_CICLO_VIDA</v>
      </c>
      <c r="J7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/decretos/proyectos/valores-ciclo-vida/personal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personal</v>
      </c>
      <c r="L72" s="2" t="s">
        <v>1506</v>
      </c>
      <c r="M72" t="s">
        <v>1799</v>
      </c>
      <c r="P72" s="4"/>
      <c r="R72" s="4"/>
      <c r="S72" s="4"/>
      <c r="AB72" s="5" t="s">
        <v>360</v>
      </c>
      <c r="AC72" s="5" t="s">
        <v>360</v>
      </c>
      <c r="AD72" s="5"/>
      <c r="AE72" s="5" t="s">
        <v>360</v>
      </c>
      <c r="AF72" s="5" t="s">
        <v>360</v>
      </c>
      <c r="AG72" s="5"/>
      <c r="AH72" s="4" t="s">
        <v>360</v>
      </c>
      <c r="AI72" s="2" t="str">
        <f>IF(Tabla_Decretos[[#This Row],[id_padre]]=Tabla_Decretos[[#This Row],[Id]],"NOK","OK")</f>
        <v>OK</v>
      </c>
      <c r="AJ72" s="2"/>
      <c r="AK72" s="2"/>
      <c r="AL72" s="2"/>
      <c r="AM72" s="2"/>
      <c r="AN72" s="2"/>
    </row>
    <row r="73" spans="1:40" hidden="1" x14ac:dyDescent="0.5">
      <c r="A73" s="2">
        <f>MAX(Tabla_Compras[Id])</f>
        <v>736</v>
      </c>
      <c r="B73" s="2">
        <v>804</v>
      </c>
      <c r="C73" s="5">
        <f>IF(Tabla_Decretos[[#This Row],[id_padre]]="",0,_xlfn.XLOOKUP(Tabla_Decretos[[#This Row],[id_padre]],Tabla_Decretos[Id],Tabla_Decretos[Nivel],0,0,1)+1)</f>
        <v>3</v>
      </c>
      <c r="D73" s="2" t="s">
        <v>701</v>
      </c>
      <c r="E73" s="2">
        <f>IF(Tabla_Decretos[[#This Row],[Id_anterior]]=1,ROW()-1,SUM(ROW()-1,Tabla_Decretos[[#This Row],[Id_anterior]]))</f>
        <v>808</v>
      </c>
      <c r="F7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DECRETOS_PROYECTOS_VALORES_CICLO_VIDA_VALROES_CICLO_VIDA_OPERACION</v>
      </c>
      <c r="G73" s="2" t="str">
        <f>CLEAN(PROPER(Tabla_Decretos[[#This Row],[Nombre Opción]]))</f>
        <v>Valroes Ciclo De Vida – Operación</v>
      </c>
      <c r="H73" s="2" t="s">
        <v>1735</v>
      </c>
      <c r="I73" s="2" t="str">
        <f>_xlfn.XLOOKUP(Tabla_Decretos[[#This Row],[id_padre]],Tabla_Decretos[Id],Tabla_Decretos[Codigo_Tecnico],"",0,1)</f>
        <v>DECRETOS_PROYECTOS_VALORES_CICLO_VIDA</v>
      </c>
      <c r="J7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/decretos/proyectos/valores-ciclo-vida/valroes-ciclo-vida-operacion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valroes-ciclo-vida-operacion</v>
      </c>
      <c r="L73" s="2" t="s">
        <v>1559</v>
      </c>
      <c r="M73" t="s">
        <v>1799</v>
      </c>
      <c r="P73" s="4"/>
      <c r="R73" s="4"/>
      <c r="S73" s="4"/>
      <c r="AB73" s="5" t="s">
        <v>360</v>
      </c>
      <c r="AC73" s="5" t="s">
        <v>360</v>
      </c>
      <c r="AD73" s="5"/>
      <c r="AE73" s="5" t="s">
        <v>360</v>
      </c>
      <c r="AF73" s="5" t="s">
        <v>360</v>
      </c>
      <c r="AG73" s="5"/>
      <c r="AH73" s="4" t="s">
        <v>360</v>
      </c>
      <c r="AI73" s="2" t="str">
        <f>IF(Tabla_Decretos[[#This Row],[id_padre]]=Tabla_Decretos[[#This Row],[Id]],"NOK","OK")</f>
        <v>OK</v>
      </c>
      <c r="AJ73" s="2"/>
      <c r="AK73" s="2"/>
      <c r="AL73" s="2"/>
      <c r="AM73" s="2"/>
      <c r="AN73" s="2"/>
    </row>
    <row r="74" spans="1:40" hidden="1" x14ac:dyDescent="0.5">
      <c r="A74" s="2">
        <f>MAX(Tabla_Compras[Id])</f>
        <v>736</v>
      </c>
      <c r="B74" s="2">
        <v>804</v>
      </c>
      <c r="C74" s="5">
        <f>IF(Tabla_Decretos[[#This Row],[id_padre]]="",0,_xlfn.XLOOKUP(Tabla_Decretos[[#This Row],[id_padre]],Tabla_Decretos[Id],Tabla_Decretos[Nivel],0,0,1)+1)</f>
        <v>3</v>
      </c>
      <c r="D74" s="2" t="s">
        <v>669</v>
      </c>
      <c r="E74" s="2">
        <f>IF(Tabla_Decretos[[#This Row],[Id_anterior]]=1,ROW()-1,SUM(ROW()-1,Tabla_Decretos[[#This Row],[Id_anterior]]))</f>
        <v>809</v>
      </c>
      <c r="F7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DECRETOS_PROYECTOS_VALORES_CICLO_VIDA_ELIMINACION</v>
      </c>
      <c r="G74" s="2" t="str">
        <f>CLEAN(PROPER(Tabla_Decretos[[#This Row],[Nombre Opción]]))</f>
        <v>Eliminacion</v>
      </c>
      <c r="H74" s="2" t="s">
        <v>1735</v>
      </c>
      <c r="I74" s="2" t="str">
        <f>_xlfn.XLOOKUP(Tabla_Decretos[[#This Row],[id_padre]],Tabla_Decretos[Id],Tabla_Decretos[Codigo_Tecnico],"",0,1)</f>
        <v>DECRETOS_PROYECTOS_VALORES_CICLO_VIDA</v>
      </c>
      <c r="J7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/decretos/proyectos/valores-ciclo-vida/eliminacion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eliminacion</v>
      </c>
      <c r="L74" s="2" t="s">
        <v>1560</v>
      </c>
      <c r="M74" t="s">
        <v>1799</v>
      </c>
      <c r="P74" s="4"/>
      <c r="R74" s="4"/>
      <c r="S74" s="4"/>
      <c r="AB74" s="5" t="s">
        <v>360</v>
      </c>
      <c r="AC74" s="5" t="s">
        <v>360</v>
      </c>
      <c r="AD74" s="5"/>
      <c r="AE74" s="5" t="s">
        <v>360</v>
      </c>
      <c r="AF74" s="5" t="s">
        <v>360</v>
      </c>
      <c r="AG74" s="5"/>
      <c r="AH74" s="4" t="s">
        <v>360</v>
      </c>
      <c r="AI74" s="2" t="str">
        <f>IF(Tabla_Decretos[[#This Row],[id_padre]]=Tabla_Decretos[[#This Row],[Id]],"NOK","OK")</f>
        <v>OK</v>
      </c>
      <c r="AJ74" s="2"/>
      <c r="AK74" s="2"/>
      <c r="AL74" s="2"/>
      <c r="AM74" s="2"/>
      <c r="AN74" s="2"/>
    </row>
    <row r="75" spans="1:40" hidden="1" x14ac:dyDescent="0.5">
      <c r="A75" s="2">
        <f>MAX(Tabla_Compras[Id])</f>
        <v>736</v>
      </c>
      <c r="B75" s="2">
        <v>804</v>
      </c>
      <c r="C75" s="5">
        <f>IF(Tabla_Decretos[[#This Row],[id_padre]]="",0,_xlfn.XLOOKUP(Tabla_Decretos[[#This Row],[id_padre]],Tabla_Decretos[Id],Tabla_Decretos[Nivel],0,0,1)+1)</f>
        <v>3</v>
      </c>
      <c r="D75" s="2" t="s">
        <v>670</v>
      </c>
      <c r="E75" s="2">
        <f>IF(Tabla_Decretos[[#This Row],[Id_anterior]]=1,ROW()-1,SUM(ROW()-1,Tabla_Decretos[[#This Row],[Id_anterior]]))</f>
        <v>810</v>
      </c>
      <c r="F7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DECRETOS_PROYECTOS_VALORES_CICLO_VIDA_COSTOS_INVESTIGACION</v>
      </c>
      <c r="G75" s="2" t="str">
        <f>CLEAN(PROPER(Tabla_Decretos[[#This Row],[Nombre Opción]]))</f>
        <v>Costos Investigacion</v>
      </c>
      <c r="H75" s="2" t="s">
        <v>1735</v>
      </c>
      <c r="I75" s="2" t="str">
        <f>_xlfn.XLOOKUP(Tabla_Decretos[[#This Row],[id_padre]],Tabla_Decretos[Id],Tabla_Decretos[Codigo_Tecnico],"",0,1)</f>
        <v>DECRETOS_PROYECTOS_VALORES_CICLO_VIDA</v>
      </c>
      <c r="J7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/decretos/proyectos/valores-ciclo-vida/costos-investigacion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costos-investigacion</v>
      </c>
      <c r="L75" s="2" t="s">
        <v>1344</v>
      </c>
      <c r="M75" t="s">
        <v>1799</v>
      </c>
      <c r="P75" s="4"/>
      <c r="R75" s="4"/>
      <c r="S75" s="4"/>
      <c r="AB75" s="5" t="s">
        <v>360</v>
      </c>
      <c r="AC75" s="5" t="s">
        <v>360</v>
      </c>
      <c r="AD75" s="5"/>
      <c r="AE75" s="5" t="s">
        <v>360</v>
      </c>
      <c r="AF75" s="5" t="s">
        <v>360</v>
      </c>
      <c r="AG75" s="5"/>
      <c r="AH75" s="4" t="s">
        <v>360</v>
      </c>
      <c r="AI75" s="2" t="str">
        <f>IF(Tabla_Decretos[[#This Row],[id_padre]]=Tabla_Decretos[[#This Row],[Id]],"NOK","OK")</f>
        <v>OK</v>
      </c>
      <c r="AJ75" s="2"/>
      <c r="AK75" s="2"/>
      <c r="AL75" s="2"/>
      <c r="AM75" s="2"/>
      <c r="AN75" s="2"/>
    </row>
    <row r="76" spans="1:40" hidden="1" x14ac:dyDescent="0.5">
      <c r="A76" s="2">
        <f>MAX(Tabla_Compras[Id])</f>
        <v>736</v>
      </c>
      <c r="B76" s="2">
        <v>804</v>
      </c>
      <c r="C76" s="5">
        <f>IF(Tabla_Decretos[[#This Row],[id_padre]]="",0,_xlfn.XLOOKUP(Tabla_Decretos[[#This Row],[id_padre]],Tabla_Decretos[Id],Tabla_Decretos[Nivel],0,0,1)+1)</f>
        <v>3</v>
      </c>
      <c r="D76" s="2" t="s">
        <v>671</v>
      </c>
      <c r="E76" s="2">
        <f>IF(Tabla_Decretos[[#This Row],[Id_anterior]]=1,ROW()-1,SUM(ROW()-1,Tabla_Decretos[[#This Row],[Id_anterior]]))</f>
        <v>811</v>
      </c>
      <c r="F7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DECRETOS_PROYECTOS_VALORES_CICLO_VIDA_COSTOS_INVERSION</v>
      </c>
      <c r="G76" s="2" t="str">
        <f>CLEAN(PROPER(Tabla_Decretos[[#This Row],[Nombre Opción]]))</f>
        <v>Costos Inversion</v>
      </c>
      <c r="H76" s="2" t="s">
        <v>1735</v>
      </c>
      <c r="I76" s="2" t="str">
        <f>_xlfn.XLOOKUP(Tabla_Decretos[[#This Row],[id_padre]],Tabla_Decretos[Id],Tabla_Decretos[Codigo_Tecnico],"",0,1)</f>
        <v>DECRETOS_PROYECTOS_VALORES_CICLO_VIDA</v>
      </c>
      <c r="J7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/decretos/proyectos/valores-ciclo-vida/costos-inversion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costos-inversion</v>
      </c>
      <c r="L76" s="2" t="s">
        <v>1371</v>
      </c>
      <c r="M76" t="s">
        <v>1799</v>
      </c>
      <c r="P76" s="4"/>
      <c r="R76" s="4"/>
      <c r="S76" s="4"/>
      <c r="AB76" s="5" t="s">
        <v>360</v>
      </c>
      <c r="AC76" s="5" t="s">
        <v>360</v>
      </c>
      <c r="AD76" s="5"/>
      <c r="AE76" s="5" t="s">
        <v>360</v>
      </c>
      <c r="AF76" s="5" t="s">
        <v>360</v>
      </c>
      <c r="AG76" s="5"/>
      <c r="AH76" s="4" t="s">
        <v>360</v>
      </c>
      <c r="AI76" s="2" t="str">
        <f>IF(Tabla_Decretos[[#This Row],[id_padre]]=Tabla_Decretos[[#This Row],[Id]],"NOK","OK")</f>
        <v>OK</v>
      </c>
      <c r="AJ76" s="2"/>
      <c r="AK76" s="2"/>
      <c r="AL76" s="2"/>
      <c r="AM76" s="2"/>
      <c r="AN76" s="2"/>
    </row>
    <row r="77" spans="1:40" hidden="1" x14ac:dyDescent="0.5">
      <c r="A77" s="2">
        <f>MAX(Tabla_Compras[Id])</f>
        <v>736</v>
      </c>
      <c r="B77" s="2">
        <v>804</v>
      </c>
      <c r="C77" s="5">
        <f>IF(Tabla_Decretos[[#This Row],[id_padre]]="",0,_xlfn.XLOOKUP(Tabla_Decretos[[#This Row],[id_padre]],Tabla_Decretos[Id],Tabla_Decretos[Nivel],0,0,1)+1)</f>
        <v>3</v>
      </c>
      <c r="D77" s="2" t="s">
        <v>672</v>
      </c>
      <c r="E77" s="2">
        <f>IF(Tabla_Decretos[[#This Row],[Id_anterior]]=1,ROW()-1,SUM(ROW()-1,Tabla_Decretos[[#This Row],[Id_anterior]]))</f>
        <v>812</v>
      </c>
      <c r="F7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DECRETOS_PROYECTOS_VALORES_CICLO_VIDA_COSTOS_OPERACIONES</v>
      </c>
      <c r="G77" s="2" t="str">
        <f>CLEAN(PROPER(Tabla_Decretos[[#This Row],[Nombre Opción]]))</f>
        <v>Costos Operaciones</v>
      </c>
      <c r="H77" s="2" t="s">
        <v>1735</v>
      </c>
      <c r="I77" s="2" t="str">
        <f>_xlfn.XLOOKUP(Tabla_Decretos[[#This Row],[id_padre]],Tabla_Decretos[Id],Tabla_Decretos[Codigo_Tecnico],"",0,1)</f>
        <v>DECRETOS_PROYECTOS_VALORES_CICLO_VIDA</v>
      </c>
      <c r="J7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/decretos/proyectos/valores-ciclo-vida/costos-operaciones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costos-operaciones</v>
      </c>
      <c r="L77" s="2" t="s">
        <v>1353</v>
      </c>
      <c r="M77" t="s">
        <v>1799</v>
      </c>
      <c r="P77" s="4"/>
      <c r="R77" s="4"/>
      <c r="S77" s="4"/>
      <c r="AB77" s="5" t="s">
        <v>360</v>
      </c>
      <c r="AC77" s="5" t="s">
        <v>360</v>
      </c>
      <c r="AD77" s="5"/>
      <c r="AE77" s="5" t="s">
        <v>360</v>
      </c>
      <c r="AF77" s="5" t="s">
        <v>360</v>
      </c>
      <c r="AG77" s="5"/>
      <c r="AH77" s="4" t="s">
        <v>360</v>
      </c>
      <c r="AI77" s="2" t="str">
        <f>IF(Tabla_Decretos[[#This Row],[id_padre]]=Tabla_Decretos[[#This Row],[Id]],"NOK","OK")</f>
        <v>OK</v>
      </c>
      <c r="AJ77" s="2"/>
      <c r="AK77" s="2"/>
      <c r="AL77" s="2"/>
      <c r="AM77" s="2"/>
      <c r="AN77" s="2"/>
    </row>
    <row r="78" spans="1:40" hidden="1" x14ac:dyDescent="0.5">
      <c r="A78" s="2">
        <f>MAX(Tabla_Compras[Id])</f>
        <v>736</v>
      </c>
      <c r="B78" s="2">
        <v>804</v>
      </c>
      <c r="C78" s="5">
        <f>IF(Tabla_Decretos[[#This Row],[id_padre]]="",0,_xlfn.XLOOKUP(Tabla_Decretos[[#This Row],[id_padre]],Tabla_Decretos[Id],Tabla_Decretos[Nivel],0,0,1)+1)</f>
        <v>3</v>
      </c>
      <c r="D78" s="2" t="s">
        <v>673</v>
      </c>
      <c r="E78" s="2">
        <f>IF(Tabla_Decretos[[#This Row],[Id_anterior]]=1,ROW()-1,SUM(ROW()-1,Tabla_Decretos[[#This Row],[Id_anterior]]))</f>
        <v>813</v>
      </c>
      <c r="F7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DECRETOS_PROYECTOS_VALORES_CICLO_VIDA_COSTOS_DISPOSICION</v>
      </c>
      <c r="G78" s="2" t="str">
        <f>CLEAN(PROPER(Tabla_Decretos[[#This Row],[Nombre Opción]]))</f>
        <v>Costos Disposicion</v>
      </c>
      <c r="H78" s="2" t="s">
        <v>1735</v>
      </c>
      <c r="I78" s="2" t="str">
        <f>_xlfn.XLOOKUP(Tabla_Decretos[[#This Row],[id_padre]],Tabla_Decretos[Id],Tabla_Decretos[Codigo_Tecnico],"",0,1)</f>
        <v>DECRETOS_PROYECTOS_VALORES_CICLO_VIDA</v>
      </c>
      <c r="J7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/decretos/proyectos/valores-ciclo-vida/costos-disposicion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costos-disposicion</v>
      </c>
      <c r="L78" s="2" t="s">
        <v>1345</v>
      </c>
      <c r="M78" t="s">
        <v>1799</v>
      </c>
      <c r="P78" s="4"/>
      <c r="R78" s="4"/>
      <c r="S78" s="4"/>
      <c r="AB78" s="5" t="s">
        <v>360</v>
      </c>
      <c r="AC78" s="5" t="s">
        <v>360</v>
      </c>
      <c r="AD78" s="5"/>
      <c r="AE78" s="5" t="s">
        <v>360</v>
      </c>
      <c r="AF78" s="5" t="s">
        <v>360</v>
      </c>
      <c r="AG78" s="5"/>
      <c r="AH78" s="4" t="s">
        <v>360</v>
      </c>
      <c r="AI78" s="2" t="str">
        <f>IF(Tabla_Decretos[[#This Row],[id_padre]]=Tabla_Decretos[[#This Row],[Id]],"NOK","OK")</f>
        <v>OK</v>
      </c>
      <c r="AJ78" s="2"/>
      <c r="AK78" s="2"/>
      <c r="AL78" s="2"/>
      <c r="AM78" s="2"/>
      <c r="AN78" s="2"/>
    </row>
    <row r="79" spans="1:40" hidden="1" x14ac:dyDescent="0.5">
      <c r="A79" s="2">
        <f>MAX(Tabla_Compras[Id])</f>
        <v>736</v>
      </c>
      <c r="B79" s="2">
        <v>741</v>
      </c>
      <c r="C79" s="5">
        <f>IF(Tabla_Decretos[[#This Row],[id_padre]]="",0,_xlfn.XLOOKUP(Tabla_Decretos[[#This Row],[id_padre]],Tabla_Decretos[Id],Tabla_Decretos[Nivel],0,0,1)+1)</f>
        <v>2</v>
      </c>
      <c r="D79" s="2" t="s">
        <v>702</v>
      </c>
      <c r="E79" s="2">
        <f>IF(Tabla_Decretos[[#This Row],[Id_anterior]]=1,ROW()-1,SUM(ROW()-1,Tabla_Decretos[[#This Row],[Id_anterior]]))</f>
        <v>814</v>
      </c>
      <c r="F7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DECRETOS_FMS_CARTA_OFERTA_CASOS_FMS</v>
      </c>
      <c r="G79" s="2" t="str">
        <f>CLEAN(PROPER(Tabla_Decretos[[#This Row],[Nombre Opción]]))</f>
        <v>Carta Oferta / Casos F.M.S</v>
      </c>
      <c r="H79" s="2" t="s">
        <v>1735</v>
      </c>
      <c r="I79" s="2" t="str">
        <f>_xlfn.XLOOKUP(Tabla_Decretos[[#This Row],[id_padre]],Tabla_Decretos[Id],Tabla_Decretos[Codigo_Tecnico],"",0,1)</f>
        <v>DECRETOS_FMS</v>
      </c>
      <c r="J7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/decretos/fms/carta-oferta-casos-fms</v>
      </c>
      <c r="K7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carta-oferta-casos-fms</v>
      </c>
      <c r="L79" s="2" t="s">
        <v>1451</v>
      </c>
      <c r="M79" t="s">
        <v>1799</v>
      </c>
      <c r="P79" s="4"/>
      <c r="R79" s="4"/>
      <c r="S79" s="4" t="s">
        <v>360</v>
      </c>
      <c r="T79" s="4" t="s">
        <v>360</v>
      </c>
      <c r="W79" s="4" t="s">
        <v>360</v>
      </c>
      <c r="Z79" s="4" t="s">
        <v>360</v>
      </c>
      <c r="AB79" s="5"/>
      <c r="AC79" s="5"/>
      <c r="AD79" s="5"/>
      <c r="AE79" s="5"/>
      <c r="AF79" s="5"/>
      <c r="AG79" s="5"/>
      <c r="AH79" s="4" t="s">
        <v>360</v>
      </c>
      <c r="AI79" s="2" t="str">
        <f>IF(Tabla_Decretos[[#This Row],[id_padre]]=Tabla_Decretos[[#This Row],[Id]],"NOK","OK")</f>
        <v>OK</v>
      </c>
      <c r="AJ79" s="2"/>
      <c r="AK79" s="2"/>
      <c r="AL79" s="2"/>
      <c r="AM79" s="2"/>
      <c r="AN79" s="2"/>
    </row>
    <row r="80" spans="1:40" hidden="1" x14ac:dyDescent="0.5">
      <c r="A80" s="2">
        <f>MAX(Tabla_Compras[Id])</f>
        <v>736</v>
      </c>
      <c r="B80" s="2">
        <v>814</v>
      </c>
      <c r="C80" s="5">
        <f>IF(Tabla_Decretos[[#This Row],[id_padre]]="",0,_xlfn.XLOOKUP(Tabla_Decretos[[#This Row],[id_padre]],Tabla_Decretos[Id],Tabla_Decretos[Nivel],0,0,1)+1)</f>
        <v>3</v>
      </c>
      <c r="D80" s="2" t="s">
        <v>685</v>
      </c>
      <c r="E80" s="2">
        <f>IF(Tabla_Decretos[[#This Row],[Id_anterior]]=1,ROW()-1,SUM(ROW()-1,Tabla_Decretos[[#This Row],[Id_anterior]]))</f>
        <v>815</v>
      </c>
      <c r="F8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DECRETOS_FMS_CARTA_OFERTA_CASOS_FMS_INGRESO</v>
      </c>
      <c r="G80" s="2" t="str">
        <f>CLEAN(PROPER(Tabla_Decretos[[#This Row],[Nombre Opción]]))</f>
        <v>Ingreso</v>
      </c>
      <c r="H80" s="2" t="s">
        <v>1735</v>
      </c>
      <c r="I80" s="2" t="str">
        <f>_xlfn.XLOOKUP(Tabla_Decretos[[#This Row],[id_padre]],Tabla_Decretos[Id],Tabla_Decretos[Codigo_Tecnico],"",0,1)</f>
        <v>DECRETOS_FMS_CARTA_OFERTA_CASOS_FMS</v>
      </c>
      <c r="J8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/decretos/fms/carta-oferta-casos-fms/ingreso</v>
      </c>
      <c r="K8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</v>
      </c>
      <c r="L80" s="2" t="s">
        <v>1569</v>
      </c>
      <c r="M80" t="s">
        <v>1799</v>
      </c>
      <c r="P80" s="4"/>
      <c r="R80" s="4"/>
      <c r="S80" s="4" t="s">
        <v>360</v>
      </c>
      <c r="T80" s="4" t="s">
        <v>360</v>
      </c>
      <c r="W80" s="4" t="s">
        <v>360</v>
      </c>
      <c r="Z80" s="4" t="s">
        <v>360</v>
      </c>
      <c r="AB80" s="5"/>
      <c r="AC80" s="5"/>
      <c r="AD80" s="5"/>
      <c r="AE80" s="5"/>
      <c r="AF80" s="5"/>
      <c r="AG80" s="5"/>
      <c r="AH80" s="4" t="s">
        <v>360</v>
      </c>
      <c r="AI80" s="2" t="str">
        <f>IF(Tabla_Decretos[[#This Row],[id_padre]]=Tabla_Decretos[[#This Row],[Id]],"NOK","OK")</f>
        <v>OK</v>
      </c>
      <c r="AJ80" s="2"/>
      <c r="AK80" s="2"/>
      <c r="AL80" s="2"/>
      <c r="AM80" s="2"/>
      <c r="AN80" s="2"/>
    </row>
    <row r="81" spans="1:40" hidden="1" x14ac:dyDescent="0.5">
      <c r="A81" s="2">
        <f>MAX(Tabla_Compras[Id])</f>
        <v>736</v>
      </c>
      <c r="B81" s="2">
        <v>814</v>
      </c>
      <c r="C81" s="5">
        <f>IF(Tabla_Decretos[[#This Row],[id_padre]]="",0,_xlfn.XLOOKUP(Tabla_Decretos[[#This Row],[id_padre]],Tabla_Decretos[Id],Tabla_Decretos[Nivel],0,0,1)+1)</f>
        <v>3</v>
      </c>
      <c r="D81" s="2" t="s">
        <v>134</v>
      </c>
      <c r="E81" s="2">
        <f>IF(Tabla_Decretos[[#This Row],[Id_anterior]]=1,ROW()-1,SUM(ROW()-1,Tabla_Decretos[[#This Row],[Id_anterior]]))</f>
        <v>816</v>
      </c>
      <c r="F8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DECRETOS_FMS_CARTA_OFERTA_CASOS_FMS_MANTENCION</v>
      </c>
      <c r="G81" s="2" t="str">
        <f>CLEAN(PROPER(Tabla_Decretos[[#This Row],[Nombre Opción]]))</f>
        <v>Mantencion</v>
      </c>
      <c r="H81" s="2" t="s">
        <v>1735</v>
      </c>
      <c r="I81" s="2" t="str">
        <f>_xlfn.XLOOKUP(Tabla_Decretos[[#This Row],[id_padre]],Tabla_Decretos[Id],Tabla_Decretos[Codigo_Tecnico],"",0,1)</f>
        <v>DECRETOS_FMS_CARTA_OFERTA_CASOS_FMS</v>
      </c>
      <c r="J8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/decretos/fms/carta-oferta-casos-fms/mantencion</v>
      </c>
      <c r="K8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</v>
      </c>
      <c r="L81" s="2" t="s">
        <v>1570</v>
      </c>
      <c r="M81" t="s">
        <v>1799</v>
      </c>
      <c r="P81" s="4"/>
      <c r="R81" s="4"/>
      <c r="S81" s="4" t="s">
        <v>360</v>
      </c>
      <c r="T81" s="4" t="s">
        <v>360</v>
      </c>
      <c r="W81" s="4" t="s">
        <v>360</v>
      </c>
      <c r="Z81" s="4" t="s">
        <v>360</v>
      </c>
      <c r="AB81" s="5"/>
      <c r="AC81" s="5"/>
      <c r="AD81" s="5"/>
      <c r="AE81" s="5"/>
      <c r="AF81" s="5"/>
      <c r="AG81" s="5"/>
      <c r="AH81" s="4" t="s">
        <v>360</v>
      </c>
      <c r="AI81" s="2" t="str">
        <f>IF(Tabla_Decretos[[#This Row],[id_padre]]=Tabla_Decretos[[#This Row],[Id]],"NOK","OK")</f>
        <v>OK</v>
      </c>
      <c r="AJ81" s="2"/>
      <c r="AK81" s="2"/>
      <c r="AL81" s="2"/>
      <c r="AM81" s="2"/>
      <c r="AN81" s="2"/>
    </row>
    <row r="82" spans="1:40" hidden="1" x14ac:dyDescent="0.5">
      <c r="A82" s="2">
        <f>MAX(Tabla_Compras[Id])</f>
        <v>736</v>
      </c>
      <c r="B82" s="2">
        <v>814</v>
      </c>
      <c r="C82" s="5">
        <f>IF(Tabla_Decretos[[#This Row],[id_padre]]="",0,_xlfn.XLOOKUP(Tabla_Decretos[[#This Row],[id_padre]],Tabla_Decretos[Id],Tabla_Decretos[Nivel],0,0,1)+1)</f>
        <v>3</v>
      </c>
      <c r="D82" s="2" t="s">
        <v>703</v>
      </c>
      <c r="E82" s="2">
        <f>IF(Tabla_Decretos[[#This Row],[Id_anterior]]=1,ROW()-1,SUM(ROW()-1,Tabla_Decretos[[#This Row],[Id_anterior]]))</f>
        <v>817</v>
      </c>
      <c r="F8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DECRETOS_FMS_CARTA_OFERTA_CASOS_FMS_RECHAZO_CARTA_OFERTA</v>
      </c>
      <c r="G82" s="2" t="str">
        <f>CLEAN(PROPER(Tabla_Decretos[[#This Row],[Nombre Opción]]))</f>
        <v>Rechazo Carta Oferta</v>
      </c>
      <c r="H82" s="2" t="s">
        <v>1735</v>
      </c>
      <c r="I82" s="2" t="str">
        <f>_xlfn.XLOOKUP(Tabla_Decretos[[#This Row],[id_padre]],Tabla_Decretos[Id],Tabla_Decretos[Codigo_Tecnico],"",0,1)</f>
        <v>DECRETOS_FMS_CARTA_OFERTA_CASOS_FMS</v>
      </c>
      <c r="J8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/decretos/fms/carta-oferta-casos-fms/rechazo-carta-oferta</v>
      </c>
      <c r="K8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rechazo-carta-oferta</v>
      </c>
      <c r="L82" s="2" t="s">
        <v>1571</v>
      </c>
      <c r="M82" t="s">
        <v>1799</v>
      </c>
      <c r="P82" s="4"/>
      <c r="R82" s="4"/>
      <c r="S82" s="4" t="s">
        <v>360</v>
      </c>
      <c r="T82" s="4" t="s">
        <v>360</v>
      </c>
      <c r="W82" s="4" t="s">
        <v>360</v>
      </c>
      <c r="Z82" s="4" t="s">
        <v>360</v>
      </c>
      <c r="AB82" s="5"/>
      <c r="AC82" s="5"/>
      <c r="AD82" s="5"/>
      <c r="AE82" s="5"/>
      <c r="AF82" s="5"/>
      <c r="AG82" s="5"/>
      <c r="AH82" s="4" t="s">
        <v>360</v>
      </c>
      <c r="AI82" s="2" t="str">
        <f>IF(Tabla_Decretos[[#This Row],[id_padre]]=Tabla_Decretos[[#This Row],[Id]],"NOK","OK")</f>
        <v>OK</v>
      </c>
      <c r="AJ82" s="2"/>
      <c r="AK82" s="2"/>
      <c r="AL82" s="2"/>
      <c r="AM82" s="2"/>
      <c r="AN82" s="2"/>
    </row>
    <row r="83" spans="1:40" hidden="1" x14ac:dyDescent="0.5">
      <c r="A83" s="2">
        <f>MAX(Tabla_Compras[Id])</f>
        <v>736</v>
      </c>
      <c r="B83" s="2">
        <v>814</v>
      </c>
      <c r="C83" s="5">
        <f>IF(Tabla_Decretos[[#This Row],[id_padre]]="",0,_xlfn.XLOOKUP(Tabla_Decretos[[#This Row],[id_padre]],Tabla_Decretos[Id],Tabla_Decretos[Nivel],0,0,1)+1)</f>
        <v>3</v>
      </c>
      <c r="D83" s="2" t="s">
        <v>704</v>
      </c>
      <c r="E83" s="2">
        <f>IF(Tabla_Decretos[[#This Row],[Id_anterior]]=1,ROW()-1,SUM(ROW()-1,Tabla_Decretos[[#This Row],[Id_anterior]]))</f>
        <v>818</v>
      </c>
      <c r="F8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DECRETOS_FMS_CARTA_OFERTA_CASOS_FMS_LINEAS_LOA</v>
      </c>
      <c r="G83" s="2" t="str">
        <f>CLEAN(PROPER(Tabla_Decretos[[#This Row],[Nombre Opción]]))</f>
        <v>Lineas De La Loa</v>
      </c>
      <c r="H83" s="2" t="s">
        <v>1735</v>
      </c>
      <c r="I83" s="2" t="str">
        <f>_xlfn.XLOOKUP(Tabla_Decretos[[#This Row],[id_padre]],Tabla_Decretos[Id],Tabla_Decretos[Codigo_Tecnico],"",0,1)</f>
        <v>DECRETOS_FMS_CARTA_OFERTA_CASOS_FMS</v>
      </c>
      <c r="J8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/decretos/fms/carta-oferta-casos-fms/lineas-loa</v>
      </c>
      <c r="K8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lineas-loa</v>
      </c>
      <c r="L83" s="2" t="s">
        <v>1487</v>
      </c>
      <c r="M83" t="s">
        <v>1799</v>
      </c>
      <c r="P83" s="4"/>
      <c r="R83" s="4"/>
      <c r="S83" s="4" t="s">
        <v>360</v>
      </c>
      <c r="T83" s="4" t="s">
        <v>360</v>
      </c>
      <c r="W83" s="4" t="s">
        <v>360</v>
      </c>
      <c r="Z83" s="4" t="s">
        <v>360</v>
      </c>
      <c r="AB83" s="5"/>
      <c r="AC83" s="5"/>
      <c r="AD83" s="5"/>
      <c r="AE83" s="5"/>
      <c r="AF83" s="5"/>
      <c r="AG83" s="5"/>
      <c r="AH83" s="4" t="s">
        <v>360</v>
      </c>
      <c r="AI83" s="2" t="str">
        <f>IF(Tabla_Decretos[[#This Row],[id_padre]]=Tabla_Decretos[[#This Row],[Id]],"NOK","OK")</f>
        <v>OK</v>
      </c>
      <c r="AJ83" s="2"/>
      <c r="AK83" s="2"/>
      <c r="AL83" s="2"/>
      <c r="AM83" s="2"/>
      <c r="AN83" s="2"/>
    </row>
    <row r="84" spans="1:40" hidden="1" x14ac:dyDescent="0.5">
      <c r="A84" s="2">
        <f>MAX(Tabla_Compras[Id])</f>
        <v>736</v>
      </c>
      <c r="B84" s="2">
        <v>814</v>
      </c>
      <c r="C84" s="5">
        <f>IF(Tabla_Decretos[[#This Row],[id_padre]]="",0,_xlfn.XLOOKUP(Tabla_Decretos[[#This Row],[id_padre]],Tabla_Decretos[Id],Tabla_Decretos[Nivel],0,0,1)+1)</f>
        <v>3</v>
      </c>
      <c r="D84" s="2" t="s">
        <v>705</v>
      </c>
      <c r="E84" s="2">
        <f>IF(Tabla_Decretos[[#This Row],[Id_anterior]]=1,ROW()-1,SUM(ROW()-1,Tabla_Decretos[[#This Row],[Id_anterior]]))</f>
        <v>819</v>
      </c>
      <c r="F8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DECRETOS_FMS_CARTA_OFERTA_CASOS_FMS_CALENDARIO_PAGOS_CARGOS</v>
      </c>
      <c r="G84" s="2" t="str">
        <f>CLEAN(PROPER(Tabla_Decretos[[#This Row],[Nombre Opción]]))</f>
        <v>Calendario De Pagos – Cargos</v>
      </c>
      <c r="H84" s="2" t="s">
        <v>1735</v>
      </c>
      <c r="I84" s="2" t="str">
        <f>_xlfn.XLOOKUP(Tabla_Decretos[[#This Row],[id_padre]],Tabla_Decretos[Id],Tabla_Decretos[Codigo_Tecnico],"",0,1)</f>
        <v>DECRETOS_FMS_CARTA_OFERTA_CASOS_FMS</v>
      </c>
      <c r="J8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/decretos/fms/carta-oferta-casos-fms/calendario-pagos-cargos</v>
      </c>
      <c r="K8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calendario-pagos-cargos</v>
      </c>
      <c r="L84" s="2" t="s">
        <v>1372</v>
      </c>
      <c r="M84" t="s">
        <v>1799</v>
      </c>
      <c r="P84" s="4"/>
      <c r="R84" s="4"/>
      <c r="S84" s="4" t="s">
        <v>360</v>
      </c>
      <c r="T84" s="4" t="s">
        <v>360</v>
      </c>
      <c r="W84" s="4" t="s">
        <v>360</v>
      </c>
      <c r="Z84" s="4" t="s">
        <v>360</v>
      </c>
      <c r="AB84" s="5"/>
      <c r="AC84" s="5"/>
      <c r="AD84" s="5"/>
      <c r="AE84" s="5"/>
      <c r="AF84" s="5"/>
      <c r="AG84" s="5"/>
      <c r="AH84" s="4" t="s">
        <v>360</v>
      </c>
      <c r="AI84" s="2" t="str">
        <f>IF(Tabla_Decretos[[#This Row],[id_padre]]=Tabla_Decretos[[#This Row],[Id]],"NOK","OK")</f>
        <v>OK</v>
      </c>
      <c r="AJ84" s="2"/>
      <c r="AK84" s="2"/>
      <c r="AL84" s="2"/>
      <c r="AM84" s="2"/>
      <c r="AN84" s="2"/>
    </row>
    <row r="85" spans="1:40" hidden="1" x14ac:dyDescent="0.5">
      <c r="A85" s="2">
        <f>MAX(Tabla_Compras[Id])</f>
        <v>736</v>
      </c>
      <c r="B85" s="2">
        <v>814</v>
      </c>
      <c r="C85" s="5">
        <f>IF(Tabla_Decretos[[#This Row],[id_padre]]="",0,_xlfn.XLOOKUP(Tabla_Decretos[[#This Row],[id_padre]],Tabla_Decretos[Id],Tabla_Decretos[Nivel],0,0,1)+1)</f>
        <v>3</v>
      </c>
      <c r="D85" s="2" t="s">
        <v>706</v>
      </c>
      <c r="E85" s="2">
        <f>IF(Tabla_Decretos[[#This Row],[Id_anterior]]=1,ROW()-1,SUM(ROW()-1,Tabla_Decretos[[#This Row],[Id_anterior]]))</f>
        <v>820</v>
      </c>
      <c r="F8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DECRETOS_FMS_CARTA_OFERTA_CASOS_FMS_CIERREDE_CASOS</v>
      </c>
      <c r="G85" s="2" t="str">
        <f>CLEAN(PROPER(Tabla_Decretos[[#This Row],[Nombre Opción]]))</f>
        <v>Cierrede Casos</v>
      </c>
      <c r="H85" s="2" t="s">
        <v>1735</v>
      </c>
      <c r="I85" s="2" t="str">
        <f>_xlfn.XLOOKUP(Tabla_Decretos[[#This Row],[id_padre]],Tabla_Decretos[Id],Tabla_Decretos[Codigo_Tecnico],"",0,1)</f>
        <v>DECRETOS_FMS_CARTA_OFERTA_CASOS_FMS</v>
      </c>
      <c r="J8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/decretos/fms/carta-oferta-casos-fms/cierrede-casos</v>
      </c>
      <c r="K8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cierrede-casos</v>
      </c>
      <c r="L85" s="2" t="s">
        <v>1342</v>
      </c>
      <c r="M85" t="s">
        <v>1799</v>
      </c>
      <c r="P85" s="4"/>
      <c r="R85" s="4"/>
      <c r="S85" s="4" t="s">
        <v>360</v>
      </c>
      <c r="T85" s="4" t="s">
        <v>360</v>
      </c>
      <c r="W85" s="4" t="s">
        <v>360</v>
      </c>
      <c r="Z85" s="4" t="s">
        <v>360</v>
      </c>
      <c r="AB85" s="5"/>
      <c r="AC85" s="5"/>
      <c r="AD85" s="5"/>
      <c r="AE85" s="5"/>
      <c r="AF85" s="5"/>
      <c r="AG85" s="5"/>
      <c r="AH85" s="4" t="s">
        <v>360</v>
      </c>
      <c r="AI85" s="2" t="str">
        <f>IF(Tabla_Decretos[[#This Row],[id_padre]]=Tabla_Decretos[[#This Row],[Id]],"NOK","OK")</f>
        <v>OK</v>
      </c>
      <c r="AJ85" s="2"/>
      <c r="AK85" s="2"/>
      <c r="AL85" s="2"/>
      <c r="AM85" s="2"/>
      <c r="AN85" s="2"/>
    </row>
    <row r="86" spans="1:40" hidden="1" x14ac:dyDescent="0.5">
      <c r="A86" s="2">
        <f>MAX(Tabla_Compras[Id])</f>
        <v>736</v>
      </c>
      <c r="B86" s="2">
        <v>741</v>
      </c>
      <c r="C86" s="5">
        <f>IF(Tabla_Decretos[[#This Row],[id_padre]]="",0,_xlfn.XLOOKUP(Tabla_Decretos[[#This Row],[id_padre]],Tabla_Decretos[Id],Tabla_Decretos[Nivel],0,0,1)+1)</f>
        <v>2</v>
      </c>
      <c r="D86" s="2" t="s">
        <v>707</v>
      </c>
      <c r="E86" s="2">
        <f>IF(Tabla_Decretos[[#This Row],[Id_anterior]]=1,ROW()-1,SUM(ROW()-1,Tabla_Decretos[[#This Row],[Id_anterior]]))</f>
        <v>821</v>
      </c>
      <c r="F8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DECRETOS_FMS_ENMIENDAS_CASOS_FMS</v>
      </c>
      <c r="G86" s="2" t="str">
        <f>CLEAN(PROPER(Tabla_Decretos[[#This Row],[Nombre Opción]]))</f>
        <v>Enmiendas A Casos F.M.S</v>
      </c>
      <c r="H86" s="2" t="s">
        <v>1735</v>
      </c>
      <c r="I86" s="2" t="str">
        <f>_xlfn.XLOOKUP(Tabla_Decretos[[#This Row],[id_padre]],Tabla_Decretos[Id],Tabla_Decretos[Codigo_Tecnico],"",0,1)</f>
        <v>DECRETOS_FMS</v>
      </c>
      <c r="J8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/decretos/fms/enmiendas-casos-fms</v>
      </c>
      <c r="K8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enmiendas-casos-fms</v>
      </c>
      <c r="L86" s="2" t="s">
        <v>1472</v>
      </c>
      <c r="M86" t="s">
        <v>1799</v>
      </c>
      <c r="P86" s="4"/>
      <c r="R86" s="4"/>
      <c r="S86" s="4" t="s">
        <v>360</v>
      </c>
      <c r="T86" s="4" t="s">
        <v>360</v>
      </c>
      <c r="W86" s="4" t="s">
        <v>360</v>
      </c>
      <c r="Z86" s="4" t="s">
        <v>360</v>
      </c>
      <c r="AB86" s="5"/>
      <c r="AC86" s="5"/>
      <c r="AD86" s="5"/>
      <c r="AE86" s="5"/>
      <c r="AF86" s="5"/>
      <c r="AG86" s="5"/>
      <c r="AH86" s="4" t="s">
        <v>360</v>
      </c>
      <c r="AI86" s="2" t="str">
        <f>IF(Tabla_Decretos[[#This Row],[id_padre]]=Tabla_Decretos[[#This Row],[Id]],"NOK","OK")</f>
        <v>OK</v>
      </c>
      <c r="AJ86" s="2"/>
      <c r="AK86" s="2"/>
      <c r="AL86" s="2"/>
      <c r="AM86" s="2"/>
      <c r="AN86" s="2"/>
    </row>
    <row r="87" spans="1:40" hidden="1" x14ac:dyDescent="0.5">
      <c r="A87" s="2">
        <f>MAX(Tabla_Compras[Id])</f>
        <v>736</v>
      </c>
      <c r="B87" s="2">
        <v>821</v>
      </c>
      <c r="C87" s="5">
        <f>IF(Tabla_Decretos[[#This Row],[id_padre]]="",0,_xlfn.XLOOKUP(Tabla_Decretos[[#This Row],[id_padre]],Tabla_Decretos[Id],Tabla_Decretos[Nivel],0,0,1)+1)</f>
        <v>3</v>
      </c>
      <c r="D87" s="2" t="s">
        <v>685</v>
      </c>
      <c r="E87" s="2">
        <f>IF(Tabla_Decretos[[#This Row],[Id_anterior]]=1,ROW()-1,SUM(ROW()-1,Tabla_Decretos[[#This Row],[Id_anterior]]))</f>
        <v>822</v>
      </c>
      <c r="F8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DECRETOS_FMS_ENMIENDAS_CASOS_FMS_INGRESO</v>
      </c>
      <c r="G87" s="2" t="str">
        <f>CLEAN(PROPER(Tabla_Decretos[[#This Row],[Nombre Opción]]))</f>
        <v>Ingreso</v>
      </c>
      <c r="H87" s="2" t="s">
        <v>1735</v>
      </c>
      <c r="I87" s="2" t="str">
        <f>_xlfn.XLOOKUP(Tabla_Decretos[[#This Row],[id_padre]],Tabla_Decretos[Id],Tabla_Decretos[Codigo_Tecnico],"",0,1)</f>
        <v>DECRETOS_FMS_ENMIENDAS_CASOS_FMS</v>
      </c>
      <c r="J8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/decretos/fms/enmiendas-casos-fms/ingreso</v>
      </c>
      <c r="K8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</v>
      </c>
      <c r="L87" s="2" t="s">
        <v>1359</v>
      </c>
      <c r="M87" t="s">
        <v>1799</v>
      </c>
      <c r="P87" s="4"/>
      <c r="R87" s="4"/>
      <c r="S87" s="4" t="s">
        <v>360</v>
      </c>
      <c r="T87" s="4" t="s">
        <v>360</v>
      </c>
      <c r="W87" s="4" t="s">
        <v>360</v>
      </c>
      <c r="Z87" s="4" t="s">
        <v>360</v>
      </c>
      <c r="AB87" s="5"/>
      <c r="AC87" s="5"/>
      <c r="AD87" s="5"/>
      <c r="AE87" s="5"/>
      <c r="AF87" s="5"/>
      <c r="AG87" s="5"/>
      <c r="AH87" s="4" t="s">
        <v>360</v>
      </c>
      <c r="AI87" s="2" t="str">
        <f>IF(Tabla_Decretos[[#This Row],[id_padre]]=Tabla_Decretos[[#This Row],[Id]],"NOK","OK")</f>
        <v>OK</v>
      </c>
      <c r="AJ87" s="2"/>
      <c r="AK87" s="2"/>
      <c r="AL87" s="2"/>
      <c r="AM87" s="2"/>
      <c r="AN87" s="2"/>
    </row>
    <row r="88" spans="1:40" hidden="1" x14ac:dyDescent="0.5">
      <c r="A88" s="2">
        <f>MAX(Tabla_Compras[Id])</f>
        <v>736</v>
      </c>
      <c r="B88" s="2">
        <v>821</v>
      </c>
      <c r="C88" s="5">
        <f>IF(Tabla_Decretos[[#This Row],[id_padre]]="",0,_xlfn.XLOOKUP(Tabla_Decretos[[#This Row],[id_padre]],Tabla_Decretos[Id],Tabla_Decretos[Nivel],0,0,1)+1)</f>
        <v>3</v>
      </c>
      <c r="D88" s="2" t="s">
        <v>134</v>
      </c>
      <c r="E88" s="2">
        <f>IF(Tabla_Decretos[[#This Row],[Id_anterior]]=1,ROW()-1,SUM(ROW()-1,Tabla_Decretos[[#This Row],[Id_anterior]]))</f>
        <v>823</v>
      </c>
      <c r="F8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DECRETOS_FMS_ENMIENDAS_CASOS_FMS_MANTENCION</v>
      </c>
      <c r="G88" s="2" t="str">
        <f>CLEAN(PROPER(Tabla_Decretos[[#This Row],[Nombre Opción]]))</f>
        <v>Mantencion</v>
      </c>
      <c r="H88" s="2" t="s">
        <v>1735</v>
      </c>
      <c r="I88" s="2" t="str">
        <f>_xlfn.XLOOKUP(Tabla_Decretos[[#This Row],[id_padre]],Tabla_Decretos[Id],Tabla_Decretos[Codigo_Tecnico],"",0,1)</f>
        <v>DECRETOS_FMS_ENMIENDAS_CASOS_FMS</v>
      </c>
      <c r="J8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/decretos/fms/enmiendas-casos-fms/mantencion</v>
      </c>
      <c r="K8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</v>
      </c>
      <c r="L88" s="2" t="s">
        <v>1352</v>
      </c>
      <c r="M88" t="s">
        <v>1799</v>
      </c>
      <c r="P88" s="4"/>
      <c r="R88" s="4"/>
      <c r="S88" s="4" t="s">
        <v>360</v>
      </c>
      <c r="T88" s="4" t="s">
        <v>360</v>
      </c>
      <c r="W88" s="4" t="s">
        <v>360</v>
      </c>
      <c r="Z88" s="4" t="s">
        <v>360</v>
      </c>
      <c r="AB88" s="5"/>
      <c r="AC88" s="5"/>
      <c r="AD88" s="5"/>
      <c r="AE88" s="5"/>
      <c r="AF88" s="5"/>
      <c r="AG88" s="5"/>
      <c r="AH88" s="4" t="s">
        <v>360</v>
      </c>
      <c r="AI88" s="2" t="str">
        <f>IF(Tabla_Decretos[[#This Row],[id_padre]]=Tabla_Decretos[[#This Row],[Id]],"NOK","OK")</f>
        <v>OK</v>
      </c>
      <c r="AJ88" s="2"/>
      <c r="AK88" s="2"/>
      <c r="AL88" s="2"/>
      <c r="AM88" s="2"/>
      <c r="AN88" s="2"/>
    </row>
    <row r="89" spans="1:40" hidden="1" x14ac:dyDescent="0.5">
      <c r="A89" s="2">
        <f>MAX(Tabla_Compras[Id])</f>
        <v>736</v>
      </c>
      <c r="B89" s="2">
        <v>741</v>
      </c>
      <c r="C89" s="5">
        <f>IF(Tabla_Decretos[[#This Row],[id_padre]]="",0,_xlfn.XLOOKUP(Tabla_Decretos[[#This Row],[id_padre]],Tabla_Decretos[Id],Tabla_Decretos[Nivel],0,0,1)+1)</f>
        <v>2</v>
      </c>
      <c r="D89" s="2" t="s">
        <v>708</v>
      </c>
      <c r="E89" s="2">
        <f>IF(Tabla_Decretos[[#This Row],[Id_anterior]]=1,ROW()-1,SUM(ROW()-1,Tabla_Decretos[[#This Row],[Id_anterior]]))</f>
        <v>824</v>
      </c>
      <c r="F8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DECRETOS_FMS_INFORMES_FINANCIEROS</v>
      </c>
      <c r="G89" s="2" t="str">
        <f>CLEAN(PROPER(Tabla_Decretos[[#This Row],[Nombre Opción]]))</f>
        <v>Informes Financieros</v>
      </c>
      <c r="H89" s="2" t="s">
        <v>1735</v>
      </c>
      <c r="I89" s="2" t="str">
        <f>_xlfn.XLOOKUP(Tabla_Decretos[[#This Row],[id_padre]],Tabla_Decretos[Id],Tabla_Decretos[Codigo_Tecnico],"",0,1)</f>
        <v>DECRETOS_FMS</v>
      </c>
      <c r="J8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/decretos/fms/informes-financieros</v>
      </c>
      <c r="K8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informes-financieros</v>
      </c>
      <c r="L89" s="2" t="s">
        <v>1415</v>
      </c>
      <c r="M89" t="s">
        <v>1799</v>
      </c>
      <c r="P89" s="4"/>
      <c r="R89" s="4"/>
      <c r="S89" s="4" t="s">
        <v>360</v>
      </c>
      <c r="AA89" s="4" t="s">
        <v>360</v>
      </c>
      <c r="AB89" s="5"/>
      <c r="AC89" s="5"/>
      <c r="AD89" s="5"/>
      <c r="AE89" s="5"/>
      <c r="AF89" s="5"/>
      <c r="AG89" s="5"/>
      <c r="AH89" s="4" t="s">
        <v>360</v>
      </c>
      <c r="AI89" s="2" t="str">
        <f>IF(Tabla_Decretos[[#This Row],[id_padre]]=Tabla_Decretos[[#This Row],[Id]],"NOK","OK")</f>
        <v>OK</v>
      </c>
      <c r="AJ89" s="2"/>
      <c r="AK89" s="2"/>
      <c r="AL89" s="2"/>
      <c r="AM89" s="2"/>
      <c r="AN89" s="2"/>
    </row>
    <row r="90" spans="1:40" hidden="1" x14ac:dyDescent="0.5">
      <c r="A90" s="2">
        <f>MAX(Tabla_Compras[Id])</f>
        <v>736</v>
      </c>
      <c r="B90" s="2">
        <v>741</v>
      </c>
      <c r="C90" s="5">
        <f>IF(Tabla_Decretos[[#This Row],[id_padre]]="",0,_xlfn.XLOOKUP(Tabla_Decretos[[#This Row],[id_padre]],Tabla_Decretos[Id],Tabla_Decretos[Nivel],0,0,1)+1)</f>
        <v>2</v>
      </c>
      <c r="D90" s="2" t="s">
        <v>709</v>
      </c>
      <c r="E90" s="2">
        <f>IF(Tabla_Decretos[[#This Row],[Id_anterior]]=1,ROW()-1,SUM(ROW()-1,Tabla_Decretos[[#This Row],[Id_anterior]]))</f>
        <v>825</v>
      </c>
      <c r="F9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DECRETOS_FMS_REFRENDAR</v>
      </c>
      <c r="G90" s="2" t="str">
        <f>CLEAN(PROPER(Tabla_Decretos[[#This Row],[Nombre Opción]]))</f>
        <v>Refrendar</v>
      </c>
      <c r="H90" s="2" t="s">
        <v>1735</v>
      </c>
      <c r="I90" s="2" t="str">
        <f>_xlfn.XLOOKUP(Tabla_Decretos[[#This Row],[id_padre]],Tabla_Decretos[Id],Tabla_Decretos[Codigo_Tecnico],"",0,1)</f>
        <v>DECRETOS_FMS</v>
      </c>
      <c r="J9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/decretos/fms/refrendar</v>
      </c>
      <c r="K9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refrendar</v>
      </c>
      <c r="L90" s="2" t="s">
        <v>1410</v>
      </c>
      <c r="M90" t="s">
        <v>1799</v>
      </c>
      <c r="P90" s="4"/>
      <c r="R90" s="4"/>
      <c r="S90" s="4" t="s">
        <v>360</v>
      </c>
      <c r="T90" s="4" t="s">
        <v>360</v>
      </c>
      <c r="W90" s="4" t="s">
        <v>360</v>
      </c>
      <c r="Z90" s="4" t="s">
        <v>360</v>
      </c>
      <c r="AB90" s="5"/>
      <c r="AC90" s="5"/>
      <c r="AD90" s="5"/>
      <c r="AE90" s="5"/>
      <c r="AF90" s="5"/>
      <c r="AG90" s="5"/>
      <c r="AH90" s="4" t="s">
        <v>360</v>
      </c>
      <c r="AI90" s="2" t="str">
        <f>IF(Tabla_Decretos[[#This Row],[id_padre]]=Tabla_Decretos[[#This Row],[Id]],"NOK","OK")</f>
        <v>OK</v>
      </c>
      <c r="AJ90" s="2"/>
      <c r="AK90" s="2"/>
      <c r="AL90" s="2"/>
      <c r="AM90" s="2"/>
      <c r="AN90" s="2"/>
    </row>
    <row r="91" spans="1:40" hidden="1" x14ac:dyDescent="0.5">
      <c r="A91" s="2">
        <f>MAX(Tabla_Compras[Id])</f>
        <v>736</v>
      </c>
      <c r="B91" s="2">
        <v>825</v>
      </c>
      <c r="C91" s="5">
        <f>IF(Tabla_Decretos[[#This Row],[id_padre]]="",0,_xlfn.XLOOKUP(Tabla_Decretos[[#This Row],[id_padre]],Tabla_Decretos[Id],Tabla_Decretos[Nivel],0,0,1)+1)</f>
        <v>3</v>
      </c>
      <c r="D91" s="2" t="s">
        <v>710</v>
      </c>
      <c r="E91" s="2">
        <f>IF(Tabla_Decretos[[#This Row],[Id_anterior]]=1,ROW()-1,SUM(ROW()-1,Tabla_Decretos[[#This Row],[Id_anterior]]))</f>
        <v>826</v>
      </c>
      <c r="F9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DECRETOS_FMS_REFRENDAR_ENVIO_REFRENDAR</v>
      </c>
      <c r="G91" s="2" t="str">
        <f>CLEAN(PROPER(Tabla_Decretos[[#This Row],[Nombre Opción]]))</f>
        <v>Envio A Refrendar</v>
      </c>
      <c r="H91" s="2" t="s">
        <v>1735</v>
      </c>
      <c r="I91" s="2" t="str">
        <f>_xlfn.XLOOKUP(Tabla_Decretos[[#This Row],[id_padre]],Tabla_Decretos[Id],Tabla_Decretos[Codigo_Tecnico],"",0,1)</f>
        <v>DECRETOS_FMS_REFRENDAR</v>
      </c>
      <c r="J9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/decretos/fms/refrendar/envio-refrendar</v>
      </c>
      <c r="K9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envio-refrendar</v>
      </c>
      <c r="L91" s="2" t="s">
        <v>1396</v>
      </c>
      <c r="M91" t="s">
        <v>1799</v>
      </c>
      <c r="P91" s="4"/>
      <c r="R91" s="4"/>
      <c r="S91" s="4" t="s">
        <v>360</v>
      </c>
      <c r="T91" s="4" t="s">
        <v>360</v>
      </c>
      <c r="W91" s="4" t="s">
        <v>360</v>
      </c>
      <c r="Z91" s="4" t="s">
        <v>360</v>
      </c>
      <c r="AB91" s="5"/>
      <c r="AC91" s="5"/>
      <c r="AD91" s="5"/>
      <c r="AE91" s="5"/>
      <c r="AF91" s="5"/>
      <c r="AG91" s="5"/>
      <c r="AH91" s="4" t="s">
        <v>360</v>
      </c>
      <c r="AI91" s="2" t="str">
        <f>IF(Tabla_Decretos[[#This Row],[id_padre]]=Tabla_Decretos[[#This Row],[Id]],"NOK","OK")</f>
        <v>OK</v>
      </c>
      <c r="AJ91" s="2"/>
      <c r="AK91" s="2"/>
      <c r="AL91" s="2"/>
      <c r="AM91" s="2"/>
      <c r="AN91" s="2"/>
    </row>
    <row r="92" spans="1:40" hidden="1" x14ac:dyDescent="0.5">
      <c r="A92" s="2">
        <f>MAX(Tabla_Compras[Id])</f>
        <v>736</v>
      </c>
      <c r="B92" s="2">
        <v>825</v>
      </c>
      <c r="C92" s="5">
        <f>IF(Tabla_Decretos[[#This Row],[id_padre]]="",0,_xlfn.XLOOKUP(Tabla_Decretos[[#This Row],[id_padre]],Tabla_Decretos[Id],Tabla_Decretos[Nivel],0,0,1)+1)</f>
        <v>3</v>
      </c>
      <c r="D92" s="2" t="s">
        <v>711</v>
      </c>
      <c r="E92" s="2">
        <f>IF(Tabla_Decretos[[#This Row],[Id_anterior]]=1,ROW()-1,SUM(ROW()-1,Tabla_Decretos[[#This Row],[Id_anterior]]))</f>
        <v>827</v>
      </c>
      <c r="F9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DECRETOS_FMS_REFRENDAR_REFRENDAR_DIRECCION_FINANZAS</v>
      </c>
      <c r="G92" s="2" t="str">
        <f>CLEAN(PROPER(Tabla_Decretos[[#This Row],[Nombre Opción]]))</f>
        <v>Refrendar Direccion De Finanzas</v>
      </c>
      <c r="H92" s="2" t="s">
        <v>1735</v>
      </c>
      <c r="I92" s="2" t="str">
        <f>_xlfn.XLOOKUP(Tabla_Decretos[[#This Row],[id_padre]],Tabla_Decretos[Id],Tabla_Decretos[Codigo_Tecnico],"",0,1)</f>
        <v>DECRETOS_FMS_REFRENDAR</v>
      </c>
      <c r="J9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/decretos/fms/refrendar/refrendar-direccion-finanzas</v>
      </c>
      <c r="K9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refrendar-direccion-finanzas</v>
      </c>
      <c r="L92" s="2" t="s">
        <v>1456</v>
      </c>
      <c r="M92" t="s">
        <v>1799</v>
      </c>
      <c r="P92" s="4"/>
      <c r="R92" s="4"/>
      <c r="S92" s="4" t="s">
        <v>360</v>
      </c>
      <c r="X92" s="4" t="s">
        <v>360</v>
      </c>
      <c r="AB92" s="5"/>
      <c r="AC92" s="5"/>
      <c r="AD92" s="5"/>
      <c r="AE92" s="5"/>
      <c r="AF92" s="5"/>
      <c r="AG92" s="5"/>
      <c r="AH92" s="4" t="s">
        <v>360</v>
      </c>
      <c r="AI92" s="2" t="str">
        <f>IF(Tabla_Decretos[[#This Row],[id_padre]]=Tabla_Decretos[[#This Row],[Id]],"NOK","OK")</f>
        <v>OK</v>
      </c>
      <c r="AJ92" s="2"/>
      <c r="AK92" s="2"/>
      <c r="AL92" s="2"/>
      <c r="AM92" s="2"/>
      <c r="AN92" s="2"/>
    </row>
    <row r="93" spans="1:40" hidden="1" x14ac:dyDescent="0.5">
      <c r="A93" s="2">
        <f>MAX(Tabla_Compras[Id])</f>
        <v>736</v>
      </c>
      <c r="B93" s="2">
        <v>741</v>
      </c>
      <c r="C93" s="5">
        <f>IF(Tabla_Decretos[[#This Row],[id_padre]]="",0,_xlfn.XLOOKUP(Tabla_Decretos[[#This Row],[id_padre]],Tabla_Decretos[Id],Tabla_Decretos[Nivel],0,0,1)+1)</f>
        <v>2</v>
      </c>
      <c r="D93" s="2" t="s">
        <v>712</v>
      </c>
      <c r="E93" s="2">
        <f>IF(Tabla_Decretos[[#This Row],[Id_anterior]]=1,ROW()-1,SUM(ROW()-1,Tabla_Decretos[[#This Row],[Id_anterior]]))</f>
        <v>828</v>
      </c>
      <c r="F9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DECRETOS_FMS_CIERRE_LINEAS</v>
      </c>
      <c r="G93" s="2" t="str">
        <f>CLEAN(PROPER(Tabla_Decretos[[#This Row],[Nombre Opción]]))</f>
        <v>Cierre De Lineas</v>
      </c>
      <c r="H93" s="2" t="s">
        <v>1735</v>
      </c>
      <c r="I93" s="2" t="str">
        <f>_xlfn.XLOOKUP(Tabla_Decretos[[#This Row],[id_padre]],Tabla_Decretos[Id],Tabla_Decretos[Codigo_Tecnico],"",0,1)</f>
        <v>DECRETOS_FMS</v>
      </c>
      <c r="J9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/decretos/fms/cierre-lineas</v>
      </c>
      <c r="K9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cierre-lineas</v>
      </c>
      <c r="L93" s="2" t="s">
        <v>1368</v>
      </c>
      <c r="M93" t="s">
        <v>1799</v>
      </c>
      <c r="P93" s="4"/>
      <c r="R93" s="4"/>
      <c r="S93" s="4" t="s">
        <v>360</v>
      </c>
      <c r="X93" s="4" t="s">
        <v>360</v>
      </c>
      <c r="Z93" s="4" t="s">
        <v>360</v>
      </c>
      <c r="AA93" s="4" t="s">
        <v>360</v>
      </c>
      <c r="AB93" s="5"/>
      <c r="AC93" s="5"/>
      <c r="AD93" s="5"/>
      <c r="AE93" s="5"/>
      <c r="AF93" s="5"/>
      <c r="AG93" s="5"/>
      <c r="AH93" s="4" t="s">
        <v>360</v>
      </c>
      <c r="AI93" s="2" t="str">
        <f>IF(Tabla_Decretos[[#This Row],[id_padre]]=Tabla_Decretos[[#This Row],[Id]],"NOK","OK")</f>
        <v>OK</v>
      </c>
      <c r="AJ93" s="2"/>
      <c r="AK93" s="2"/>
      <c r="AL93" s="2"/>
      <c r="AM93" s="2"/>
      <c r="AN93" s="2"/>
    </row>
    <row r="94" spans="1:40" hidden="1" x14ac:dyDescent="0.5">
      <c r="A94" s="2">
        <f>MAX(Tabla_Compras[Id])</f>
        <v>736</v>
      </c>
      <c r="B94" s="2">
        <v>828</v>
      </c>
      <c r="C94" s="5">
        <f>IF(Tabla_Decretos[[#This Row],[id_padre]]="",0,_xlfn.XLOOKUP(Tabla_Decretos[[#This Row],[id_padre]],Tabla_Decretos[Id],Tabla_Decretos[Nivel],0,0,1)+1)</f>
        <v>3</v>
      </c>
      <c r="D94" s="2" t="s">
        <v>713</v>
      </c>
      <c r="E94" s="2">
        <f>IF(Tabla_Decretos[[#This Row],[Id_anterior]]=1,ROW()-1,SUM(ROW()-1,Tabla_Decretos[[#This Row],[Id_anterior]]))</f>
        <v>829</v>
      </c>
      <c r="F9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DECRETOS_FMS_CIERRE_LINEAS_HOLDING_ACCOUNT</v>
      </c>
      <c r="G94" s="2" t="str">
        <f>CLEAN(PROPER(Tabla_Decretos[[#This Row],[Nombre Opción]]))</f>
        <v>Holding Account</v>
      </c>
      <c r="H94" s="2" t="s">
        <v>1735</v>
      </c>
      <c r="I94" s="2" t="str">
        <f>_xlfn.XLOOKUP(Tabla_Decretos[[#This Row],[id_padre]],Tabla_Decretos[Id],Tabla_Decretos[Codigo_Tecnico],"",0,1)</f>
        <v>DECRETOS_FMS_CIERRE_LINEAS</v>
      </c>
      <c r="J9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/decretos/fms/cierre-lineas/holding-account</v>
      </c>
      <c r="K9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holding-account</v>
      </c>
      <c r="L94" s="2" t="s">
        <v>1371</v>
      </c>
      <c r="M94" t="s">
        <v>1799</v>
      </c>
      <c r="P94" s="4"/>
      <c r="R94" s="4"/>
      <c r="S94" s="4" t="s">
        <v>360</v>
      </c>
      <c r="X94" s="4" t="s">
        <v>360</v>
      </c>
      <c r="Z94" s="4" t="s">
        <v>360</v>
      </c>
      <c r="AA94" s="4" t="s">
        <v>360</v>
      </c>
      <c r="AB94" s="5"/>
      <c r="AC94" s="5"/>
      <c r="AD94" s="5"/>
      <c r="AE94" s="5"/>
      <c r="AF94" s="5"/>
      <c r="AG94" s="5"/>
      <c r="AH94" s="4" t="s">
        <v>360</v>
      </c>
      <c r="AI94" s="2" t="str">
        <f>IF(Tabla_Decretos[[#This Row],[id_padre]]=Tabla_Decretos[[#This Row],[Id]],"NOK","OK")</f>
        <v>OK</v>
      </c>
      <c r="AJ94" s="2"/>
      <c r="AK94" s="2"/>
      <c r="AL94" s="2"/>
      <c r="AM94" s="2"/>
      <c r="AN94" s="2"/>
    </row>
    <row r="95" spans="1:40" hidden="1" x14ac:dyDescent="0.5">
      <c r="A95" s="2">
        <f>MAX(Tabla_Compras[Id])</f>
        <v>736</v>
      </c>
      <c r="B95" s="2">
        <v>741</v>
      </c>
      <c r="C95" s="5">
        <f>IF(Tabla_Decretos[[#This Row],[id_padre]]="",0,_xlfn.XLOOKUP(Tabla_Decretos[[#This Row],[id_padre]],Tabla_Decretos[Id],Tabla_Decretos[Nivel],0,0,1)+1)</f>
        <v>2</v>
      </c>
      <c r="D95" s="2" t="s">
        <v>714</v>
      </c>
      <c r="E95" s="2">
        <f>IF(Tabla_Decretos[[#This Row],[Id_anterior]]=1,ROW()-1,SUM(ROW()-1,Tabla_Decretos[[#This Row],[Id_anterior]]))</f>
        <v>830</v>
      </c>
      <c r="F9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DECRETOS_FMS_CURSOS_CON_CARGO_CASOS_FMS</v>
      </c>
      <c r="G95" s="2" t="str">
        <f>CLEAN(PROPER(Tabla_Decretos[[#This Row],[Nombre Opción]]))</f>
        <v>Cursos Con Cargo A Casos F.M.S</v>
      </c>
      <c r="H95" s="2" t="s">
        <v>1735</v>
      </c>
      <c r="I95" s="2" t="str">
        <f>_xlfn.XLOOKUP(Tabla_Decretos[[#This Row],[id_padre]],Tabla_Decretos[Id],Tabla_Decretos[Codigo_Tecnico],"",0,1)</f>
        <v>DECRETOS_FMS</v>
      </c>
      <c r="J9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/decretos/fms/cursos-con-cargo-casos-fms</v>
      </c>
      <c r="K9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cursos-con-cargo-casos-fms</v>
      </c>
      <c r="L95" s="2" t="s">
        <v>1572</v>
      </c>
      <c r="M95" t="s">
        <v>1799</v>
      </c>
      <c r="P95" s="4"/>
      <c r="R95" s="4"/>
      <c r="S95" s="4" t="s">
        <v>360</v>
      </c>
      <c r="T95" s="4" t="s">
        <v>360</v>
      </c>
      <c r="W95" s="4" t="s">
        <v>360</v>
      </c>
      <c r="Y95" s="4" t="s">
        <v>360</v>
      </c>
      <c r="AB95" s="5"/>
      <c r="AC95" s="5"/>
      <c r="AD95" s="5"/>
      <c r="AE95" s="5"/>
      <c r="AF95" s="5"/>
      <c r="AG95" s="5"/>
      <c r="AH95" s="4" t="s">
        <v>360</v>
      </c>
      <c r="AI95" s="2" t="str">
        <f>IF(Tabla_Decretos[[#This Row],[id_padre]]=Tabla_Decretos[[#This Row],[Id]],"NOK","OK")</f>
        <v>OK</v>
      </c>
      <c r="AJ95" s="2"/>
      <c r="AK95" s="2"/>
      <c r="AL95" s="2"/>
      <c r="AM95" s="2"/>
      <c r="AN95" s="2"/>
    </row>
    <row r="96" spans="1:40" hidden="1" x14ac:dyDescent="0.5">
      <c r="A96" s="2">
        <f>MAX(Tabla_Compras[Id])</f>
        <v>736</v>
      </c>
      <c r="B96" s="2">
        <v>830</v>
      </c>
      <c r="C96" s="5">
        <f>IF(Tabla_Decretos[[#This Row],[id_padre]]="",0,_xlfn.XLOOKUP(Tabla_Decretos[[#This Row],[id_padre]],Tabla_Decretos[Id],Tabla_Decretos[Nivel],0,0,1)+1)</f>
        <v>3</v>
      </c>
      <c r="D96" s="2" t="s">
        <v>685</v>
      </c>
      <c r="E96" s="2">
        <f>IF(Tabla_Decretos[[#This Row],[Id_anterior]]=1,ROW()-1,SUM(ROW()-1,Tabla_Decretos[[#This Row],[Id_anterior]]))</f>
        <v>831</v>
      </c>
      <c r="F9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DECRETOS_FMS_CURSOS_CON_CARGO_CASOS_FMS_INGRESO</v>
      </c>
      <c r="G96" s="2" t="str">
        <f>CLEAN(PROPER(Tabla_Decretos[[#This Row],[Nombre Opción]]))</f>
        <v>Ingreso</v>
      </c>
      <c r="H96" s="2" t="s">
        <v>1735</v>
      </c>
      <c r="I96" s="2" t="str">
        <f>_xlfn.XLOOKUP(Tabla_Decretos[[#This Row],[id_padre]],Tabla_Decretos[Id],Tabla_Decretos[Codigo_Tecnico],"",0,1)</f>
        <v>DECRETOS_FMS_CURSOS_CON_CARGO_CASOS_FMS</v>
      </c>
      <c r="J9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/decretos/fms/cursos-con-cargo-casos-fms/ingreso</v>
      </c>
      <c r="K9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</v>
      </c>
      <c r="L96" s="2" t="s">
        <v>1482</v>
      </c>
      <c r="M96" t="s">
        <v>1799</v>
      </c>
      <c r="P96" s="4"/>
      <c r="R96" s="4"/>
      <c r="S96" s="4" t="s">
        <v>360</v>
      </c>
      <c r="T96" s="4" t="s">
        <v>360</v>
      </c>
      <c r="W96" s="4" t="s">
        <v>360</v>
      </c>
      <c r="Y96" s="4" t="s">
        <v>360</v>
      </c>
      <c r="AB96" s="5"/>
      <c r="AC96" s="5"/>
      <c r="AD96" s="5"/>
      <c r="AE96" s="5"/>
      <c r="AF96" s="5"/>
      <c r="AG96" s="5"/>
      <c r="AH96" s="4" t="s">
        <v>360</v>
      </c>
      <c r="AI96" s="2" t="str">
        <f>IF(Tabla_Decretos[[#This Row],[id_padre]]=Tabla_Decretos[[#This Row],[Id]],"NOK","OK")</f>
        <v>OK</v>
      </c>
      <c r="AJ96" s="2"/>
      <c r="AK96" s="2"/>
      <c r="AL96" s="2"/>
      <c r="AM96" s="2"/>
      <c r="AN96" s="2"/>
    </row>
    <row r="97" spans="1:40" hidden="1" x14ac:dyDescent="0.5">
      <c r="A97" s="2">
        <f>MAX(Tabla_Compras[Id])</f>
        <v>736</v>
      </c>
      <c r="B97" s="2">
        <v>830</v>
      </c>
      <c r="C97" s="5">
        <f>IF(Tabla_Decretos[[#This Row],[id_padre]]="",0,_xlfn.XLOOKUP(Tabla_Decretos[[#This Row],[id_padre]],Tabla_Decretos[Id],Tabla_Decretos[Nivel],0,0,1)+1)</f>
        <v>3</v>
      </c>
      <c r="D97" s="2" t="s">
        <v>686</v>
      </c>
      <c r="E97" s="2">
        <f>IF(Tabla_Decretos[[#This Row],[Id_anterior]]=1,ROW()-1,SUM(ROW()-1,Tabla_Decretos[[#This Row],[Id_anterior]]))</f>
        <v>832</v>
      </c>
      <c r="F9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DECRETOS_FMS_CURSOS_CON_CARGO_CASOS_FMS_MANTENCION</v>
      </c>
      <c r="G97" s="2" t="str">
        <f>CLEAN(PROPER(Tabla_Decretos[[#This Row],[Nombre Opción]]))</f>
        <v>Mantención</v>
      </c>
      <c r="H97" s="2" t="s">
        <v>1735</v>
      </c>
      <c r="I97" s="2" t="str">
        <f>_xlfn.XLOOKUP(Tabla_Decretos[[#This Row],[id_padre]],Tabla_Decretos[Id],Tabla_Decretos[Codigo_Tecnico],"",0,1)</f>
        <v>DECRETOS_FMS_CURSOS_CON_CARGO_CASOS_FMS</v>
      </c>
      <c r="J9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/decretos/fms/cursos-con-cargo-casos-fms/mantencion</v>
      </c>
      <c r="K9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</v>
      </c>
      <c r="L97" s="2" t="s">
        <v>1573</v>
      </c>
      <c r="M97" t="s">
        <v>1799</v>
      </c>
      <c r="P97" s="4"/>
      <c r="R97" s="4"/>
      <c r="S97" s="4" t="s">
        <v>360</v>
      </c>
      <c r="T97" s="4" t="s">
        <v>360</v>
      </c>
      <c r="W97" s="4" t="s">
        <v>360</v>
      </c>
      <c r="Y97" s="4" t="s">
        <v>360</v>
      </c>
      <c r="AB97" s="5"/>
      <c r="AC97" s="5"/>
      <c r="AD97" s="5"/>
      <c r="AE97" s="5"/>
      <c r="AF97" s="5"/>
      <c r="AG97" s="5"/>
      <c r="AH97" s="4" t="s">
        <v>360</v>
      </c>
      <c r="AI97" s="2" t="str">
        <f>IF(Tabla_Decretos[[#This Row],[id_padre]]=Tabla_Decretos[[#This Row],[Id]],"NOK","OK")</f>
        <v>OK</v>
      </c>
      <c r="AJ97" s="2"/>
      <c r="AK97" s="2"/>
      <c r="AL97" s="2"/>
      <c r="AM97" s="2"/>
      <c r="AN97" s="2"/>
    </row>
    <row r="98" spans="1:40" hidden="1" x14ac:dyDescent="0.5">
      <c r="A98" s="2">
        <f>MAX(Tabla_Compras[Id])</f>
        <v>736</v>
      </c>
      <c r="B98" s="2">
        <v>830</v>
      </c>
      <c r="C98" s="5">
        <f>IF(Tabla_Decretos[[#This Row],[id_padre]]="",0,_xlfn.XLOOKUP(Tabla_Decretos[[#This Row],[id_padre]],Tabla_Decretos[Id],Tabla_Decretos[Nivel],0,0,1)+1)</f>
        <v>3</v>
      </c>
      <c r="D98" s="2" t="s">
        <v>1544</v>
      </c>
      <c r="E98" s="2">
        <f>IF(Tabla_Decretos[[#This Row],[Id_anterior]]=1,ROW()-1,SUM(ROW()-1,Tabla_Decretos[[#This Row],[Id_anterior]]))</f>
        <v>833</v>
      </c>
      <c r="F9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DECRETOS_FMS_CURSOS_CON_CARGO_CASOS_FMS_TERMINO_CURSOS</v>
      </c>
      <c r="G98" s="2" t="str">
        <f>CLEAN(PROPER(Tabla_Decretos[[#This Row],[Nombre Opción]]))</f>
        <v>Termino De Cursos</v>
      </c>
      <c r="H98" s="2" t="s">
        <v>1735</v>
      </c>
      <c r="I98" s="2" t="str">
        <f>_xlfn.XLOOKUP(Tabla_Decretos[[#This Row],[id_padre]],Tabla_Decretos[Id],Tabla_Decretos[Codigo_Tecnico],"",0,1)</f>
        <v>DECRETOS_FMS_CURSOS_CON_CARGO_CASOS_FMS</v>
      </c>
      <c r="J9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/decretos/fms/cursos-con-cargo-casos-fms/termino-cursos</v>
      </c>
      <c r="K9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termino-cursos</v>
      </c>
      <c r="L98" s="2" t="s">
        <v>1508</v>
      </c>
      <c r="M98" t="s">
        <v>1799</v>
      </c>
      <c r="P98" s="4"/>
      <c r="R98" s="4"/>
      <c r="S98" s="4" t="s">
        <v>360</v>
      </c>
      <c r="T98" s="4" t="s">
        <v>360</v>
      </c>
      <c r="W98" s="4" t="s">
        <v>360</v>
      </c>
      <c r="Y98" s="4" t="s">
        <v>360</v>
      </c>
      <c r="AB98" s="5"/>
      <c r="AC98" s="5"/>
      <c r="AD98" s="5"/>
      <c r="AE98" s="5"/>
      <c r="AF98" s="5"/>
      <c r="AG98" s="5"/>
      <c r="AH98" s="4" t="s">
        <v>360</v>
      </c>
      <c r="AI98" s="2" t="str">
        <f>IF(Tabla_Decretos[[#This Row],[id_padre]]=Tabla_Decretos[[#This Row],[Id]],"NOK","OK")</f>
        <v>OK</v>
      </c>
      <c r="AJ98" s="2"/>
      <c r="AK98" s="2"/>
      <c r="AL98" s="2"/>
      <c r="AM98" s="2"/>
      <c r="AN98" s="2"/>
    </row>
    <row r="99" spans="1:40" hidden="1" x14ac:dyDescent="0.5">
      <c r="A99" s="2">
        <f>MAX(Tabla_Compras[Id])</f>
        <v>736</v>
      </c>
      <c r="B99" s="2">
        <v>742</v>
      </c>
      <c r="C99" s="5">
        <f>IF(Tabla_Decretos[[#This Row],[id_padre]]="",0,_xlfn.XLOOKUP(Tabla_Decretos[[#This Row],[id_padre]],Tabla_Decretos[Id],Tabla_Decretos[Nivel],0,0,1)+1)</f>
        <v>2</v>
      </c>
      <c r="D99" s="2" t="s">
        <v>716</v>
      </c>
      <c r="E99" s="2">
        <f>IF(Tabla_Decretos[[#This Row],[Id_anterior]]=1,ROW()-1,SUM(ROW()-1,Tabla_Decretos[[#This Row],[Id_anterior]]))</f>
        <v>834</v>
      </c>
      <c r="F9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DECRETOS_CONTRATOS_CONTRATOS_CDOLOG</v>
      </c>
      <c r="G99" s="2" t="str">
        <f>CLEAN(PROPER(Tabla_Decretos[[#This Row],[Nombre Opción]]))</f>
        <v>Contratos Cdo.Log</v>
      </c>
      <c r="H99" s="2" t="s">
        <v>1735</v>
      </c>
      <c r="I99" s="2" t="str">
        <f>_xlfn.XLOOKUP(Tabla_Decretos[[#This Row],[id_padre]],Tabla_Decretos[Id],Tabla_Decretos[Codigo_Tecnico],"",0,1)</f>
        <v>DECRETOS_CONTRATOS</v>
      </c>
      <c r="J9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/decretos/contratos/contratos-cdolog</v>
      </c>
      <c r="K9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contratos-cdolog</v>
      </c>
      <c r="L99" s="2" t="s">
        <v>1348</v>
      </c>
      <c r="M99" t="s">
        <v>1799</v>
      </c>
      <c r="P99" s="4"/>
      <c r="R99" s="4"/>
      <c r="S99" s="4"/>
      <c r="AB99" s="5" t="s">
        <v>360</v>
      </c>
      <c r="AC99" s="5"/>
      <c r="AD99" s="5"/>
      <c r="AE99" s="5"/>
      <c r="AF99" s="5" t="s">
        <v>360</v>
      </c>
      <c r="AG99" s="5" t="s">
        <v>360</v>
      </c>
      <c r="AH99" s="4" t="s">
        <v>360</v>
      </c>
      <c r="AI99" s="2" t="str">
        <f>IF(Tabla_Decretos[[#This Row],[id_padre]]=Tabla_Decretos[[#This Row],[Id]],"NOK","OK")</f>
        <v>OK</v>
      </c>
      <c r="AJ99" s="2"/>
      <c r="AK99" s="2"/>
      <c r="AL99" s="2"/>
      <c r="AM99" s="2"/>
      <c r="AN99" s="2"/>
    </row>
    <row r="100" spans="1:40" hidden="1" x14ac:dyDescent="0.5">
      <c r="A100" s="2">
        <f>MAX(Tabla_Compras[Id])</f>
        <v>736</v>
      </c>
      <c r="B100" s="2">
        <v>742</v>
      </c>
      <c r="C100" s="5">
        <f>IF(Tabla_Decretos[[#This Row],[id_padre]]="",0,_xlfn.XLOOKUP(Tabla_Decretos[[#This Row],[id_padre]],Tabla_Decretos[Id],Tabla_Decretos[Nivel],0,0,1)+1)</f>
        <v>2</v>
      </c>
      <c r="D100" s="2" t="s">
        <v>717</v>
      </c>
      <c r="E100" s="2">
        <f>IF(Tabla_Decretos[[#This Row],[Id_anterior]]=1,ROW()-1,SUM(ROW()-1,Tabla_Decretos[[#This Row],[Id_anterior]]))</f>
        <v>835</v>
      </c>
      <c r="F10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DECRETOS_CONTRATOS_CONTRATOS_OBRA</v>
      </c>
      <c r="G100" s="2" t="str">
        <f>CLEAN(PROPER(Tabla_Decretos[[#This Row],[Nombre Opción]]))</f>
        <v>Contratos De Obra</v>
      </c>
      <c r="H100" s="2" t="s">
        <v>1735</v>
      </c>
      <c r="I100" s="2" t="str">
        <f>_xlfn.XLOOKUP(Tabla_Decretos[[#This Row],[id_padre]],Tabla_Decretos[Id],Tabla_Decretos[Codigo_Tecnico],"",0,1)</f>
        <v>DECRETOS_CONTRATOS</v>
      </c>
      <c r="J10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/decretos/contratos/contratos-obra</v>
      </c>
      <c r="K10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contratos-obra</v>
      </c>
      <c r="L100" s="2" t="s">
        <v>1554</v>
      </c>
      <c r="M100" t="s">
        <v>1799</v>
      </c>
      <c r="P100" s="4"/>
      <c r="R100" s="4"/>
      <c r="S100" s="4"/>
      <c r="AB100" s="5" t="s">
        <v>360</v>
      </c>
      <c r="AC100" s="5"/>
      <c r="AD100" s="5"/>
      <c r="AE100" s="5"/>
      <c r="AF100" s="5" t="s">
        <v>360</v>
      </c>
      <c r="AG100" s="5" t="s">
        <v>360</v>
      </c>
      <c r="AH100" s="4" t="s">
        <v>360</v>
      </c>
      <c r="AI100" s="2" t="str">
        <f>IF(Tabla_Decretos[[#This Row],[id_padre]]=Tabla_Decretos[[#This Row],[Id]],"NOK","OK")</f>
        <v>OK</v>
      </c>
      <c r="AJ100" s="2"/>
      <c r="AK100" s="2"/>
      <c r="AL100" s="2"/>
      <c r="AM100" s="2"/>
      <c r="AN100" s="2"/>
    </row>
    <row r="101" spans="1:40" hidden="1" x14ac:dyDescent="0.5">
      <c r="A101" s="2">
        <f>MAX(Tabla_Compras[Id])</f>
        <v>736</v>
      </c>
      <c r="B101" s="2">
        <v>742</v>
      </c>
      <c r="C101" s="5">
        <f>IF(Tabla_Decretos[[#This Row],[id_padre]]="",0,_xlfn.XLOOKUP(Tabla_Decretos[[#This Row],[id_padre]],Tabla_Decretos[Id],Tabla_Decretos[Nivel],0,0,1)+1)</f>
        <v>2</v>
      </c>
      <c r="D101" s="2" t="s">
        <v>718</v>
      </c>
      <c r="E101" s="2">
        <f>IF(Tabla_Decretos[[#This Row],[Id_anterior]]=1,ROW()-1,SUM(ROW()-1,Tabla_Decretos[[#This Row],[Id_anterior]]))</f>
        <v>836</v>
      </c>
      <c r="F10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DECRETOS_CONTRATOS_CONTRATOS_INTERNOS</v>
      </c>
      <c r="G101" s="2" t="str">
        <f>CLEAN(PROPER(Tabla_Decretos[[#This Row],[Nombre Opción]]))</f>
        <v>Contratos Internos</v>
      </c>
      <c r="H101" s="2" t="s">
        <v>1735</v>
      </c>
      <c r="I101" s="2" t="str">
        <f>_xlfn.XLOOKUP(Tabla_Decretos[[#This Row],[id_padre]],Tabla_Decretos[Id],Tabla_Decretos[Codigo_Tecnico],"",0,1)</f>
        <v>DECRETOS_CONTRATOS</v>
      </c>
      <c r="J10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/decretos/contratos/contratos-internos</v>
      </c>
      <c r="K10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contratos-internos</v>
      </c>
      <c r="L101" s="2" t="s">
        <v>1389</v>
      </c>
      <c r="M101" t="s">
        <v>1799</v>
      </c>
      <c r="P101" s="4"/>
      <c r="R101" s="4"/>
      <c r="S101" s="4"/>
      <c r="AB101" s="5" t="s">
        <v>360</v>
      </c>
      <c r="AC101" s="5"/>
      <c r="AD101" s="5"/>
      <c r="AE101" s="5"/>
      <c r="AF101" s="5"/>
      <c r="AG101" s="5" t="s">
        <v>360</v>
      </c>
      <c r="AH101" s="4" t="s">
        <v>360</v>
      </c>
      <c r="AI101" s="2" t="str">
        <f>IF(Tabla_Decretos[[#This Row],[id_padre]]=Tabla_Decretos[[#This Row],[Id]],"NOK","OK")</f>
        <v>OK</v>
      </c>
      <c r="AJ101" s="2"/>
      <c r="AK101" s="2"/>
      <c r="AL101" s="2"/>
      <c r="AM101" s="2"/>
      <c r="AN101" s="2"/>
    </row>
    <row r="102" spans="1:40" hidden="1" x14ac:dyDescent="0.5">
      <c r="A102" s="2">
        <f>MAX(Tabla_Compras[Id])</f>
        <v>736</v>
      </c>
      <c r="B102" s="2">
        <v>836</v>
      </c>
      <c r="C102" s="5">
        <f>IF(Tabla_Decretos[[#This Row],[id_padre]]="",0,_xlfn.XLOOKUP(Tabla_Decretos[[#This Row],[id_padre]],Tabla_Decretos[Id],Tabla_Decretos[Nivel],0,0,1)+1)</f>
        <v>3</v>
      </c>
      <c r="D102" s="2" t="s">
        <v>719</v>
      </c>
      <c r="E102" s="2">
        <f>IF(Tabla_Decretos[[#This Row],[Id_anterior]]=1,ROW()-1,SUM(ROW()-1,Tabla_Decretos[[#This Row],[Id_anterior]]))</f>
        <v>837</v>
      </c>
      <c r="F10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DECRETOS_CONTRATOS_CONTRATOS_INTERNOS_UNIDADES</v>
      </c>
      <c r="G102" s="2" t="str">
        <f>CLEAN(PROPER(Tabla_Decretos[[#This Row],[Nombre Opción]]))</f>
        <v>Unidades</v>
      </c>
      <c r="H102" s="2" t="s">
        <v>1735</v>
      </c>
      <c r="I102" s="2" t="str">
        <f>_xlfn.XLOOKUP(Tabla_Decretos[[#This Row],[id_padre]],Tabla_Decretos[Id],Tabla_Decretos[Codigo_Tecnico],"",0,1)</f>
        <v>DECRETOS_CONTRATOS_CONTRATOS_INTERNOS</v>
      </c>
      <c r="J10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/decretos/contratos/contratos-internos/unidades</v>
      </c>
      <c r="K10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</v>
      </c>
      <c r="L102" s="2" t="s">
        <v>1341</v>
      </c>
      <c r="M102" t="s">
        <v>1799</v>
      </c>
      <c r="P102" s="4"/>
      <c r="R102" s="4"/>
      <c r="S102" s="4"/>
      <c r="AB102" s="5" t="s">
        <v>360</v>
      </c>
      <c r="AC102" s="5"/>
      <c r="AD102" s="5"/>
      <c r="AE102" s="5"/>
      <c r="AF102" s="5"/>
      <c r="AG102" s="5" t="s">
        <v>360</v>
      </c>
      <c r="AH102" s="4" t="s">
        <v>360</v>
      </c>
      <c r="AI102" s="2" t="str">
        <f>IF(Tabla_Decretos[[#This Row],[id_padre]]=Tabla_Decretos[[#This Row],[Id]],"NOK","OK")</f>
        <v>OK</v>
      </c>
      <c r="AJ102" s="2"/>
      <c r="AK102" s="2"/>
      <c r="AL102" s="2"/>
      <c r="AM102" s="2"/>
      <c r="AN102" s="2"/>
    </row>
    <row r="103" spans="1:40" hidden="1" x14ac:dyDescent="0.5">
      <c r="A103" s="2">
        <f>MAX(Tabla_Compras[Id])</f>
        <v>736</v>
      </c>
      <c r="B103" s="2">
        <v>743</v>
      </c>
      <c r="C103" s="5">
        <f>IF(Tabla_Decretos[[#This Row],[id_padre]]="",0,_xlfn.XLOOKUP(Tabla_Decretos[[#This Row],[id_padre]],Tabla_Decretos[Id],Tabla_Decretos[Nivel],0,0,1)+1)</f>
        <v>2</v>
      </c>
      <c r="D103" s="2" t="s">
        <v>210</v>
      </c>
      <c r="E103" s="2">
        <f>IF(Tabla_Decretos[[#This Row],[Id_anterior]]=1,ROW()-1,SUM(ROW()-1,Tabla_Decretos[[#This Row],[Id_anterior]]))</f>
        <v>838</v>
      </c>
      <c r="F10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</v>
      </c>
      <c r="G103" s="2" t="str">
        <f>CLEAN(PROPER(Tabla_Decretos[[#This Row],[Nombre Opción]]))</f>
        <v>Decretos</v>
      </c>
      <c r="H103" s="2" t="s">
        <v>1735</v>
      </c>
      <c r="I103" s="2" t="str">
        <f>_xlfn.XLOOKUP(Tabla_Decretos[[#This Row],[id_padre]],Tabla_Decretos[Id],Tabla_Decretos[Codigo_Tecnico],"",0,1)</f>
        <v>DECRETOS_CONSULTAS</v>
      </c>
      <c r="J10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</v>
      </c>
      <c r="K10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decretos</v>
      </c>
      <c r="L103" s="2" t="s">
        <v>1457</v>
      </c>
      <c r="M103" t="s">
        <v>1799</v>
      </c>
      <c r="O103" s="4" t="s">
        <v>360</v>
      </c>
      <c r="P103" s="4" t="s">
        <v>360</v>
      </c>
      <c r="Q103" s="4" t="s">
        <v>360</v>
      </c>
      <c r="R103" s="4" t="s">
        <v>360</v>
      </c>
      <c r="S103" s="4"/>
      <c r="AB103" s="5" t="s">
        <v>360</v>
      </c>
      <c r="AC103" s="5"/>
      <c r="AD103" s="5"/>
      <c r="AE103" s="5"/>
      <c r="AF103" s="5"/>
      <c r="AG103" s="5"/>
      <c r="AH103" s="4" t="s">
        <v>360</v>
      </c>
      <c r="AI103" s="2" t="str">
        <f>IF(Tabla_Decretos[[#This Row],[id_padre]]=Tabla_Decretos[[#This Row],[Id]],"NOK","OK")</f>
        <v>OK</v>
      </c>
      <c r="AJ103" s="2"/>
      <c r="AK103" s="2"/>
      <c r="AL103" s="2"/>
      <c r="AM103" s="2"/>
      <c r="AN103" s="2"/>
    </row>
    <row r="104" spans="1:40" hidden="1" x14ac:dyDescent="0.5">
      <c r="A104" s="2">
        <f>MAX(Tabla_Compras[Id])</f>
        <v>736</v>
      </c>
      <c r="B104" s="2">
        <v>838</v>
      </c>
      <c r="C104" s="5">
        <f>IF(Tabla_Decretos[[#This Row],[id_padre]]="",0,_xlfn.XLOOKUP(Tabla_Decretos[[#This Row],[id_padre]],Tabla_Decretos[Id],Tabla_Decretos[Nivel],0,0,1)+1)</f>
        <v>3</v>
      </c>
      <c r="D104" s="2" t="s">
        <v>1546</v>
      </c>
      <c r="E104" s="2">
        <f>IF(Tabla_Decretos[[#This Row],[Id_anterior]]=1,ROW()-1,SUM(ROW()-1,Tabla_Decretos[[#This Row],[Id_anterior]]))</f>
        <v>839</v>
      </c>
      <c r="F10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DECRETOS_CONSULTAS_DECRETOS_PISO_FACH</v>
      </c>
      <c r="G104" s="2" t="str">
        <f>CLEAN(PROPER(Tabla_Decretos[[#This Row],[Nombre Opción]]))</f>
        <v>Piso Fach</v>
      </c>
      <c r="H104" s="2" t="s">
        <v>1735</v>
      </c>
      <c r="I104" s="2" t="str">
        <f>_xlfn.XLOOKUP(Tabla_Decretos[[#This Row],[id_padre]],Tabla_Decretos[Id],Tabla_Decretos[Codigo_Tecnico],"",0,1)</f>
        <v>DECRETOS_CONSULTAS_DECRETOS</v>
      </c>
      <c r="J10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/decretos/consultas/decretos/piso-fach</v>
      </c>
      <c r="K10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piso-fach</v>
      </c>
      <c r="L104" s="2" t="s">
        <v>1505</v>
      </c>
      <c r="M104" t="s">
        <v>1799</v>
      </c>
      <c r="O104" s="4" t="s">
        <v>360</v>
      </c>
      <c r="P104" s="4" t="s">
        <v>360</v>
      </c>
      <c r="Q104" s="4" t="s">
        <v>360</v>
      </c>
      <c r="R104" s="4" t="s">
        <v>360</v>
      </c>
      <c r="S104" s="4"/>
      <c r="AB104" s="5" t="s">
        <v>360</v>
      </c>
      <c r="AC104" s="5"/>
      <c r="AD104" s="5"/>
      <c r="AE104" s="5"/>
      <c r="AF104" s="5"/>
      <c r="AG104" s="5"/>
      <c r="AH104" s="4" t="s">
        <v>360</v>
      </c>
      <c r="AI104" s="2" t="str">
        <f>IF(Tabla_Decretos[[#This Row],[id_padre]]=Tabla_Decretos[[#This Row],[Id]],"NOK","OK")</f>
        <v>OK</v>
      </c>
      <c r="AJ104" s="2"/>
      <c r="AK104" s="2"/>
      <c r="AL104" s="2"/>
      <c r="AM104" s="2"/>
      <c r="AN104" s="2"/>
    </row>
    <row r="105" spans="1:40" hidden="1" x14ac:dyDescent="0.5">
      <c r="A105" s="2">
        <f>MAX(Tabla_Compras[Id])</f>
        <v>736</v>
      </c>
      <c r="B105" s="2">
        <v>838</v>
      </c>
      <c r="C105" s="5">
        <f>IF(Tabla_Decretos[[#This Row],[id_padre]]="",0,_xlfn.XLOOKUP(Tabla_Decretos[[#This Row],[id_padre]],Tabla_Decretos[Id],Tabla_Decretos[Nivel],0,0,1)+1)</f>
        <v>3</v>
      </c>
      <c r="D105" s="2" t="s">
        <v>720</v>
      </c>
      <c r="E105" s="2">
        <f>IF(Tabla_Decretos[[#This Row],[Id_anterior]]=1,ROW()-1,SUM(ROW()-1,Tabla_Decretos[[#This Row],[Id_anterior]]))</f>
        <v>840</v>
      </c>
      <c r="F10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DECRETOS_CONSULTAS_DECRETOS_INGRESO_GASTO_PISO_ANUAL</v>
      </c>
      <c r="G105" s="2" t="str">
        <f>CLEAN(PROPER(Tabla_Decretos[[#This Row],[Nombre Opción]]))</f>
        <v>Ingreso Gasto Piso Anual</v>
      </c>
      <c r="H105" s="2" t="s">
        <v>1735</v>
      </c>
      <c r="I105" s="2" t="str">
        <f>_xlfn.XLOOKUP(Tabla_Decretos[[#This Row],[id_padre]],Tabla_Decretos[Id],Tabla_Decretos[Codigo_Tecnico],"",0,1)</f>
        <v>DECRETOS_CONSULTAS_DECRETOS</v>
      </c>
      <c r="J10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/decretos/consultas/decretos/ingreso-gasto-piso-anual</v>
      </c>
      <c r="K10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ingreso-gasto-piso-anual</v>
      </c>
      <c r="L105" s="2" t="s">
        <v>1408</v>
      </c>
      <c r="M105" t="s">
        <v>1799</v>
      </c>
      <c r="O105" s="4" t="s">
        <v>360</v>
      </c>
      <c r="P105" s="4" t="s">
        <v>360</v>
      </c>
      <c r="Q105" s="4" t="s">
        <v>360</v>
      </c>
      <c r="R105" s="4" t="s">
        <v>360</v>
      </c>
      <c r="S105" s="4"/>
      <c r="AB105" s="5" t="s">
        <v>360</v>
      </c>
      <c r="AC105" s="5"/>
      <c r="AD105" s="5"/>
      <c r="AE105" s="5"/>
      <c r="AF105" s="5"/>
      <c r="AG105" s="5"/>
      <c r="AH105" s="4" t="s">
        <v>360</v>
      </c>
      <c r="AI105" s="2" t="str">
        <f>IF(Tabla_Decretos[[#This Row],[id_padre]]=Tabla_Decretos[[#This Row],[Id]],"NOK","OK")</f>
        <v>OK</v>
      </c>
      <c r="AJ105" s="2"/>
      <c r="AK105" s="2"/>
      <c r="AL105" s="2"/>
      <c r="AM105" s="2"/>
      <c r="AN105" s="2"/>
    </row>
    <row r="106" spans="1:40" hidden="1" x14ac:dyDescent="0.5">
      <c r="A106" s="2">
        <f>MAX(Tabla_Compras[Id])</f>
        <v>736</v>
      </c>
      <c r="B106" s="2">
        <v>838</v>
      </c>
      <c r="C106" s="5">
        <f>IF(Tabla_Decretos[[#This Row],[id_padre]]="",0,_xlfn.XLOOKUP(Tabla_Decretos[[#This Row],[id_padre]],Tabla_Decretos[Id],Tabla_Decretos[Nivel],0,0,1)+1)</f>
        <v>3</v>
      </c>
      <c r="D106" s="2" t="s">
        <v>721</v>
      </c>
      <c r="E106" s="2">
        <f>IF(Tabla_Decretos[[#This Row],[Id_anterior]]=1,ROW()-1,SUM(ROW()-1,Tabla_Decretos[[#This Row],[Id_anterior]]))</f>
        <v>841</v>
      </c>
      <c r="F10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DECRETOS_CONSULTAS_DECRETOS_DECRETO_MATRIZ_ESPECIFICO</v>
      </c>
      <c r="G106" s="2" t="str">
        <f>CLEAN(PROPER(Tabla_Decretos[[#This Row],[Nombre Opción]]))</f>
        <v>Decreto Matriz Especifico</v>
      </c>
      <c r="H106" s="2" t="s">
        <v>1735</v>
      </c>
      <c r="I106" s="2" t="str">
        <f>_xlfn.XLOOKUP(Tabla_Decretos[[#This Row],[id_padre]],Tabla_Decretos[Id],Tabla_Decretos[Codigo_Tecnico],"",0,1)</f>
        <v>DECRETOS_CONSULTAS_DECRETOS</v>
      </c>
      <c r="J10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/decretos/consultas/decretos/decreto-matriz-especifico</v>
      </c>
      <c r="K10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decreto-matriz-especifico</v>
      </c>
      <c r="L106" s="2" t="s">
        <v>1542</v>
      </c>
      <c r="M106" t="s">
        <v>1799</v>
      </c>
      <c r="O106" s="4" t="s">
        <v>360</v>
      </c>
      <c r="P106" s="4" t="s">
        <v>360</v>
      </c>
      <c r="Q106" s="4" t="s">
        <v>360</v>
      </c>
      <c r="R106" s="4" t="s">
        <v>360</v>
      </c>
      <c r="S106" s="4"/>
      <c r="AB106" s="5" t="s">
        <v>360</v>
      </c>
      <c r="AC106" s="5"/>
      <c r="AD106" s="5"/>
      <c r="AE106" s="5"/>
      <c r="AF106" s="5"/>
      <c r="AG106" s="5"/>
      <c r="AH106" s="4" t="s">
        <v>360</v>
      </c>
      <c r="AI106" s="2" t="str">
        <f>IF(Tabla_Decretos[[#This Row],[id_padre]]=Tabla_Decretos[[#This Row],[Id]],"NOK","OK")</f>
        <v>OK</v>
      </c>
      <c r="AJ106" s="2"/>
      <c r="AK106" s="2"/>
      <c r="AL106" s="2"/>
      <c r="AM106" s="2"/>
      <c r="AN106" s="2"/>
    </row>
    <row r="107" spans="1:40" hidden="1" x14ac:dyDescent="0.5">
      <c r="A107" s="2">
        <f>MAX(Tabla_Compras[Id])</f>
        <v>736</v>
      </c>
      <c r="B107" s="2">
        <v>838</v>
      </c>
      <c r="C107" s="5">
        <f>IF(Tabla_Decretos[[#This Row],[id_padre]]="",0,_xlfn.XLOOKUP(Tabla_Decretos[[#This Row],[id_padre]],Tabla_Decretos[Id],Tabla_Decretos[Nivel],0,0,1)+1)</f>
        <v>3</v>
      </c>
      <c r="D107" s="2" t="s">
        <v>722</v>
      </c>
      <c r="E107" s="2">
        <f>IF(Tabla_Decretos[[#This Row],[Id_anterior]]=1,ROW()-1,SUM(ROW()-1,Tabla_Decretos[[#This Row],[Id_anterior]]))</f>
        <v>842</v>
      </c>
      <c r="F10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DECRETOS_CONSULTAS_DECRETOS_DECRETO_DIFERIDO_ESPECIFICO</v>
      </c>
      <c r="G107" s="2" t="str">
        <f>CLEAN(PROPER(Tabla_Decretos[[#This Row],[Nombre Opción]]))</f>
        <v>Decreto Diferido Especifico</v>
      </c>
      <c r="H107" s="2" t="s">
        <v>1735</v>
      </c>
      <c r="I107" s="2" t="str">
        <f>_xlfn.XLOOKUP(Tabla_Decretos[[#This Row],[id_padre]],Tabla_Decretos[Id],Tabla_Decretos[Codigo_Tecnico],"",0,1)</f>
        <v>DECRETOS_CONSULTAS_DECRETOS</v>
      </c>
      <c r="J10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/decretos/consultas/decretos/decreto-diferido-especifico</v>
      </c>
      <c r="K10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decreto-diferido-especifico</v>
      </c>
      <c r="L107" s="2" t="s">
        <v>1339</v>
      </c>
      <c r="M107" t="s">
        <v>1799</v>
      </c>
      <c r="O107" s="4" t="s">
        <v>360</v>
      </c>
      <c r="P107" s="4" t="s">
        <v>360</v>
      </c>
      <c r="Q107" s="4" t="s">
        <v>360</v>
      </c>
      <c r="R107" s="4" t="s">
        <v>360</v>
      </c>
      <c r="S107" s="4"/>
      <c r="AB107" s="5" t="s">
        <v>360</v>
      </c>
      <c r="AC107" s="5"/>
      <c r="AD107" s="5"/>
      <c r="AE107" s="5"/>
      <c r="AF107" s="5"/>
      <c r="AG107" s="5"/>
      <c r="AH107" s="4" t="s">
        <v>360</v>
      </c>
      <c r="AI107" s="2" t="str">
        <f>IF(Tabla_Decretos[[#This Row],[id_padre]]=Tabla_Decretos[[#This Row],[Id]],"NOK","OK")</f>
        <v>OK</v>
      </c>
      <c r="AJ107" s="2"/>
      <c r="AK107" s="2"/>
      <c r="AL107" s="2"/>
      <c r="AM107" s="2"/>
      <c r="AN107" s="2"/>
    </row>
    <row r="108" spans="1:40" hidden="1" x14ac:dyDescent="0.5">
      <c r="A108" s="2">
        <f>MAX(Tabla_Compras[Id])</f>
        <v>736</v>
      </c>
      <c r="B108" s="2">
        <v>838</v>
      </c>
      <c r="C108" s="5">
        <f>IF(Tabla_Decretos[[#This Row],[id_padre]]="",0,_xlfn.XLOOKUP(Tabla_Decretos[[#This Row],[id_padre]],Tabla_Decretos[Id],Tabla_Decretos[Nivel],0,0,1)+1)</f>
        <v>3</v>
      </c>
      <c r="D108" s="2" t="s">
        <v>735</v>
      </c>
      <c r="E108" s="2">
        <f>IF(Tabla_Decretos[[#This Row],[Id_anterior]]=1,ROW()-1,SUM(ROW()-1,Tabla_Decretos[[#This Row],[Id_anterior]]))</f>
        <v>843</v>
      </c>
      <c r="F10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DECRETOS_CONSULTAS_DECRETOS_DECRETO_ADENDUM_ESPECIFICO</v>
      </c>
      <c r="G108" s="2" t="str">
        <f>CLEAN(PROPER(Tabla_Decretos[[#This Row],[Nombre Opción]]))</f>
        <v>Decreto Adendum Especifico</v>
      </c>
      <c r="H108" s="2" t="s">
        <v>1735</v>
      </c>
      <c r="I108" s="2" t="str">
        <f>_xlfn.XLOOKUP(Tabla_Decretos[[#This Row],[id_padre]],Tabla_Decretos[Id],Tabla_Decretos[Codigo_Tecnico],"",0,1)</f>
        <v>DECRETOS_CONSULTAS_DECRETOS</v>
      </c>
      <c r="J10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/decretos/consultas/decretos/decreto-adendum-especifico</v>
      </c>
      <c r="K10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decreto-adendum-especifico</v>
      </c>
      <c r="L108" s="2" t="s">
        <v>1540</v>
      </c>
      <c r="M108" t="s">
        <v>1799</v>
      </c>
      <c r="O108" s="4" t="s">
        <v>360</v>
      </c>
      <c r="P108" s="4" t="s">
        <v>360</v>
      </c>
      <c r="Q108" s="4" t="s">
        <v>360</v>
      </c>
      <c r="R108" s="4" t="s">
        <v>360</v>
      </c>
      <c r="S108" s="4"/>
      <c r="AB108" s="5" t="s">
        <v>360</v>
      </c>
      <c r="AC108" s="5"/>
      <c r="AD108" s="5"/>
      <c r="AE108" s="5"/>
      <c r="AF108" s="5"/>
      <c r="AG108" s="5"/>
      <c r="AH108" s="4" t="s">
        <v>360</v>
      </c>
      <c r="AI108" s="2" t="str">
        <f>IF(Tabla_Decretos[[#This Row],[id_padre]]=Tabla_Decretos[[#This Row],[Id]],"NOK","OK")</f>
        <v>OK</v>
      </c>
      <c r="AJ108" s="2"/>
      <c r="AK108" s="2"/>
      <c r="AL108" s="2"/>
      <c r="AM108" s="2"/>
      <c r="AN108" s="2"/>
    </row>
    <row r="109" spans="1:40" hidden="1" x14ac:dyDescent="0.5">
      <c r="A109" s="2">
        <f>MAX(Tabla_Compras[Id])</f>
        <v>736</v>
      </c>
      <c r="B109" s="2">
        <v>838</v>
      </c>
      <c r="C109" s="5">
        <f>IF(Tabla_Decretos[[#This Row],[id_padre]]="",0,_xlfn.XLOOKUP(Tabla_Decretos[[#This Row],[id_padre]],Tabla_Decretos[Id],Tabla_Decretos[Nivel],0,0,1)+1)</f>
        <v>3</v>
      </c>
      <c r="D109" s="2" t="s">
        <v>723</v>
      </c>
      <c r="E109" s="2">
        <f>IF(Tabla_Decretos[[#This Row],[Id_anterior]]=1,ROW()-1,SUM(ROW()-1,Tabla_Decretos[[#This Row],[Id_anterior]]))</f>
        <v>844</v>
      </c>
      <c r="F10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DECRETOS_CONSULTAS_DECRETOS_RELACION_DECRETOS_MATRICES</v>
      </c>
      <c r="G109" s="2" t="str">
        <f>CLEAN(PROPER(Tabla_Decretos[[#This Row],[Nombre Opción]]))</f>
        <v>Relacion Decretos Matrices</v>
      </c>
      <c r="H109" s="2" t="s">
        <v>1735</v>
      </c>
      <c r="I109" s="2" t="str">
        <f>_xlfn.XLOOKUP(Tabla_Decretos[[#This Row],[id_padre]],Tabla_Decretos[Id],Tabla_Decretos[Codigo_Tecnico],"",0,1)</f>
        <v>DECRETOS_CONSULTAS_DECRETOS</v>
      </c>
      <c r="J10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/decretos/consultas/decretos/relacion-decretos-matrices</v>
      </c>
      <c r="K10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relacion-decretos-matrices</v>
      </c>
      <c r="L109" s="2" t="s">
        <v>1369</v>
      </c>
      <c r="M109" t="s">
        <v>1799</v>
      </c>
      <c r="O109" s="4" t="s">
        <v>360</v>
      </c>
      <c r="P109" s="4" t="s">
        <v>360</v>
      </c>
      <c r="Q109" s="4" t="s">
        <v>360</v>
      </c>
      <c r="R109" s="4" t="s">
        <v>360</v>
      </c>
      <c r="S109" s="4"/>
      <c r="AB109" s="5" t="s">
        <v>360</v>
      </c>
      <c r="AC109" s="5"/>
      <c r="AD109" s="5"/>
      <c r="AE109" s="5"/>
      <c r="AF109" s="5"/>
      <c r="AG109" s="5"/>
      <c r="AH109" s="4" t="s">
        <v>360</v>
      </c>
      <c r="AI109" s="2" t="str">
        <f>IF(Tabla_Decretos[[#This Row],[id_padre]]=Tabla_Decretos[[#This Row],[Id]],"NOK","OK")</f>
        <v>OK</v>
      </c>
      <c r="AJ109" s="2"/>
      <c r="AK109" s="2"/>
      <c r="AL109" s="2"/>
      <c r="AM109" s="2"/>
      <c r="AN109" s="2"/>
    </row>
    <row r="110" spans="1:40" hidden="1" x14ac:dyDescent="0.5">
      <c r="A110" s="2">
        <f>MAX(Tabla_Compras[Id])</f>
        <v>736</v>
      </c>
      <c r="B110" s="2">
        <v>838</v>
      </c>
      <c r="C110" s="5">
        <f>IF(Tabla_Decretos[[#This Row],[id_padre]]="",0,_xlfn.XLOOKUP(Tabla_Decretos[[#This Row],[id_padre]],Tabla_Decretos[Id],Tabla_Decretos[Nivel],0,0,1)+1)</f>
        <v>3</v>
      </c>
      <c r="D110" s="2" t="s">
        <v>724</v>
      </c>
      <c r="E110" s="2">
        <f>IF(Tabla_Decretos[[#This Row],[Id_anterior]]=1,ROW()-1,SUM(ROW()-1,Tabla_Decretos[[#This Row],[Id_anterior]]))</f>
        <v>845</v>
      </c>
      <c r="F11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DECRETOS_CONSULTAS_DECRETOS_RELACION_DECRETOS_DIFERIDOS_POR_AÑO</v>
      </c>
      <c r="G110" s="2" t="str">
        <f>CLEAN(PROPER(Tabla_Decretos[[#This Row],[Nombre Opción]]))</f>
        <v>Relacion Decretos Diferidos Por Año</v>
      </c>
      <c r="H110" s="2" t="s">
        <v>1735</v>
      </c>
      <c r="I110" s="2" t="str">
        <f>_xlfn.XLOOKUP(Tabla_Decretos[[#This Row],[id_padre]],Tabla_Decretos[Id],Tabla_Decretos[Codigo_Tecnico],"",0,1)</f>
        <v>DECRETOS_CONSULTAS_DECRETOS</v>
      </c>
      <c r="J11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/decretos/consultas/decretos/relacion-decretos-diferidos-por-año</v>
      </c>
      <c r="K11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relacion-decretos-diferidos-por-año</v>
      </c>
      <c r="L110" s="2" t="s">
        <v>1574</v>
      </c>
      <c r="M110" t="s">
        <v>1799</v>
      </c>
      <c r="O110" s="4" t="s">
        <v>360</v>
      </c>
      <c r="P110" s="4" t="s">
        <v>360</v>
      </c>
      <c r="Q110" s="4" t="s">
        <v>360</v>
      </c>
      <c r="R110" s="4" t="s">
        <v>360</v>
      </c>
      <c r="S110" s="4"/>
      <c r="AB110" s="5" t="s">
        <v>360</v>
      </c>
      <c r="AC110" s="5"/>
      <c r="AD110" s="5"/>
      <c r="AE110" s="5"/>
      <c r="AF110" s="5"/>
      <c r="AG110" s="5"/>
      <c r="AH110" s="4" t="s">
        <v>360</v>
      </c>
      <c r="AI110" s="2" t="str">
        <f>IF(Tabla_Decretos[[#This Row],[id_padre]]=Tabla_Decretos[[#This Row],[Id]],"NOK","OK")</f>
        <v>OK</v>
      </c>
      <c r="AJ110" s="2"/>
      <c r="AK110" s="2"/>
      <c r="AL110" s="2"/>
      <c r="AM110" s="2"/>
      <c r="AN110" s="2"/>
    </row>
    <row r="111" spans="1:40" hidden="1" x14ac:dyDescent="0.5">
      <c r="A111" s="2">
        <f>MAX(Tabla_Compras[Id])</f>
        <v>736</v>
      </c>
      <c r="B111" s="2">
        <v>838</v>
      </c>
      <c r="C111" s="5">
        <f>IF(Tabla_Decretos[[#This Row],[id_padre]]="",0,_xlfn.XLOOKUP(Tabla_Decretos[[#This Row],[id_padre]],Tabla_Decretos[Id],Tabla_Decretos[Nivel],0,0,1)+1)</f>
        <v>3</v>
      </c>
      <c r="D111" s="2" t="s">
        <v>725</v>
      </c>
      <c r="E111" s="2">
        <f>IF(Tabla_Decretos[[#This Row],[Id_anterior]]=1,ROW()-1,SUM(ROW()-1,Tabla_Decretos[[#This Row],[Id_anterior]]))</f>
        <v>846</v>
      </c>
      <c r="F11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DECRETOS_CONSULTAS_DECRETOS_RELACION_DECRETOS_DIFERIDOS_POR_DECRETO_MATRIZ</v>
      </c>
      <c r="G111" s="2" t="str">
        <f>CLEAN(PROPER(Tabla_Decretos[[#This Row],[Nombre Opción]]))</f>
        <v>Relacion Decretos Diferidos Por Decreto Matriz</v>
      </c>
      <c r="H111" s="2" t="s">
        <v>1735</v>
      </c>
      <c r="I111" s="2" t="str">
        <f>_xlfn.XLOOKUP(Tabla_Decretos[[#This Row],[id_padre]],Tabla_Decretos[Id],Tabla_Decretos[Codigo_Tecnico],"",0,1)</f>
        <v>DECRETOS_CONSULTAS_DECRETOS</v>
      </c>
      <c r="J11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/decretos/consultas/decretos/relacion-decretos-diferidos-por-decreto-matriz</v>
      </c>
      <c r="K11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relacion-decretos-diferidos-por-decreto-matriz</v>
      </c>
      <c r="L111" s="2" t="s">
        <v>1338</v>
      </c>
      <c r="M111" t="s">
        <v>1799</v>
      </c>
      <c r="O111" s="4" t="s">
        <v>360</v>
      </c>
      <c r="P111" s="4" t="s">
        <v>360</v>
      </c>
      <c r="Q111" s="4" t="s">
        <v>360</v>
      </c>
      <c r="R111" s="4" t="s">
        <v>360</v>
      </c>
      <c r="S111" s="4"/>
      <c r="AB111" s="5" t="s">
        <v>360</v>
      </c>
      <c r="AC111" s="5"/>
      <c r="AD111" s="5"/>
      <c r="AE111" s="5"/>
      <c r="AF111" s="5"/>
      <c r="AG111" s="5"/>
      <c r="AH111" s="4" t="s">
        <v>360</v>
      </c>
      <c r="AI111" s="2" t="str">
        <f>IF(Tabla_Decretos[[#This Row],[id_padre]]=Tabla_Decretos[[#This Row],[Id]],"NOK","OK")</f>
        <v>OK</v>
      </c>
      <c r="AJ111" s="2"/>
      <c r="AK111" s="2"/>
      <c r="AL111" s="2"/>
      <c r="AM111" s="2"/>
      <c r="AN111" s="2"/>
    </row>
    <row r="112" spans="1:40" hidden="1" x14ac:dyDescent="0.5">
      <c r="A112" s="2">
        <f>MAX(Tabla_Compras[Id])</f>
        <v>736</v>
      </c>
      <c r="B112" s="2">
        <v>838</v>
      </c>
      <c r="C112" s="5">
        <f>IF(Tabla_Decretos[[#This Row],[id_padre]]="",0,_xlfn.XLOOKUP(Tabla_Decretos[[#This Row],[id_padre]],Tabla_Decretos[Id],Tabla_Decretos[Nivel],0,0,1)+1)</f>
        <v>3</v>
      </c>
      <c r="D112" s="2" t="s">
        <v>726</v>
      </c>
      <c r="E112" s="2">
        <f>IF(Tabla_Decretos[[#This Row],[Id_anterior]]=1,ROW()-1,SUM(ROW()-1,Tabla_Decretos[[#This Row],[Id_anterior]]))</f>
        <v>847</v>
      </c>
      <c r="F11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DECRETOS_CONSULTAS_DECRETOS_RELACION_DECRETOS_ADENDUM_POR_AÑO</v>
      </c>
      <c r="G112" s="2" t="str">
        <f>CLEAN(PROPER(Tabla_Decretos[[#This Row],[Nombre Opción]]))</f>
        <v>Relacion Decretos Adendum Por Año</v>
      </c>
      <c r="H112" s="2" t="s">
        <v>1735</v>
      </c>
      <c r="I112" s="2" t="str">
        <f>_xlfn.XLOOKUP(Tabla_Decretos[[#This Row],[id_padre]],Tabla_Decretos[Id],Tabla_Decretos[Codigo_Tecnico],"",0,1)</f>
        <v>DECRETOS_CONSULTAS_DECRETOS</v>
      </c>
      <c r="J11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/decretos/consultas/decretos/relacion-decretos-adendum-por-año</v>
      </c>
      <c r="K11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relacion-decretos-adendum-por-año</v>
      </c>
      <c r="L112" s="2" t="s">
        <v>1416</v>
      </c>
      <c r="M112" t="s">
        <v>1799</v>
      </c>
      <c r="O112" s="4" t="s">
        <v>360</v>
      </c>
      <c r="P112" s="4" t="s">
        <v>360</v>
      </c>
      <c r="Q112" s="4" t="s">
        <v>360</v>
      </c>
      <c r="R112" s="4" t="s">
        <v>360</v>
      </c>
      <c r="S112" s="4"/>
      <c r="AB112" s="5" t="s">
        <v>360</v>
      </c>
      <c r="AC112" s="5"/>
      <c r="AD112" s="5"/>
      <c r="AE112" s="5"/>
      <c r="AF112" s="5"/>
      <c r="AG112" s="5"/>
      <c r="AH112" s="4" t="s">
        <v>360</v>
      </c>
      <c r="AI112" s="2" t="str">
        <f>IF(Tabla_Decretos[[#This Row],[id_padre]]=Tabla_Decretos[[#This Row],[Id]],"NOK","OK")</f>
        <v>OK</v>
      </c>
      <c r="AJ112" s="2"/>
      <c r="AK112" s="2"/>
      <c r="AL112" s="2"/>
      <c r="AM112" s="2"/>
      <c r="AN112" s="2"/>
    </row>
    <row r="113" spans="1:40" hidden="1" x14ac:dyDescent="0.5">
      <c r="A113" s="2">
        <f>MAX(Tabla_Compras[Id])</f>
        <v>736</v>
      </c>
      <c r="B113" s="2">
        <v>838</v>
      </c>
      <c r="C113" s="5">
        <f>IF(Tabla_Decretos[[#This Row],[id_padre]]="",0,_xlfn.XLOOKUP(Tabla_Decretos[[#This Row],[id_padre]],Tabla_Decretos[Id],Tabla_Decretos[Nivel],0,0,1)+1)</f>
        <v>3</v>
      </c>
      <c r="D113" s="2" t="s">
        <v>727</v>
      </c>
      <c r="E113" s="2">
        <f>IF(Tabla_Decretos[[#This Row],[Id_anterior]]=1,ROW()-1,SUM(ROW()-1,Tabla_Decretos[[#This Row],[Id_anterior]]))</f>
        <v>848</v>
      </c>
      <c r="F11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DECRETOS_CONSULTAS_DECRETOS_INGRESOS_POR_DECRETO_MATRIZ</v>
      </c>
      <c r="G113" s="2" t="str">
        <f>CLEAN(PROPER(Tabla_Decretos[[#This Row],[Nombre Opción]]))</f>
        <v>Ingresos Por Decreto Matriz</v>
      </c>
      <c r="H113" s="2" t="s">
        <v>1735</v>
      </c>
      <c r="I113" s="2" t="str">
        <f>_xlfn.XLOOKUP(Tabla_Decretos[[#This Row],[id_padre]],Tabla_Decretos[Id],Tabla_Decretos[Codigo_Tecnico],"",0,1)</f>
        <v>DECRETOS_CONSULTAS_DECRETOS</v>
      </c>
      <c r="J11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/decretos/consultas/decretos/ingresos-por-decreto-matriz</v>
      </c>
      <c r="K11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ingresos-por-decreto-matriz</v>
      </c>
      <c r="L113" s="2" t="s">
        <v>1365</v>
      </c>
      <c r="M113" t="s">
        <v>1799</v>
      </c>
      <c r="O113" s="4" t="s">
        <v>360</v>
      </c>
      <c r="P113" s="4" t="s">
        <v>360</v>
      </c>
      <c r="Q113" s="4" t="s">
        <v>360</v>
      </c>
      <c r="R113" s="4" t="s">
        <v>360</v>
      </c>
      <c r="S113" s="4"/>
      <c r="AB113" s="5" t="s">
        <v>360</v>
      </c>
      <c r="AC113" s="5"/>
      <c r="AD113" s="5"/>
      <c r="AE113" s="5"/>
      <c r="AF113" s="5"/>
      <c r="AG113" s="5"/>
      <c r="AH113" s="4" t="s">
        <v>360</v>
      </c>
      <c r="AI113" s="2" t="str">
        <f>IF(Tabla_Decretos[[#This Row],[id_padre]]=Tabla_Decretos[[#This Row],[Id]],"NOK","OK")</f>
        <v>OK</v>
      </c>
      <c r="AJ113" s="2"/>
      <c r="AK113" s="2"/>
      <c r="AL113" s="2"/>
      <c r="AM113" s="2"/>
      <c r="AN113" s="2"/>
    </row>
    <row r="114" spans="1:40" hidden="1" x14ac:dyDescent="0.5">
      <c r="A114" s="2">
        <f>MAX(Tabla_Compras[Id])</f>
        <v>736</v>
      </c>
      <c r="B114" s="2">
        <v>838</v>
      </c>
      <c r="C114" s="5">
        <f>IF(Tabla_Decretos[[#This Row],[id_padre]]="",0,_xlfn.XLOOKUP(Tabla_Decretos[[#This Row],[id_padre]],Tabla_Decretos[Id],Tabla_Decretos[Nivel],0,0,1)+1)</f>
        <v>3</v>
      </c>
      <c r="D114" s="2" t="s">
        <v>728</v>
      </c>
      <c r="E114" s="2">
        <f>IF(Tabla_Decretos[[#This Row],[Id_anterior]]=1,ROW()-1,SUM(ROW()-1,Tabla_Decretos[[#This Row],[Id_anterior]]))</f>
        <v>849</v>
      </c>
      <c r="F11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DECRETOS_CONSULTAS_DECRETOS_GASTOS_POR_DECRETO_MATRIZ</v>
      </c>
      <c r="G114" s="2" t="str">
        <f>CLEAN(PROPER(Tabla_Decretos[[#This Row],[Nombre Opción]]))</f>
        <v>Gastos Por Decreto Matriz</v>
      </c>
      <c r="H114" s="2" t="s">
        <v>1735</v>
      </c>
      <c r="I114" s="2" t="str">
        <f>_xlfn.XLOOKUP(Tabla_Decretos[[#This Row],[id_padre]],Tabla_Decretos[Id],Tabla_Decretos[Codigo_Tecnico],"",0,1)</f>
        <v>DECRETOS_CONSULTAS_DECRETOS</v>
      </c>
      <c r="J11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/decretos/consultas/decretos/gastos-por-decreto-matriz</v>
      </c>
      <c r="K11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gastos-por-decreto-matriz</v>
      </c>
      <c r="L114" s="2" t="s">
        <v>1435</v>
      </c>
      <c r="M114" t="s">
        <v>1799</v>
      </c>
      <c r="O114" s="4" t="s">
        <v>360</v>
      </c>
      <c r="P114" s="4" t="s">
        <v>360</v>
      </c>
      <c r="Q114" s="4" t="s">
        <v>360</v>
      </c>
      <c r="R114" s="4" t="s">
        <v>360</v>
      </c>
      <c r="S114" s="4"/>
      <c r="AB114" s="5" t="s">
        <v>360</v>
      </c>
      <c r="AC114" s="5"/>
      <c r="AD114" s="5"/>
      <c r="AE114" s="5"/>
      <c r="AF114" s="5"/>
      <c r="AG114" s="5"/>
      <c r="AH114" s="4" t="s">
        <v>360</v>
      </c>
      <c r="AI114" s="2" t="str">
        <f>IF(Tabla_Decretos[[#This Row],[id_padre]]=Tabla_Decretos[[#This Row],[Id]],"NOK","OK")</f>
        <v>OK</v>
      </c>
      <c r="AJ114" s="2"/>
      <c r="AK114" s="2"/>
      <c r="AL114" s="2"/>
      <c r="AM114" s="2"/>
      <c r="AN114" s="2"/>
    </row>
    <row r="115" spans="1:40" hidden="1" x14ac:dyDescent="0.5">
      <c r="A115" s="2">
        <f>MAX(Tabla_Compras[Id])</f>
        <v>736</v>
      </c>
      <c r="B115" s="2">
        <v>838</v>
      </c>
      <c r="C115" s="5">
        <f>IF(Tabla_Decretos[[#This Row],[id_padre]]="",0,_xlfn.XLOOKUP(Tabla_Decretos[[#This Row],[id_padre]],Tabla_Decretos[Id],Tabla_Decretos[Nivel],0,0,1)+1)</f>
        <v>3</v>
      </c>
      <c r="D115" s="2" t="s">
        <v>729</v>
      </c>
      <c r="E115" s="2">
        <f>IF(Tabla_Decretos[[#This Row],[Id_anterior]]=1,ROW()-1,SUM(ROW()-1,Tabla_Decretos[[#This Row],[Id_anterior]]))</f>
        <v>850</v>
      </c>
      <c r="F11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DECRETOS_CONSULTAS_DECRETOS_INGRESOS_Y_GASTOS_POR_DECRETO_DIFERIDO</v>
      </c>
      <c r="G115" s="2" t="str">
        <f>CLEAN(PROPER(Tabla_Decretos[[#This Row],[Nombre Opción]]))</f>
        <v>Ingresos Y Gastos Por Decreto Diferido</v>
      </c>
      <c r="H115" s="2" t="s">
        <v>1735</v>
      </c>
      <c r="I115" s="2" t="str">
        <f>_xlfn.XLOOKUP(Tabla_Decretos[[#This Row],[id_padre]],Tabla_Decretos[Id],Tabla_Decretos[Codigo_Tecnico],"",0,1)</f>
        <v>DECRETOS_CONSULTAS_DECRETOS</v>
      </c>
      <c r="J11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/decretos/consultas/decretos/ingresos-y-gastos-por-decreto-diferido</v>
      </c>
      <c r="K11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ingresos-y-gastos-por-decreto-diferido</v>
      </c>
      <c r="L115" s="2" t="s">
        <v>1379</v>
      </c>
      <c r="M115" t="s">
        <v>1799</v>
      </c>
      <c r="O115" s="4" t="s">
        <v>360</v>
      </c>
      <c r="P115" s="4" t="s">
        <v>360</v>
      </c>
      <c r="Q115" s="4" t="s">
        <v>360</v>
      </c>
      <c r="R115" s="4" t="s">
        <v>360</v>
      </c>
      <c r="S115" s="4"/>
      <c r="AB115" s="5" t="s">
        <v>360</v>
      </c>
      <c r="AC115" s="5"/>
      <c r="AD115" s="5"/>
      <c r="AE115" s="5"/>
      <c r="AF115" s="5"/>
      <c r="AG115" s="5"/>
      <c r="AH115" s="4" t="s">
        <v>360</v>
      </c>
      <c r="AI115" s="2" t="str">
        <f>IF(Tabla_Decretos[[#This Row],[id_padre]]=Tabla_Decretos[[#This Row],[Id]],"NOK","OK")</f>
        <v>OK</v>
      </c>
      <c r="AJ115" s="2"/>
      <c r="AK115" s="2"/>
      <c r="AL115" s="2"/>
      <c r="AM115" s="2"/>
      <c r="AN115" s="2"/>
    </row>
    <row r="116" spans="1:40" hidden="1" x14ac:dyDescent="0.5">
      <c r="A116" s="2">
        <f>MAX(Tabla_Compras[Id])</f>
        <v>736</v>
      </c>
      <c r="B116" s="2">
        <v>838</v>
      </c>
      <c r="C116" s="5">
        <f>IF(Tabla_Decretos[[#This Row],[id_padre]]="",0,_xlfn.XLOOKUP(Tabla_Decretos[[#This Row],[id_padre]],Tabla_Decretos[Id],Tabla_Decretos[Nivel],0,0,1)+1)</f>
        <v>3</v>
      </c>
      <c r="D116" s="2" t="s">
        <v>730</v>
      </c>
      <c r="E116" s="2">
        <f>IF(Tabla_Decretos[[#This Row],[Id_anterior]]=1,ROW()-1,SUM(ROW()-1,Tabla_Decretos[[#This Row],[Id_anterior]]))</f>
        <v>851</v>
      </c>
      <c r="F11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DECRETOS_CONSULTAS_DECRETOS_INGRESOS_Y_GASTOS_POR_DECRETO_DIFERIDO_UNIDAD</v>
      </c>
      <c r="G116" s="2" t="str">
        <f>CLEAN(PROPER(Tabla_Decretos[[#This Row],[Nombre Opción]]))</f>
        <v>Ingresos Y Gastos Por Decreto Diferido Unidad</v>
      </c>
      <c r="H116" s="2" t="s">
        <v>1735</v>
      </c>
      <c r="I116" s="2" t="str">
        <f>_xlfn.XLOOKUP(Tabla_Decretos[[#This Row],[id_padre]],Tabla_Decretos[Id],Tabla_Decretos[Codigo_Tecnico],"",0,1)</f>
        <v>DECRETOS_CONSULTAS_DECRETOS</v>
      </c>
      <c r="J11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/decretos/consultas/decretos/ingresos-y-gastos-por-decreto-diferido-unidad</v>
      </c>
      <c r="K11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ingresos-y-gastos-por-decreto-diferido-unidad</v>
      </c>
      <c r="L116" s="2" t="s">
        <v>1341</v>
      </c>
      <c r="M116" t="s">
        <v>1799</v>
      </c>
      <c r="O116" s="4" t="s">
        <v>360</v>
      </c>
      <c r="P116" s="4" t="s">
        <v>360</v>
      </c>
      <c r="Q116" s="4" t="s">
        <v>360</v>
      </c>
      <c r="R116" s="4" t="s">
        <v>360</v>
      </c>
      <c r="S116" s="4"/>
      <c r="AB116" s="5" t="s">
        <v>360</v>
      </c>
      <c r="AC116" s="5"/>
      <c r="AD116" s="5"/>
      <c r="AE116" s="5"/>
      <c r="AF116" s="5"/>
      <c r="AG116" s="5"/>
      <c r="AH116" s="4" t="s">
        <v>360</v>
      </c>
      <c r="AI116" s="2" t="str">
        <f>IF(Tabla_Decretos[[#This Row],[id_padre]]=Tabla_Decretos[[#This Row],[Id]],"NOK","OK")</f>
        <v>OK</v>
      </c>
      <c r="AJ116" s="2"/>
      <c r="AK116" s="2"/>
      <c r="AL116" s="2"/>
      <c r="AM116" s="2"/>
      <c r="AN116" s="2"/>
    </row>
    <row r="117" spans="1:40" hidden="1" x14ac:dyDescent="0.5">
      <c r="A117" s="2">
        <f>MAX(Tabla_Compras[Id])</f>
        <v>736</v>
      </c>
      <c r="B117" s="2">
        <v>838</v>
      </c>
      <c r="C117" s="5">
        <f>IF(Tabla_Decretos[[#This Row],[id_padre]]="",0,_xlfn.XLOOKUP(Tabla_Decretos[[#This Row],[id_padre]],Tabla_Decretos[Id],Tabla_Decretos[Nivel],0,0,1)+1)</f>
        <v>3</v>
      </c>
      <c r="D117" s="2" t="s">
        <v>731</v>
      </c>
      <c r="E117" s="2">
        <f>IF(Tabla_Decretos[[#This Row],[Id_anterior]]=1,ROW()-1,SUM(ROW()-1,Tabla_Decretos[[#This Row],[Id_anterior]]))</f>
        <v>852</v>
      </c>
      <c r="F11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DECRETOS_CONSULTAS_DECRETOS_RATE_CONVERSION_POR_DECRETO</v>
      </c>
      <c r="G117" s="2" t="str">
        <f>CLEAN(PROPER(Tabla_Decretos[[#This Row],[Nombre Opción]]))</f>
        <v>Rate De Conversion Por Decreto</v>
      </c>
      <c r="H117" s="2" t="s">
        <v>1735</v>
      </c>
      <c r="I117" s="2" t="str">
        <f>_xlfn.XLOOKUP(Tabla_Decretos[[#This Row],[id_padre]],Tabla_Decretos[Id],Tabla_Decretos[Codigo_Tecnico],"",0,1)</f>
        <v>DECRETOS_CONSULTAS_DECRETOS</v>
      </c>
      <c r="J11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/decretos/consultas/decretos/rate-conversion-por-decreto</v>
      </c>
      <c r="K11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rate-conversion-por-decreto</v>
      </c>
      <c r="L117" s="2" t="s">
        <v>1362</v>
      </c>
      <c r="M117" t="s">
        <v>1799</v>
      </c>
      <c r="O117" s="4" t="s">
        <v>360</v>
      </c>
      <c r="P117" s="4" t="s">
        <v>360</v>
      </c>
      <c r="Q117" s="4" t="s">
        <v>360</v>
      </c>
      <c r="R117" s="4" t="s">
        <v>360</v>
      </c>
      <c r="S117" s="4"/>
      <c r="AB117" s="5" t="s">
        <v>360</v>
      </c>
      <c r="AC117" s="5"/>
      <c r="AD117" s="5"/>
      <c r="AE117" s="5"/>
      <c r="AF117" s="5"/>
      <c r="AG117" s="5"/>
      <c r="AH117" s="4" t="s">
        <v>360</v>
      </c>
      <c r="AI117" s="2" t="str">
        <f>IF(Tabla_Decretos[[#This Row],[id_padre]]=Tabla_Decretos[[#This Row],[Id]],"NOK","OK")</f>
        <v>OK</v>
      </c>
      <c r="AJ117" s="2"/>
      <c r="AK117" s="2"/>
      <c r="AL117" s="2"/>
      <c r="AM117" s="2"/>
      <c r="AN117" s="2"/>
    </row>
    <row r="118" spans="1:40" hidden="1" x14ac:dyDescent="0.5">
      <c r="A118" s="2">
        <f>MAX(Tabla_Compras[Id])</f>
        <v>736</v>
      </c>
      <c r="B118" s="2">
        <v>838</v>
      </c>
      <c r="C118" s="5">
        <f>IF(Tabla_Decretos[[#This Row],[id_padre]]="",0,_xlfn.XLOOKUP(Tabla_Decretos[[#This Row],[id_padre]],Tabla_Decretos[Id],Tabla_Decretos[Nivel],0,0,1)+1)</f>
        <v>3</v>
      </c>
      <c r="D118" s="2" t="s">
        <v>732</v>
      </c>
      <c r="E118" s="2">
        <f>IF(Tabla_Decretos[[#This Row],[Id_anterior]]=1,ROW()-1,SUM(ROW()-1,Tabla_Decretos[[#This Row],[Id_anterior]]))</f>
        <v>853</v>
      </c>
      <c r="F11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DECRETOS_CONSULTAS_DECRETOS_RATE_CONVERSION_POR_PROYECTOS</v>
      </c>
      <c r="G118" s="2" t="str">
        <f>CLEAN(PROPER(Tabla_Decretos[[#This Row],[Nombre Opción]]))</f>
        <v>Rate De Conversion Por Proyectos</v>
      </c>
      <c r="H118" s="2" t="s">
        <v>1735</v>
      </c>
      <c r="I118" s="2" t="str">
        <f>_xlfn.XLOOKUP(Tabla_Decretos[[#This Row],[id_padre]],Tabla_Decretos[Id],Tabla_Decretos[Codigo_Tecnico],"",0,1)</f>
        <v>DECRETOS_CONSULTAS_DECRETOS</v>
      </c>
      <c r="J11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/decretos/consultas/decretos/rate-conversion-por-proyectos</v>
      </c>
      <c r="K11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rate-conversion-por-proyectos</v>
      </c>
      <c r="L118" s="2" t="s">
        <v>1354</v>
      </c>
      <c r="M118" t="s">
        <v>1799</v>
      </c>
      <c r="O118" s="4" t="s">
        <v>360</v>
      </c>
      <c r="P118" s="4" t="s">
        <v>360</v>
      </c>
      <c r="Q118" s="4" t="s">
        <v>360</v>
      </c>
      <c r="R118" s="4" t="s">
        <v>360</v>
      </c>
      <c r="S118" s="4"/>
      <c r="AB118" s="5" t="s">
        <v>360</v>
      </c>
      <c r="AC118" s="5"/>
      <c r="AD118" s="5"/>
      <c r="AE118" s="5"/>
      <c r="AF118" s="5"/>
      <c r="AG118" s="5"/>
      <c r="AH118" s="4" t="s">
        <v>360</v>
      </c>
      <c r="AI118" s="2" t="str">
        <f>IF(Tabla_Decretos[[#This Row],[id_padre]]=Tabla_Decretos[[#This Row],[Id]],"NOK","OK")</f>
        <v>OK</v>
      </c>
      <c r="AJ118" s="2"/>
      <c r="AK118" s="2"/>
      <c r="AL118" s="2"/>
      <c r="AM118" s="2"/>
      <c r="AN118" s="2"/>
    </row>
    <row r="119" spans="1:40" hidden="1" x14ac:dyDescent="0.5">
      <c r="A119" s="2">
        <f>MAX(Tabla_Compras[Id])</f>
        <v>736</v>
      </c>
      <c r="B119" s="2">
        <v>838</v>
      </c>
      <c r="C119" s="5">
        <f>IF(Tabla_Decretos[[#This Row],[id_padre]]="",0,_xlfn.XLOOKUP(Tabla_Decretos[[#This Row],[id_padre]],Tabla_Decretos[Id],Tabla_Decretos[Nivel],0,0,1)+1)</f>
        <v>3</v>
      </c>
      <c r="D119" s="2" t="s">
        <v>733</v>
      </c>
      <c r="E119" s="2">
        <f>IF(Tabla_Decretos[[#This Row],[Id_anterior]]=1,ROW()-1,SUM(ROW()-1,Tabla_Decretos[[#This Row],[Id_anterior]]))</f>
        <v>854</v>
      </c>
      <c r="F11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DECRETOS_CONSULTAS_DECRETOS_RELACION_GENERAL_RATE_CONVERSION</v>
      </c>
      <c r="G119" s="2" t="str">
        <f>CLEAN(PROPER(Tabla_Decretos[[#This Row],[Nombre Opción]]))</f>
        <v>Relacion General Rate De Conversion</v>
      </c>
      <c r="H119" s="2" t="s">
        <v>1735</v>
      </c>
      <c r="I119" s="2" t="str">
        <f>_xlfn.XLOOKUP(Tabla_Decretos[[#This Row],[id_padre]],Tabla_Decretos[Id],Tabla_Decretos[Codigo_Tecnico],"",0,1)</f>
        <v>DECRETOS_CONSULTAS_DECRETOS</v>
      </c>
      <c r="J11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/decretos/consultas/decretos/relacion-general-rate-conversion</v>
      </c>
      <c r="K11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relacion-general-rate-conversion</v>
      </c>
      <c r="L119" s="2" t="s">
        <v>1488</v>
      </c>
      <c r="M119" t="s">
        <v>1799</v>
      </c>
      <c r="O119" s="4" t="s">
        <v>360</v>
      </c>
      <c r="P119" s="4" t="s">
        <v>360</v>
      </c>
      <c r="Q119" s="4" t="s">
        <v>360</v>
      </c>
      <c r="R119" s="4" t="s">
        <v>360</v>
      </c>
      <c r="S119" s="4"/>
      <c r="AB119" s="5" t="s">
        <v>360</v>
      </c>
      <c r="AC119" s="5"/>
      <c r="AD119" s="5"/>
      <c r="AE119" s="5"/>
      <c r="AF119" s="5"/>
      <c r="AG119" s="5"/>
      <c r="AH119" s="4" t="s">
        <v>360</v>
      </c>
      <c r="AI119" s="2" t="str">
        <f>IF(Tabla_Decretos[[#This Row],[id_padre]]=Tabla_Decretos[[#This Row],[Id]],"NOK","OK")</f>
        <v>OK</v>
      </c>
      <c r="AJ119" s="2"/>
      <c r="AK119" s="2"/>
      <c r="AL119" s="2"/>
      <c r="AM119" s="2"/>
      <c r="AN119" s="2"/>
    </row>
    <row r="120" spans="1:40" hidden="1" x14ac:dyDescent="0.5">
      <c r="A120" s="2">
        <f>MAX(Tabla_Compras[Id])</f>
        <v>736</v>
      </c>
      <c r="B120" s="2">
        <v>838</v>
      </c>
      <c r="C120" s="5">
        <f>IF(Tabla_Decretos[[#This Row],[id_padre]]="",0,_xlfn.XLOOKUP(Tabla_Decretos[[#This Row],[id_padre]],Tabla_Decretos[Id],Tabla_Decretos[Nivel],0,0,1)+1)</f>
        <v>3</v>
      </c>
      <c r="D120" s="2" t="s">
        <v>1545</v>
      </c>
      <c r="E120" s="2">
        <f>IF(Tabla_Decretos[[#This Row],[Id_anterior]]=1,ROW()-1,SUM(ROW()-1,Tabla_Decretos[[#This Row],[Id_anterior]]))</f>
        <v>855</v>
      </c>
      <c r="F12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DECRETOS_CONSULTAS_DECRETOS_MOVIMIENTOS_PRO_DECRETO_MATRIZ</v>
      </c>
      <c r="G120" s="2" t="str">
        <f>CLEAN(PROPER(Tabla_Decretos[[#This Row],[Nombre Opción]]))</f>
        <v>Movimientos Pro Decreto Matriz</v>
      </c>
      <c r="H120" s="2" t="s">
        <v>1735</v>
      </c>
      <c r="I120" s="2" t="str">
        <f>_xlfn.XLOOKUP(Tabla_Decretos[[#This Row],[id_padre]],Tabla_Decretos[Id],Tabla_Decretos[Codigo_Tecnico],"",0,1)</f>
        <v>DECRETOS_CONSULTAS_DECRETOS</v>
      </c>
      <c r="J12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/decretos/consultas/decretos/movimientos-pro-decreto-matriz</v>
      </c>
      <c r="K12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movimientos-pro-decreto-matriz</v>
      </c>
      <c r="L120" s="2" t="s">
        <v>1575</v>
      </c>
      <c r="M120" t="s">
        <v>1799</v>
      </c>
      <c r="O120" s="4" t="s">
        <v>360</v>
      </c>
      <c r="P120" s="4" t="s">
        <v>360</v>
      </c>
      <c r="Q120" s="4" t="s">
        <v>360</v>
      </c>
      <c r="R120" s="4" t="s">
        <v>360</v>
      </c>
      <c r="S120" s="4"/>
      <c r="AB120" s="5" t="s">
        <v>360</v>
      </c>
      <c r="AC120" s="5"/>
      <c r="AD120" s="5"/>
      <c r="AE120" s="5"/>
      <c r="AF120" s="5"/>
      <c r="AG120" s="5"/>
      <c r="AH120" s="4" t="s">
        <v>360</v>
      </c>
      <c r="AI120" s="2" t="str">
        <f>IF(Tabla_Decretos[[#This Row],[id_padre]]=Tabla_Decretos[[#This Row],[Id]],"NOK","OK")</f>
        <v>OK</v>
      </c>
      <c r="AJ120" s="2"/>
      <c r="AK120" s="2"/>
      <c r="AL120" s="2"/>
      <c r="AM120" s="2"/>
      <c r="AN120" s="2"/>
    </row>
    <row r="121" spans="1:40" hidden="1" x14ac:dyDescent="0.5">
      <c r="A121" s="2">
        <f>MAX(Tabla_Compras[Id])</f>
        <v>736</v>
      </c>
      <c r="B121" s="2">
        <v>838</v>
      </c>
      <c r="C121" s="5">
        <f>IF(Tabla_Decretos[[#This Row],[id_padre]]="",0,_xlfn.XLOOKUP(Tabla_Decretos[[#This Row],[id_padre]],Tabla_Decretos[Id],Tabla_Decretos[Nivel],0,0,1)+1)</f>
        <v>3</v>
      </c>
      <c r="D121" s="2" t="s">
        <v>734</v>
      </c>
      <c r="E121" s="2">
        <f>IF(Tabla_Decretos[[#This Row],[Id_anterior]]=1,ROW()-1,SUM(ROW()-1,Tabla_Decretos[[#This Row],[Id_anterior]]))</f>
        <v>856</v>
      </c>
      <c r="F12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DECRETOS_CONSULTAS_DECRETOS_ASIENTOS_CONTABLES</v>
      </c>
      <c r="G121" s="2" t="str">
        <f>CLEAN(PROPER(Tabla_Decretos[[#This Row],[Nombre Opción]]))</f>
        <v>Asientos Contables</v>
      </c>
      <c r="H121" s="2" t="s">
        <v>1735</v>
      </c>
      <c r="I121" s="2" t="str">
        <f>_xlfn.XLOOKUP(Tabla_Decretos[[#This Row],[id_padre]],Tabla_Decretos[Id],Tabla_Decretos[Codigo_Tecnico],"",0,1)</f>
        <v>DECRETOS_CONSULTAS_DECRETOS</v>
      </c>
      <c r="J12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/decretos/consultas/decretos/asientos-contables</v>
      </c>
      <c r="K12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asientos-contables</v>
      </c>
      <c r="L121" s="2" t="s">
        <v>1364</v>
      </c>
      <c r="M121" t="s">
        <v>1799</v>
      </c>
      <c r="O121" s="4" t="s">
        <v>360</v>
      </c>
      <c r="P121" s="4" t="s">
        <v>360</v>
      </c>
      <c r="Q121" s="4" t="s">
        <v>360</v>
      </c>
      <c r="R121" s="4" t="s">
        <v>360</v>
      </c>
      <c r="S121" s="4"/>
      <c r="AB121" s="5" t="s">
        <v>360</v>
      </c>
      <c r="AC121" s="5"/>
      <c r="AD121" s="5"/>
      <c r="AE121" s="5"/>
      <c r="AF121" s="5"/>
      <c r="AG121" s="5"/>
      <c r="AH121" s="4" t="s">
        <v>360</v>
      </c>
      <c r="AI121" s="2" t="str">
        <f>IF(Tabla_Decretos[[#This Row],[id_padre]]=Tabla_Decretos[[#This Row],[Id]],"NOK","OK")</f>
        <v>OK</v>
      </c>
      <c r="AJ121" s="2"/>
      <c r="AK121" s="2"/>
      <c r="AL121" s="2"/>
      <c r="AM121" s="2"/>
      <c r="AN121" s="2"/>
    </row>
    <row r="122" spans="1:40" hidden="1" x14ac:dyDescent="0.5">
      <c r="A122" s="2">
        <f>MAX(Tabla_Compras[Id])</f>
        <v>736</v>
      </c>
      <c r="B122" s="2">
        <v>838</v>
      </c>
      <c r="C122" s="5">
        <f>IF(Tabla_Decretos[[#This Row],[id_padre]]="",0,_xlfn.XLOOKUP(Tabla_Decretos[[#This Row],[id_padre]],Tabla_Decretos[Id],Tabla_Decretos[Nivel],0,0,1)+1)</f>
        <v>3</v>
      </c>
      <c r="D122" s="2" t="s">
        <v>480</v>
      </c>
      <c r="E122" s="2">
        <f>IF(Tabla_Decretos[[#This Row],[Id_anterior]]=1,ROW()-1,SUM(ROW()-1,Tabla_Decretos[[#This Row],[Id_anterior]]))</f>
        <v>857</v>
      </c>
      <c r="F12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DECRETOS_CONSULTAS_DECRETOS_PAGOS_EFECTUADOS</v>
      </c>
      <c r="G122" s="2" t="str">
        <f>CLEAN(PROPER(Tabla_Decretos[[#This Row],[Nombre Opción]]))</f>
        <v>Pagos Efectuados</v>
      </c>
      <c r="H122" s="2" t="s">
        <v>1735</v>
      </c>
      <c r="I122" s="2" t="str">
        <f>_xlfn.XLOOKUP(Tabla_Decretos[[#This Row],[id_padre]],Tabla_Decretos[Id],Tabla_Decretos[Codigo_Tecnico],"",0,1)</f>
        <v>DECRETOS_CONSULTAS_DECRETOS</v>
      </c>
      <c r="J12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/decretos/consultas/decretos/pagos-efectuados</v>
      </c>
      <c r="K12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pagos-efectuados</v>
      </c>
      <c r="L122" s="2" t="s">
        <v>1398</v>
      </c>
      <c r="M122" t="s">
        <v>1799</v>
      </c>
      <c r="O122" s="4" t="s">
        <v>360</v>
      </c>
      <c r="P122" s="4" t="s">
        <v>360</v>
      </c>
      <c r="Q122" s="4" t="s">
        <v>360</v>
      </c>
      <c r="R122" s="4" t="s">
        <v>360</v>
      </c>
      <c r="S122" s="4"/>
      <c r="AB122" s="5" t="s">
        <v>360</v>
      </c>
      <c r="AC122" s="5"/>
      <c r="AD122" s="5"/>
      <c r="AE122" s="5"/>
      <c r="AF122" s="5"/>
      <c r="AG122" s="5"/>
      <c r="AH122" s="4" t="s">
        <v>360</v>
      </c>
      <c r="AI122" s="2" t="str">
        <f>IF(Tabla_Decretos[[#This Row],[id_padre]]=Tabla_Decretos[[#This Row],[Id]],"NOK","OK")</f>
        <v>OK</v>
      </c>
      <c r="AJ122" s="2"/>
      <c r="AK122" s="2"/>
      <c r="AL122" s="2"/>
      <c r="AM122" s="2"/>
      <c r="AN122" s="2"/>
    </row>
    <row r="123" spans="1:40" hidden="1" x14ac:dyDescent="0.5">
      <c r="A123" s="2">
        <f>MAX(Tabla_Compras[Id])</f>
        <v>736</v>
      </c>
      <c r="B123" s="2">
        <v>743</v>
      </c>
      <c r="C123" s="5">
        <f>IF(Tabla_Decretos[[#This Row],[id_padre]]="",0,_xlfn.XLOOKUP(Tabla_Decretos[[#This Row],[id_padre]],Tabla_Decretos[Id],Tabla_Decretos[Nivel],0,0,1)+1)</f>
        <v>2</v>
      </c>
      <c r="D123" s="2" t="s">
        <v>695</v>
      </c>
      <c r="E123" s="2">
        <f>IF(Tabla_Decretos[[#This Row],[Id_anterior]]=1,ROW()-1,SUM(ROW()-1,Tabla_Decretos[[#This Row],[Id_anterior]]))</f>
        <v>858</v>
      </c>
      <c r="F12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</v>
      </c>
      <c r="G123" s="2" t="str">
        <f>CLEAN(PROPER(Tabla_Decretos[[#This Row],[Nombre Opción]]))</f>
        <v>Proyectos</v>
      </c>
      <c r="H123" s="2" t="s">
        <v>1735</v>
      </c>
      <c r="I123" s="2" t="str">
        <f>_xlfn.XLOOKUP(Tabla_Decretos[[#This Row],[id_padre]],Tabla_Decretos[Id],Tabla_Decretos[Codigo_Tecnico],"",0,1)</f>
        <v>DECRETOS_CONSULTAS</v>
      </c>
      <c r="J12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</v>
      </c>
      <c r="K12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proyectos</v>
      </c>
      <c r="L123" s="2" t="s">
        <v>1576</v>
      </c>
      <c r="M123" t="s">
        <v>1799</v>
      </c>
      <c r="P123" s="4"/>
      <c r="R123" s="4"/>
      <c r="S123" s="4"/>
      <c r="AB123" s="5" t="s">
        <v>360</v>
      </c>
      <c r="AC123" s="5" t="s">
        <v>360</v>
      </c>
      <c r="AD123" s="5" t="s">
        <v>360</v>
      </c>
      <c r="AE123" s="5" t="s">
        <v>360</v>
      </c>
      <c r="AF123" s="5" t="s">
        <v>360</v>
      </c>
      <c r="AG123" s="5" t="s">
        <v>360</v>
      </c>
      <c r="AH123" s="4" t="s">
        <v>360</v>
      </c>
      <c r="AI123" s="2" t="str">
        <f>IF(Tabla_Decretos[[#This Row],[id_padre]]=Tabla_Decretos[[#This Row],[Id]],"NOK","OK")</f>
        <v>OK</v>
      </c>
      <c r="AJ123" s="2"/>
      <c r="AK123" s="2"/>
      <c r="AL123" s="2"/>
      <c r="AM123" s="2"/>
      <c r="AN123" s="2"/>
    </row>
    <row r="124" spans="1:40" hidden="1" x14ac:dyDescent="0.5">
      <c r="A124" s="2">
        <f>MAX(Tabla_Compras[Id])</f>
        <v>736</v>
      </c>
      <c r="B124" s="2">
        <v>858</v>
      </c>
      <c r="C124" s="5">
        <f>IF(Tabla_Decretos[[#This Row],[id_padre]]="",0,_xlfn.XLOOKUP(Tabla_Decretos[[#This Row],[id_padre]],Tabla_Decretos[Id],Tabla_Decretos[Nivel],0,0,1)+1)</f>
        <v>3</v>
      </c>
      <c r="D124" s="2" t="s">
        <v>736</v>
      </c>
      <c r="E124" s="2">
        <f>IF(Tabla_Decretos[[#This Row],[Id_anterior]]=1,ROW()-1,SUM(ROW()-1,Tabla_Decretos[[#This Row],[Id_anterior]]))</f>
        <v>859</v>
      </c>
      <c r="F12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DECRETOS_CONSULTAS_PROYECTOS_ANTECEDENTES_ESPECIFICOS_PROYECTO</v>
      </c>
      <c r="G124" s="2" t="str">
        <f>CLEAN(PROPER(Tabla_Decretos[[#This Row],[Nombre Opción]]))</f>
        <v>Antecedentes Especificos Proyecto</v>
      </c>
      <c r="H124" s="2" t="s">
        <v>1735</v>
      </c>
      <c r="I124" s="2" t="str">
        <f>_xlfn.XLOOKUP(Tabla_Decretos[[#This Row],[id_padre]],Tabla_Decretos[Id],Tabla_Decretos[Codigo_Tecnico],"",0,1)</f>
        <v>DECRETOS_CONSULTAS_PROYECTOS</v>
      </c>
      <c r="J12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/decretos/consultas/proyectos/antecedentes-especificos-proyecto</v>
      </c>
      <c r="K12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antecedentes-especificos-proyecto</v>
      </c>
      <c r="L124" s="2" t="s">
        <v>1339</v>
      </c>
      <c r="M124" t="s">
        <v>1799</v>
      </c>
      <c r="P124" s="4"/>
      <c r="R124" s="4"/>
      <c r="S124" s="4"/>
      <c r="AB124" s="5" t="s">
        <v>360</v>
      </c>
      <c r="AC124" s="5" t="s">
        <v>360</v>
      </c>
      <c r="AD124" s="5" t="s">
        <v>360</v>
      </c>
      <c r="AE124" s="5" t="s">
        <v>360</v>
      </c>
      <c r="AF124" s="5" t="s">
        <v>360</v>
      </c>
      <c r="AG124" s="5" t="s">
        <v>360</v>
      </c>
      <c r="AH124" s="4" t="s">
        <v>360</v>
      </c>
      <c r="AI124" s="2" t="str">
        <f>IF(Tabla_Decretos[[#This Row],[id_padre]]=Tabla_Decretos[[#This Row],[Id]],"NOK","OK")</f>
        <v>OK</v>
      </c>
      <c r="AJ124" s="2"/>
      <c r="AK124" s="2"/>
      <c r="AL124" s="2"/>
      <c r="AM124" s="2"/>
      <c r="AN124" s="2"/>
    </row>
    <row r="125" spans="1:40" hidden="1" x14ac:dyDescent="0.5">
      <c r="A125" s="2">
        <f>MAX(Tabla_Compras[Id])</f>
        <v>736</v>
      </c>
      <c r="B125" s="2">
        <v>858</v>
      </c>
      <c r="C125" s="5">
        <f>IF(Tabla_Decretos[[#This Row],[id_padre]]="",0,_xlfn.XLOOKUP(Tabla_Decretos[[#This Row],[id_padre]],Tabla_Decretos[Id],Tabla_Decretos[Nivel],0,0,1)+1)</f>
        <v>3</v>
      </c>
      <c r="D125" s="2" t="s">
        <v>737</v>
      </c>
      <c r="E125" s="2">
        <f>IF(Tabla_Decretos[[#This Row],[Id_anterior]]=1,ROW()-1,SUM(ROW()-1,Tabla_Decretos[[#This Row],[Id_anterior]]))</f>
        <v>860</v>
      </c>
      <c r="F12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DECRETOS_CONSULTAS_PROYECTOS_JEFES_POR_PROYECTO</v>
      </c>
      <c r="G125" s="2" t="str">
        <f>CLEAN(PROPER(Tabla_Decretos[[#This Row],[Nombre Opción]]))</f>
        <v>Jefes Por Proyecto</v>
      </c>
      <c r="H125" s="2" t="s">
        <v>1735</v>
      </c>
      <c r="I125" s="2" t="str">
        <f>_xlfn.XLOOKUP(Tabla_Decretos[[#This Row],[id_padre]],Tabla_Decretos[Id],Tabla_Decretos[Codigo_Tecnico],"",0,1)</f>
        <v>DECRETOS_CONSULTAS_PROYECTOS</v>
      </c>
      <c r="J12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/decretos/consultas/proyectos/jefes-por-proyecto</v>
      </c>
      <c r="K12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jefes-por-proyecto</v>
      </c>
      <c r="L125" s="2" t="s">
        <v>1561</v>
      </c>
      <c r="M125" t="s">
        <v>1799</v>
      </c>
      <c r="P125" s="4"/>
      <c r="R125" s="4"/>
      <c r="S125" s="4"/>
      <c r="AB125" s="5" t="s">
        <v>360</v>
      </c>
      <c r="AC125" s="5" t="s">
        <v>360</v>
      </c>
      <c r="AD125" s="5" t="s">
        <v>360</v>
      </c>
      <c r="AE125" s="5" t="s">
        <v>360</v>
      </c>
      <c r="AF125" s="5" t="s">
        <v>360</v>
      </c>
      <c r="AG125" s="5" t="s">
        <v>360</v>
      </c>
      <c r="AH125" s="4" t="s">
        <v>360</v>
      </c>
      <c r="AI125" s="2" t="str">
        <f>IF(Tabla_Decretos[[#This Row],[id_padre]]=Tabla_Decretos[[#This Row],[Id]],"NOK","OK")</f>
        <v>OK</v>
      </c>
      <c r="AJ125" s="2"/>
      <c r="AK125" s="2"/>
      <c r="AL125" s="2"/>
      <c r="AM125" s="2"/>
      <c r="AN125" s="2"/>
    </row>
    <row r="126" spans="1:40" hidden="1" x14ac:dyDescent="0.5">
      <c r="A126" s="2">
        <f>MAX(Tabla_Compras[Id])</f>
        <v>736</v>
      </c>
      <c r="B126" s="2">
        <v>858</v>
      </c>
      <c r="C126" s="5">
        <f>IF(Tabla_Decretos[[#This Row],[id_padre]]="",0,_xlfn.XLOOKUP(Tabla_Decretos[[#This Row],[id_padre]],Tabla_Decretos[Id],Tabla_Decretos[Nivel],0,0,1)+1)</f>
        <v>3</v>
      </c>
      <c r="D126" s="2" t="s">
        <v>738</v>
      </c>
      <c r="E126" s="2">
        <f>IF(Tabla_Decretos[[#This Row],[Id_anterior]]=1,ROW()-1,SUM(ROW()-1,Tabla_Decretos[[#This Row],[Id_anterior]]))</f>
        <v>861</v>
      </c>
      <c r="F12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DECRETOS_CONSULTAS_PROYECTOS_PROYECTOS_POR_JEFE</v>
      </c>
      <c r="G126" s="2" t="str">
        <f>CLEAN(PROPER(Tabla_Decretos[[#This Row],[Nombre Opción]]))</f>
        <v>Proyectos Por Jefe</v>
      </c>
      <c r="H126" s="2" t="s">
        <v>1735</v>
      </c>
      <c r="I126" s="2" t="str">
        <f>_xlfn.XLOOKUP(Tabla_Decretos[[#This Row],[id_padre]],Tabla_Decretos[Id],Tabla_Decretos[Codigo_Tecnico],"",0,1)</f>
        <v>DECRETOS_CONSULTAS_PROYECTOS</v>
      </c>
      <c r="J12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/decretos/consultas/proyectos/proyectos-por-jefe</v>
      </c>
      <c r="K12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proyectos-por-jefe</v>
      </c>
      <c r="L126" s="2" t="s">
        <v>1562</v>
      </c>
      <c r="M126" t="s">
        <v>1799</v>
      </c>
      <c r="P126" s="4"/>
      <c r="R126" s="4"/>
      <c r="S126" s="4"/>
      <c r="AB126" s="5" t="s">
        <v>360</v>
      </c>
      <c r="AC126" s="5" t="s">
        <v>360</v>
      </c>
      <c r="AD126" s="5" t="s">
        <v>360</v>
      </c>
      <c r="AE126" s="5" t="s">
        <v>360</v>
      </c>
      <c r="AF126" s="5" t="s">
        <v>360</v>
      </c>
      <c r="AG126" s="5" t="s">
        <v>360</v>
      </c>
      <c r="AH126" s="4" t="s">
        <v>360</v>
      </c>
      <c r="AI126" s="2" t="str">
        <f>IF(Tabla_Decretos[[#This Row],[id_padre]]=Tabla_Decretos[[#This Row],[Id]],"NOK","OK")</f>
        <v>OK</v>
      </c>
      <c r="AJ126" s="2"/>
      <c r="AK126" s="2"/>
      <c r="AL126" s="2"/>
      <c r="AM126" s="2"/>
      <c r="AN126" s="2"/>
    </row>
    <row r="127" spans="1:40" hidden="1" x14ac:dyDescent="0.5">
      <c r="A127" s="2">
        <f>MAX(Tabla_Compras[Id])</f>
        <v>736</v>
      </c>
      <c r="B127" s="2">
        <v>858</v>
      </c>
      <c r="C127" s="5">
        <f>IF(Tabla_Decretos[[#This Row],[id_padre]]="",0,_xlfn.XLOOKUP(Tabla_Decretos[[#This Row],[id_padre]],Tabla_Decretos[Id],Tabla_Decretos[Nivel],0,0,1)+1)</f>
        <v>3</v>
      </c>
      <c r="D127" s="2" t="s">
        <v>739</v>
      </c>
      <c r="E127" s="2">
        <f>IF(Tabla_Decretos[[#This Row],[Id_anterior]]=1,ROW()-1,SUM(ROW()-1,Tabla_Decretos[[#This Row],[Id_anterior]]))</f>
        <v>862</v>
      </c>
      <c r="F12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DECRETOS_CONSULTAS_PROYECTOS_RELACION_GENERAL_PROYECTOS</v>
      </c>
      <c r="G127" s="2" t="str">
        <f>CLEAN(PROPER(Tabla_Decretos[[#This Row],[Nombre Opción]]))</f>
        <v>Relacion General De Proyectos</v>
      </c>
      <c r="H127" s="2" t="s">
        <v>1735</v>
      </c>
      <c r="I127" s="2" t="str">
        <f>_xlfn.XLOOKUP(Tabla_Decretos[[#This Row],[id_padre]],Tabla_Decretos[Id],Tabla_Decretos[Codigo_Tecnico],"",0,1)</f>
        <v>DECRETOS_CONSULTAS_PROYECTOS</v>
      </c>
      <c r="J12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/decretos/consultas/proyectos/relacion-general-proyectos</v>
      </c>
      <c r="K12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relacion-general-proyectos</v>
      </c>
      <c r="L127" s="2" t="s">
        <v>1487</v>
      </c>
      <c r="M127" t="s">
        <v>1799</v>
      </c>
      <c r="P127" s="4"/>
      <c r="R127" s="4"/>
      <c r="S127" s="4"/>
      <c r="AB127" s="5" t="s">
        <v>360</v>
      </c>
      <c r="AC127" s="5" t="s">
        <v>360</v>
      </c>
      <c r="AD127" s="5" t="s">
        <v>360</v>
      </c>
      <c r="AE127" s="5" t="s">
        <v>360</v>
      </c>
      <c r="AF127" s="5" t="s">
        <v>360</v>
      </c>
      <c r="AG127" s="5" t="s">
        <v>360</v>
      </c>
      <c r="AH127" s="4" t="s">
        <v>360</v>
      </c>
      <c r="AI127" s="2" t="str">
        <f>IF(Tabla_Decretos[[#This Row],[id_padre]]=Tabla_Decretos[[#This Row],[Id]],"NOK","OK")</f>
        <v>OK</v>
      </c>
      <c r="AJ127" s="2"/>
      <c r="AK127" s="2"/>
      <c r="AL127" s="2"/>
      <c r="AM127" s="2"/>
      <c r="AN127" s="2"/>
    </row>
    <row r="128" spans="1:40" hidden="1" x14ac:dyDescent="0.5">
      <c r="A128" s="2">
        <f>MAX(Tabla_Compras[Id])</f>
        <v>736</v>
      </c>
      <c r="B128" s="2">
        <v>858</v>
      </c>
      <c r="C128" s="5">
        <f>IF(Tabla_Decretos[[#This Row],[id_padre]]="",0,_xlfn.XLOOKUP(Tabla_Decretos[[#This Row],[id_padre]],Tabla_Decretos[Id],Tabla_Decretos[Nivel],0,0,1)+1)</f>
        <v>3</v>
      </c>
      <c r="D128" s="2" t="s">
        <v>740</v>
      </c>
      <c r="E128" s="2">
        <f>IF(Tabla_Decretos[[#This Row],[Id_anterior]]=1,ROW()-1,SUM(ROW()-1,Tabla_Decretos[[#This Row],[Id_anterior]]))</f>
        <v>863</v>
      </c>
      <c r="F12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DECRETOS_CONSULTAS_PROYECTOS_RELACION_DETALLADA_PROYECTOS</v>
      </c>
      <c r="G128" s="2" t="str">
        <f>CLEAN(PROPER(Tabla_Decretos[[#This Row],[Nombre Opción]]))</f>
        <v>Relacion Detallada De Proyectos</v>
      </c>
      <c r="H128" s="2" t="s">
        <v>1735</v>
      </c>
      <c r="I128" s="2" t="str">
        <f>_xlfn.XLOOKUP(Tabla_Decretos[[#This Row],[id_padre]],Tabla_Decretos[Id],Tabla_Decretos[Codigo_Tecnico],"",0,1)</f>
        <v>DECRETOS_CONSULTAS_PROYECTOS</v>
      </c>
      <c r="J12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/decretos/consultas/proyectos/relacion-detallada-proyectos</v>
      </c>
      <c r="K12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relacion-detallada-proyectos</v>
      </c>
      <c r="L128" s="2" t="s">
        <v>1369</v>
      </c>
      <c r="M128" t="s">
        <v>1799</v>
      </c>
      <c r="P128" s="4"/>
      <c r="R128" s="4"/>
      <c r="S128" s="4"/>
      <c r="AB128" s="5" t="s">
        <v>360</v>
      </c>
      <c r="AC128" s="5" t="s">
        <v>360</v>
      </c>
      <c r="AD128" s="5" t="s">
        <v>360</v>
      </c>
      <c r="AE128" s="5" t="s">
        <v>360</v>
      </c>
      <c r="AF128" s="5" t="s">
        <v>360</v>
      </c>
      <c r="AG128" s="5" t="s">
        <v>360</v>
      </c>
      <c r="AH128" s="4" t="s">
        <v>360</v>
      </c>
      <c r="AI128" s="2" t="str">
        <f>IF(Tabla_Decretos[[#This Row],[id_padre]]=Tabla_Decretos[[#This Row],[Id]],"NOK","OK")</f>
        <v>OK</v>
      </c>
      <c r="AJ128" s="2"/>
      <c r="AK128" s="2"/>
      <c r="AL128" s="2"/>
      <c r="AM128" s="2"/>
      <c r="AN128" s="2"/>
    </row>
    <row r="129" spans="1:40" hidden="1" x14ac:dyDescent="0.5">
      <c r="A129" s="2">
        <f>MAX(Tabla_Compras[Id])</f>
        <v>736</v>
      </c>
      <c r="B129" s="2">
        <v>858</v>
      </c>
      <c r="C129" s="5">
        <f>IF(Tabla_Decretos[[#This Row],[id_padre]]="",0,_xlfn.XLOOKUP(Tabla_Decretos[[#This Row],[id_padre]],Tabla_Decretos[Id],Tabla_Decretos[Nivel],0,0,1)+1)</f>
        <v>3</v>
      </c>
      <c r="D129" s="2" t="s">
        <v>741</v>
      </c>
      <c r="E129" s="2">
        <f>IF(Tabla_Decretos[[#This Row],[Id_anterior]]=1,ROW()-1,SUM(ROW()-1,Tabla_Decretos[[#This Row],[Id_anterior]]))</f>
        <v>864</v>
      </c>
      <c r="F12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DECRETOS_CONSULTAS_PROYECTOS_RELACION_CONTRATOS_Y_OTROS_POR_PROYECTO</v>
      </c>
      <c r="G129" s="2" t="str">
        <f>CLEAN(PROPER(Tabla_Decretos[[#This Row],[Nombre Opción]]))</f>
        <v>Relacion De Contratos Y Otros Por Proyecto</v>
      </c>
      <c r="H129" s="2" t="s">
        <v>1735</v>
      </c>
      <c r="I129" s="2" t="str">
        <f>_xlfn.XLOOKUP(Tabla_Decretos[[#This Row],[id_padre]],Tabla_Decretos[Id],Tabla_Decretos[Codigo_Tecnico],"",0,1)</f>
        <v>DECRETOS_CONSULTAS_PROYECTOS</v>
      </c>
      <c r="J12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/decretos/consultas/proyectos/relacion-contratos-y-otros-por-proyecto</v>
      </c>
      <c r="K12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relacion-contratos-y-otros-por-proyecto</v>
      </c>
      <c r="L129" s="2" t="s">
        <v>1405</v>
      </c>
      <c r="M129" t="s">
        <v>1799</v>
      </c>
      <c r="P129" s="4"/>
      <c r="R129" s="4"/>
      <c r="S129" s="4"/>
      <c r="AB129" s="5" t="s">
        <v>360</v>
      </c>
      <c r="AC129" s="5" t="s">
        <v>360</v>
      </c>
      <c r="AD129" s="5" t="s">
        <v>360</v>
      </c>
      <c r="AE129" s="5" t="s">
        <v>360</v>
      </c>
      <c r="AF129" s="5" t="s">
        <v>360</v>
      </c>
      <c r="AG129" s="5" t="s">
        <v>360</v>
      </c>
      <c r="AH129" s="4" t="s">
        <v>360</v>
      </c>
      <c r="AI129" s="2" t="str">
        <f>IF(Tabla_Decretos[[#This Row],[id_padre]]=Tabla_Decretos[[#This Row],[Id]],"NOK","OK")</f>
        <v>OK</v>
      </c>
      <c r="AJ129" s="2"/>
      <c r="AK129" s="2"/>
      <c r="AL129" s="2"/>
      <c r="AM129" s="2"/>
      <c r="AN129" s="2"/>
    </row>
    <row r="130" spans="1:40" hidden="1" x14ac:dyDescent="0.5">
      <c r="A130" s="2">
        <f>MAX(Tabla_Compras[Id])</f>
        <v>736</v>
      </c>
      <c r="B130" s="2">
        <v>858</v>
      </c>
      <c r="C130" s="5">
        <f>IF(Tabla_Decretos[[#This Row],[id_padre]]="",0,_xlfn.XLOOKUP(Tabla_Decretos[[#This Row],[id_padre]],Tabla_Decretos[Id],Tabla_Decretos[Nivel],0,0,1)+1)</f>
        <v>3</v>
      </c>
      <c r="D130" s="2" t="s">
        <v>742</v>
      </c>
      <c r="E130" s="2">
        <f>IF(Tabla_Decretos[[#This Row],[Id_anterior]]=1,ROW()-1,SUM(ROW()-1,Tabla_Decretos[[#This Row],[Id_anterior]]))</f>
        <v>865</v>
      </c>
      <c r="F13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DECRETOS_CONSULTAS_PROYECTOS_RELACION_MEMOS_POR_PROYECTOS</v>
      </c>
      <c r="G130" s="2" t="str">
        <f>CLEAN(PROPER(Tabla_Decretos[[#This Row],[Nombre Opción]]))</f>
        <v>Relacion De Memos Por Proyectos</v>
      </c>
      <c r="H130" s="2" t="s">
        <v>1735</v>
      </c>
      <c r="I130" s="2" t="str">
        <f>_xlfn.XLOOKUP(Tabla_Decretos[[#This Row],[id_padre]],Tabla_Decretos[Id],Tabla_Decretos[Codigo_Tecnico],"",0,1)</f>
        <v>DECRETOS_CONSULTAS_PROYECTOS</v>
      </c>
      <c r="J13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/decretos/consultas/proyectos/relacion-memos-por-proyectos</v>
      </c>
      <c r="K13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relacion-memos-por-proyectos</v>
      </c>
      <c r="L130" s="2" t="s">
        <v>1494</v>
      </c>
      <c r="M130" t="s">
        <v>1799</v>
      </c>
      <c r="P130" s="4"/>
      <c r="R130" s="4"/>
      <c r="S130" s="4"/>
      <c r="AB130" s="5" t="s">
        <v>360</v>
      </c>
      <c r="AC130" s="5" t="s">
        <v>360</v>
      </c>
      <c r="AD130" s="5" t="s">
        <v>360</v>
      </c>
      <c r="AE130" s="5" t="s">
        <v>360</v>
      </c>
      <c r="AF130" s="5" t="s">
        <v>360</v>
      </c>
      <c r="AG130" s="5" t="s">
        <v>360</v>
      </c>
      <c r="AH130" s="4" t="s">
        <v>360</v>
      </c>
      <c r="AI130" s="2" t="str">
        <f>IF(Tabla_Decretos[[#This Row],[id_padre]]=Tabla_Decretos[[#This Row],[Id]],"NOK","OK")</f>
        <v>OK</v>
      </c>
      <c r="AJ130" s="2"/>
      <c r="AK130" s="2"/>
      <c r="AL130" s="2"/>
      <c r="AM130" s="2"/>
      <c r="AN130" s="2"/>
    </row>
    <row r="131" spans="1:40" hidden="1" x14ac:dyDescent="0.5">
      <c r="A131" s="2">
        <f>MAX(Tabla_Compras[Id])</f>
        <v>736</v>
      </c>
      <c r="B131" s="2">
        <v>858</v>
      </c>
      <c r="C131" s="5">
        <f>IF(Tabla_Decretos[[#This Row],[id_padre]]="",0,_xlfn.XLOOKUP(Tabla_Decretos[[#This Row],[id_padre]],Tabla_Decretos[Id],Tabla_Decretos[Nivel],0,0,1)+1)</f>
        <v>3</v>
      </c>
      <c r="D131" s="2" t="s">
        <v>743</v>
      </c>
      <c r="E131" s="2">
        <f>IF(Tabla_Decretos[[#This Row],[Id_anterior]]=1,ROW()-1,SUM(ROW()-1,Tabla_Decretos[[#This Row],[Id_anterior]]))</f>
        <v>866</v>
      </c>
      <c r="F13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DECRETOS_CONSULTAS_PROYECTOS_RELACION_O_C_POR_PROYECTOS</v>
      </c>
      <c r="G131" s="2" t="str">
        <f>CLEAN(PROPER(Tabla_Decretos[[#This Row],[Nombre Opción]]))</f>
        <v>Relacion De O/C Por Proyectos</v>
      </c>
      <c r="H131" s="2" t="s">
        <v>1735</v>
      </c>
      <c r="I131" s="2" t="str">
        <f>_xlfn.XLOOKUP(Tabla_Decretos[[#This Row],[id_padre]],Tabla_Decretos[Id],Tabla_Decretos[Codigo_Tecnico],"",0,1)</f>
        <v>DECRETOS_CONSULTAS_PROYECTOS</v>
      </c>
      <c r="J13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/decretos/consultas/proyectos/relacion-o-c-por-proyectos</v>
      </c>
      <c r="K13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relacion-o-c-por-proyectos</v>
      </c>
      <c r="L131" s="2" t="s">
        <v>1364</v>
      </c>
      <c r="M131" t="s">
        <v>1799</v>
      </c>
      <c r="P131" s="4"/>
      <c r="R131" s="4"/>
      <c r="S131" s="4"/>
      <c r="AB131" s="5" t="s">
        <v>360</v>
      </c>
      <c r="AC131" s="5" t="s">
        <v>360</v>
      </c>
      <c r="AD131" s="5" t="s">
        <v>360</v>
      </c>
      <c r="AE131" s="5" t="s">
        <v>360</v>
      </c>
      <c r="AF131" s="5" t="s">
        <v>360</v>
      </c>
      <c r="AG131" s="5" t="s">
        <v>360</v>
      </c>
      <c r="AH131" s="4" t="s">
        <v>360</v>
      </c>
      <c r="AI131" s="2" t="str">
        <f>IF(Tabla_Decretos[[#This Row],[id_padre]]=Tabla_Decretos[[#This Row],[Id]],"NOK","OK")</f>
        <v>OK</v>
      </c>
      <c r="AJ131" s="2"/>
      <c r="AK131" s="2"/>
      <c r="AL131" s="2"/>
      <c r="AM131" s="2"/>
      <c r="AN131" s="2"/>
    </row>
    <row r="132" spans="1:40" hidden="1" x14ac:dyDescent="0.5">
      <c r="A132" s="2">
        <f>MAX(Tabla_Compras[Id])</f>
        <v>736</v>
      </c>
      <c r="B132" s="2">
        <v>858</v>
      </c>
      <c r="C132" s="5">
        <f>IF(Tabla_Decretos[[#This Row],[id_padre]]="",0,_xlfn.XLOOKUP(Tabla_Decretos[[#This Row],[id_padre]],Tabla_Decretos[Id],Tabla_Decretos[Nivel],0,0,1)+1)</f>
        <v>3</v>
      </c>
      <c r="D132" s="2" t="s">
        <v>744</v>
      </c>
      <c r="E132" s="2">
        <f>IF(Tabla_Decretos[[#This Row],[Id_anterior]]=1,ROW()-1,SUM(ROW()-1,Tabla_Decretos[[#This Row],[Id_anterior]]))</f>
        <v>867</v>
      </c>
      <c r="F13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DECRETOS_CONSULTAS_PROYECTOS_RELACION_CONTRATOS_INTERNOS</v>
      </c>
      <c r="G132" s="2" t="str">
        <f>CLEAN(PROPER(Tabla_Decretos[[#This Row],[Nombre Opción]]))</f>
        <v>Relacion De Contratos Internos</v>
      </c>
      <c r="H132" s="2" t="s">
        <v>1735</v>
      </c>
      <c r="I132" s="2" t="str">
        <f>_xlfn.XLOOKUP(Tabla_Decretos[[#This Row],[id_padre]],Tabla_Decretos[Id],Tabla_Decretos[Codigo_Tecnico],"",0,1)</f>
        <v>DECRETOS_CONSULTAS_PROYECTOS</v>
      </c>
      <c r="J13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/decretos/consultas/proyectos/relacion-contratos-internos</v>
      </c>
      <c r="K13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relacion-contratos-internos</v>
      </c>
      <c r="L132" s="2" t="s">
        <v>1389</v>
      </c>
      <c r="M132" t="s">
        <v>1799</v>
      </c>
      <c r="P132" s="4"/>
      <c r="R132" s="4"/>
      <c r="S132" s="4"/>
      <c r="AB132" s="5" t="s">
        <v>360</v>
      </c>
      <c r="AC132" s="5" t="s">
        <v>360</v>
      </c>
      <c r="AD132" s="5" t="s">
        <v>360</v>
      </c>
      <c r="AE132" s="5" t="s">
        <v>360</v>
      </c>
      <c r="AF132" s="5" t="s">
        <v>360</v>
      </c>
      <c r="AG132" s="5" t="s">
        <v>360</v>
      </c>
      <c r="AH132" s="4" t="s">
        <v>360</v>
      </c>
      <c r="AI132" s="2" t="str">
        <f>IF(Tabla_Decretos[[#This Row],[id_padre]]=Tabla_Decretos[[#This Row],[Id]],"NOK","OK")</f>
        <v>OK</v>
      </c>
      <c r="AJ132" s="2"/>
      <c r="AK132" s="2"/>
      <c r="AL132" s="2"/>
      <c r="AM132" s="2"/>
      <c r="AN132" s="2"/>
    </row>
    <row r="133" spans="1:40" hidden="1" x14ac:dyDescent="0.5">
      <c r="A133" s="2">
        <f>MAX(Tabla_Compras[Id])</f>
        <v>736</v>
      </c>
      <c r="B133" s="2">
        <v>743</v>
      </c>
      <c r="C133" s="5">
        <f>IF(Tabla_Decretos[[#This Row],[id_padre]]="",0,_xlfn.XLOOKUP(Tabla_Decretos[[#This Row],[id_padre]],Tabla_Decretos[Id],Tabla_Decretos[Nivel],0,0,1)+1)</f>
        <v>2</v>
      </c>
      <c r="D133" s="2" t="s">
        <v>745</v>
      </c>
      <c r="E133" s="2">
        <f>IF(Tabla_Decretos[[#This Row],[Id_anterior]]=1,ROW()-1,SUM(ROW()-1,Tabla_Decretos[[#This Row],[Id_anterior]]))</f>
        <v>868</v>
      </c>
      <c r="F13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</v>
      </c>
      <c r="G133" s="2" t="str">
        <f>CLEAN(PROPER(Tabla_Decretos[[#This Row],[Nombre Opción]]))</f>
        <v>Casos F.M.S</v>
      </c>
      <c r="H133" s="2" t="s">
        <v>1735</v>
      </c>
      <c r="I133" s="2" t="str">
        <f>_xlfn.XLOOKUP(Tabla_Decretos[[#This Row],[id_padre]],Tabla_Decretos[Id],Tabla_Decretos[Codigo_Tecnico],"",0,1)</f>
        <v>DECRETOS_CONSULTAS</v>
      </c>
      <c r="J13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</v>
      </c>
      <c r="K13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casos-fms</v>
      </c>
      <c r="L133" s="2" t="s">
        <v>1577</v>
      </c>
      <c r="M133" t="s">
        <v>1799</v>
      </c>
      <c r="P133" s="4"/>
      <c r="R133" s="4"/>
      <c r="S133" s="4" t="s">
        <v>360</v>
      </c>
      <c r="T133" s="4" t="s">
        <v>360</v>
      </c>
      <c r="U133" s="4" t="s">
        <v>360</v>
      </c>
      <c r="V133" s="4" t="s">
        <v>360</v>
      </c>
      <c r="W133" s="4" t="s">
        <v>360</v>
      </c>
      <c r="X133" s="4" t="s">
        <v>360</v>
      </c>
      <c r="Y133" s="4" t="s">
        <v>360</v>
      </c>
      <c r="Z133" s="4" t="s">
        <v>360</v>
      </c>
      <c r="AA133" s="4" t="s">
        <v>360</v>
      </c>
      <c r="AB133" s="5"/>
      <c r="AC133" s="5"/>
      <c r="AD133" s="5"/>
      <c r="AE133" s="5"/>
      <c r="AF133" s="5"/>
      <c r="AG133" s="5"/>
      <c r="AH133" s="4" t="s">
        <v>360</v>
      </c>
      <c r="AI133" s="2" t="str">
        <f>IF(Tabla_Decretos[[#This Row],[id_padre]]=Tabla_Decretos[[#This Row],[Id]],"NOK","OK")</f>
        <v>OK</v>
      </c>
      <c r="AJ133" s="2"/>
      <c r="AK133" s="2"/>
      <c r="AL133" s="2"/>
      <c r="AM133" s="2"/>
      <c r="AN133" s="2"/>
    </row>
    <row r="134" spans="1:40" hidden="1" x14ac:dyDescent="0.5">
      <c r="A134" s="2">
        <f>MAX(Tabla_Compras[Id])</f>
        <v>736</v>
      </c>
      <c r="B134" s="2">
        <v>868</v>
      </c>
      <c r="C134" s="5">
        <f>IF(Tabla_Decretos[[#This Row],[id_padre]]="",0,_xlfn.XLOOKUP(Tabla_Decretos[[#This Row],[id_padre]],Tabla_Decretos[Id],Tabla_Decretos[Nivel],0,0,1)+1)</f>
        <v>3</v>
      </c>
      <c r="D134" s="2" t="s">
        <v>746</v>
      </c>
      <c r="E134" s="2">
        <f>IF(Tabla_Decretos[[#This Row],[Id_anterior]]=1,ROW()-1,SUM(ROW()-1,Tabla_Decretos[[#This Row],[Id_anterior]]))</f>
        <v>869</v>
      </c>
      <c r="F13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DECRETOS_CONSULTAS_CASOS_FMS_ANTECEDENTES_ESPECIFICOS_CASO_FMS</v>
      </c>
      <c r="G134" s="2" t="str">
        <f>CLEAN(PROPER(Tabla_Decretos[[#This Row],[Nombre Opción]]))</f>
        <v>Antecedentes Especificos Caso Fms</v>
      </c>
      <c r="H134" s="2" t="s">
        <v>1735</v>
      </c>
      <c r="I134" s="2" t="str">
        <f>_xlfn.XLOOKUP(Tabla_Decretos[[#This Row],[id_padre]],Tabla_Decretos[Id],Tabla_Decretos[Codigo_Tecnico],"",0,1)</f>
        <v>DECRETOS_CONSULTAS_CASOS_FMS</v>
      </c>
      <c r="J13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/decretos/consultas/casos-fms/antecedentes-especificos-caso-fms</v>
      </c>
      <c r="K13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antecedentes-especificos-caso-fms</v>
      </c>
      <c r="L134" s="2" t="s">
        <v>1333</v>
      </c>
      <c r="M134" t="s">
        <v>1799</v>
      </c>
      <c r="P134" s="4"/>
      <c r="R134" s="4"/>
      <c r="S134" s="4" t="s">
        <v>360</v>
      </c>
      <c r="T134" s="4" t="s">
        <v>360</v>
      </c>
      <c r="U134" s="4" t="s">
        <v>360</v>
      </c>
      <c r="V134" s="4" t="s">
        <v>360</v>
      </c>
      <c r="W134" s="4" t="s">
        <v>360</v>
      </c>
      <c r="X134" s="4" t="s">
        <v>360</v>
      </c>
      <c r="Y134" s="4" t="s">
        <v>360</v>
      </c>
      <c r="Z134" s="4" t="s">
        <v>360</v>
      </c>
      <c r="AA134" s="4" t="s">
        <v>360</v>
      </c>
      <c r="AB134" s="5"/>
      <c r="AC134" s="5"/>
      <c r="AD134" s="5"/>
      <c r="AE134" s="5"/>
      <c r="AF134" s="5"/>
      <c r="AG134" s="5"/>
      <c r="AH134" s="4" t="s">
        <v>360</v>
      </c>
      <c r="AI134" s="2" t="str">
        <f>IF(Tabla_Decretos[[#This Row],[id_padre]]=Tabla_Decretos[[#This Row],[Id]],"NOK","OK")</f>
        <v>OK</v>
      </c>
      <c r="AJ134" s="2"/>
      <c r="AK134" s="2"/>
      <c r="AL134" s="2"/>
      <c r="AM134" s="2"/>
      <c r="AN134" s="2"/>
    </row>
    <row r="135" spans="1:40" hidden="1" x14ac:dyDescent="0.5">
      <c r="A135" s="2">
        <f>MAX(Tabla_Compras[Id])</f>
        <v>736</v>
      </c>
      <c r="B135" s="2">
        <v>868</v>
      </c>
      <c r="C135" s="5">
        <f>IF(Tabla_Decretos[[#This Row],[id_padre]]="",0,_xlfn.XLOOKUP(Tabla_Decretos[[#This Row],[id_padre]],Tabla_Decretos[Id],Tabla_Decretos[Nivel],0,0,1)+1)</f>
        <v>3</v>
      </c>
      <c r="D135" s="2" t="s">
        <v>747</v>
      </c>
      <c r="E135" s="2">
        <f>IF(Tabla_Decretos[[#This Row],[Id_anterior]]=1,ROW()-1,SUM(ROW()-1,Tabla_Decretos[[#This Row],[Id_anterior]]))</f>
        <v>870</v>
      </c>
      <c r="F13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DECRETOS_CONSULTAS_CASOS_FMS_SITUACION_LINEAS_LOA</v>
      </c>
      <c r="G135" s="2" t="str">
        <f>CLEAN(PROPER(Tabla_Decretos[[#This Row],[Nombre Opción]]))</f>
        <v>Situacion Lineas De La Loa</v>
      </c>
      <c r="H135" s="2" t="s">
        <v>1735</v>
      </c>
      <c r="I135" s="2" t="str">
        <f>_xlfn.XLOOKUP(Tabla_Decretos[[#This Row],[id_padre]],Tabla_Decretos[Id],Tabla_Decretos[Codigo_Tecnico],"",0,1)</f>
        <v>DECRETOS_CONSULTAS_CASOS_FMS</v>
      </c>
      <c r="J13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/decretos/consultas/casos-fms/situacion-lineas-loa</v>
      </c>
      <c r="K13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situacion-lineas-loa</v>
      </c>
      <c r="L135" s="2" t="s">
        <v>1487</v>
      </c>
      <c r="M135" t="s">
        <v>1799</v>
      </c>
      <c r="P135" s="4"/>
      <c r="R135" s="4"/>
      <c r="S135" s="4" t="s">
        <v>360</v>
      </c>
      <c r="T135" s="4" t="s">
        <v>360</v>
      </c>
      <c r="U135" s="4" t="s">
        <v>360</v>
      </c>
      <c r="V135" s="4" t="s">
        <v>360</v>
      </c>
      <c r="W135" s="4" t="s">
        <v>360</v>
      </c>
      <c r="X135" s="4" t="s">
        <v>360</v>
      </c>
      <c r="Y135" s="4" t="s">
        <v>360</v>
      </c>
      <c r="Z135" s="4" t="s">
        <v>360</v>
      </c>
      <c r="AA135" s="4" t="s">
        <v>360</v>
      </c>
      <c r="AB135" s="5"/>
      <c r="AC135" s="5"/>
      <c r="AD135" s="5"/>
      <c r="AE135" s="5"/>
      <c r="AF135" s="5"/>
      <c r="AG135" s="5"/>
      <c r="AH135" s="4" t="s">
        <v>360</v>
      </c>
      <c r="AI135" s="2" t="str">
        <f>IF(Tabla_Decretos[[#This Row],[id_padre]]=Tabla_Decretos[[#This Row],[Id]],"NOK","OK")</f>
        <v>OK</v>
      </c>
      <c r="AJ135" s="2"/>
      <c r="AK135" s="2"/>
      <c r="AL135" s="2"/>
      <c r="AM135" s="2"/>
      <c r="AN135" s="2"/>
    </row>
    <row r="136" spans="1:40" hidden="1" x14ac:dyDescent="0.5">
      <c r="A136" s="2">
        <f>MAX(Tabla_Compras[Id])</f>
        <v>736</v>
      </c>
      <c r="B136" s="2">
        <v>868</v>
      </c>
      <c r="C136" s="5">
        <f>IF(Tabla_Decretos[[#This Row],[id_padre]]="",0,_xlfn.XLOOKUP(Tabla_Decretos[[#This Row],[id_padre]],Tabla_Decretos[Id],Tabla_Decretos[Nivel],0,0,1)+1)</f>
        <v>3</v>
      </c>
      <c r="D136" s="2" t="s">
        <v>748</v>
      </c>
      <c r="E136" s="2">
        <f>IF(Tabla_Decretos[[#This Row],[Id_anterior]]=1,ROW()-1,SUM(ROW()-1,Tabla_Decretos[[#This Row],[Id_anterior]]))</f>
        <v>871</v>
      </c>
      <c r="F13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DECRETOS_CONSULTAS_CASOS_FMS_SITUACION_PPARIA_LINEAS_LOA</v>
      </c>
      <c r="G136" s="2" t="str">
        <f>CLEAN(PROPER(Tabla_Decretos[[#This Row],[Nombre Opción]]))</f>
        <v>Situacion Pparia Lineas De La Loa</v>
      </c>
      <c r="H136" s="2" t="s">
        <v>1735</v>
      </c>
      <c r="I136" s="2" t="str">
        <f>_xlfn.XLOOKUP(Tabla_Decretos[[#This Row],[id_padre]],Tabla_Decretos[Id],Tabla_Decretos[Codigo_Tecnico],"",0,1)</f>
        <v>DECRETOS_CONSULTAS_CASOS_FMS</v>
      </c>
      <c r="J13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/decretos/consultas/casos-fms/situacion-pparia-lineas-loa</v>
      </c>
      <c r="K13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situacion-pparia-lineas-loa</v>
      </c>
      <c r="L136" s="2" t="s">
        <v>1395</v>
      </c>
      <c r="M136" t="s">
        <v>1799</v>
      </c>
      <c r="P136" s="4"/>
      <c r="R136" s="4"/>
      <c r="S136" s="4" t="s">
        <v>360</v>
      </c>
      <c r="T136" s="4" t="s">
        <v>360</v>
      </c>
      <c r="U136" s="4" t="s">
        <v>360</v>
      </c>
      <c r="V136" s="4" t="s">
        <v>360</v>
      </c>
      <c r="W136" s="4" t="s">
        <v>360</v>
      </c>
      <c r="X136" s="4" t="s">
        <v>360</v>
      </c>
      <c r="Y136" s="4" t="s">
        <v>360</v>
      </c>
      <c r="Z136" s="4" t="s">
        <v>360</v>
      </c>
      <c r="AA136" s="4" t="s">
        <v>360</v>
      </c>
      <c r="AB136" s="5"/>
      <c r="AC136" s="5"/>
      <c r="AD136" s="5"/>
      <c r="AE136" s="5"/>
      <c r="AF136" s="5"/>
      <c r="AG136" s="5"/>
      <c r="AH136" s="4" t="s">
        <v>360</v>
      </c>
      <c r="AI136" s="2" t="str">
        <f>IF(Tabla_Decretos[[#This Row],[id_padre]]=Tabla_Decretos[[#This Row],[Id]],"NOK","OK")</f>
        <v>OK</v>
      </c>
      <c r="AJ136" s="2"/>
      <c r="AK136" s="2"/>
      <c r="AL136" s="2"/>
      <c r="AM136" s="2"/>
      <c r="AN136" s="2"/>
    </row>
    <row r="137" spans="1:40" hidden="1" x14ac:dyDescent="0.5">
      <c r="A137" s="2">
        <f>MAX(Tabla_Compras[Id])</f>
        <v>736</v>
      </c>
      <c r="B137" s="2">
        <v>868</v>
      </c>
      <c r="C137" s="5">
        <f>IF(Tabla_Decretos[[#This Row],[id_padre]]="",0,_xlfn.XLOOKUP(Tabla_Decretos[[#This Row],[id_padre]],Tabla_Decretos[Id],Tabla_Decretos[Nivel],0,0,1)+1)</f>
        <v>3</v>
      </c>
      <c r="D137" s="2" t="s">
        <v>755</v>
      </c>
      <c r="E137" s="2">
        <f>IF(Tabla_Decretos[[#This Row],[Id_anterior]]=1,ROW()-1,SUM(ROW()-1,Tabla_Decretos[[#This Row],[Id_anterior]]))</f>
        <v>872</v>
      </c>
      <c r="F13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DECRETOS_CONSULTAS_CASOS_FMS_SITUACION_PPARIA_CUOTAS</v>
      </c>
      <c r="G137" s="2" t="str">
        <f>CLEAN(PROPER(Tabla_Decretos[[#This Row],[Nombre Opción]]))</f>
        <v>Situacion Pparia Cuotas</v>
      </c>
      <c r="H137" s="2" t="s">
        <v>1735</v>
      </c>
      <c r="I137" s="2" t="str">
        <f>_xlfn.XLOOKUP(Tabla_Decretos[[#This Row],[id_padre]],Tabla_Decretos[Id],Tabla_Decretos[Codigo_Tecnico],"",0,1)</f>
        <v>DECRETOS_CONSULTAS_CASOS_FMS</v>
      </c>
      <c r="J13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/decretos/consultas/casos-fms/situacion-pparia-cuotas</v>
      </c>
      <c r="K13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situacion-pparia-cuotas</v>
      </c>
      <c r="L137" s="2" t="s">
        <v>1411</v>
      </c>
      <c r="M137" t="s">
        <v>1799</v>
      </c>
      <c r="P137" s="4"/>
      <c r="R137" s="4"/>
      <c r="S137" s="4" t="s">
        <v>360</v>
      </c>
      <c r="T137" s="4" t="s">
        <v>360</v>
      </c>
      <c r="U137" s="4" t="s">
        <v>360</v>
      </c>
      <c r="V137" s="4" t="s">
        <v>360</v>
      </c>
      <c r="W137" s="4" t="s">
        <v>360</v>
      </c>
      <c r="X137" s="4" t="s">
        <v>360</v>
      </c>
      <c r="Y137" s="4" t="s">
        <v>360</v>
      </c>
      <c r="Z137" s="4" t="s">
        <v>360</v>
      </c>
      <c r="AA137" s="4" t="s">
        <v>360</v>
      </c>
      <c r="AB137" s="5"/>
      <c r="AC137" s="5"/>
      <c r="AD137" s="5"/>
      <c r="AE137" s="5"/>
      <c r="AF137" s="5"/>
      <c r="AG137" s="5"/>
      <c r="AH137" s="4" t="s">
        <v>360</v>
      </c>
      <c r="AI137" s="2" t="str">
        <f>IF(Tabla_Decretos[[#This Row],[id_padre]]=Tabla_Decretos[[#This Row],[Id]],"NOK","OK")</f>
        <v>OK</v>
      </c>
      <c r="AJ137" s="2"/>
      <c r="AK137" s="2"/>
      <c r="AL137" s="2"/>
      <c r="AM137" s="2"/>
      <c r="AN137" s="2"/>
    </row>
    <row r="138" spans="1:40" hidden="1" x14ac:dyDescent="0.5">
      <c r="A138" s="2">
        <f>MAX(Tabla_Compras[Id])</f>
        <v>736</v>
      </c>
      <c r="B138" s="2">
        <v>868</v>
      </c>
      <c r="C138" s="5">
        <f>IF(Tabla_Decretos[[#This Row],[id_padre]]="",0,_xlfn.XLOOKUP(Tabla_Decretos[[#This Row],[id_padre]],Tabla_Decretos[Id],Tabla_Decretos[Nivel],0,0,1)+1)</f>
        <v>3</v>
      </c>
      <c r="D138" s="2" t="s">
        <v>749</v>
      </c>
      <c r="E138" s="2">
        <f>IF(Tabla_Decretos[[#This Row],[Id_anterior]]=1,ROW()-1,SUM(ROW()-1,Tabla_Decretos[[#This Row],[Id_anterior]]))</f>
        <v>873</v>
      </c>
      <c r="F13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DECRETOS_CONSULTAS_CASOS_FMS_INFORMES_FINANCIEROS_ESPECIFICO</v>
      </c>
      <c r="G138" s="2" t="str">
        <f>CLEAN(PROPER(Tabla_Decretos[[#This Row],[Nombre Opción]]))</f>
        <v>Informes Financieros Especifico</v>
      </c>
      <c r="H138" s="2" t="s">
        <v>1735</v>
      </c>
      <c r="I138" s="2" t="str">
        <f>_xlfn.XLOOKUP(Tabla_Decretos[[#This Row],[id_padre]],Tabla_Decretos[Id],Tabla_Decretos[Codigo_Tecnico],"",0,1)</f>
        <v>DECRETOS_CONSULTAS_CASOS_FMS</v>
      </c>
      <c r="J13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/decretos/consultas/casos-fms/informes-financieros-especifico</v>
      </c>
      <c r="K13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informes-financieros-especifico</v>
      </c>
      <c r="L138" s="2" t="s">
        <v>1415</v>
      </c>
      <c r="M138" t="s">
        <v>1799</v>
      </c>
      <c r="P138" s="4"/>
      <c r="R138" s="4"/>
      <c r="S138" s="4" t="s">
        <v>360</v>
      </c>
      <c r="T138" s="4" t="s">
        <v>360</v>
      </c>
      <c r="U138" s="4" t="s">
        <v>360</v>
      </c>
      <c r="V138" s="4" t="s">
        <v>360</v>
      </c>
      <c r="W138" s="4" t="s">
        <v>360</v>
      </c>
      <c r="X138" s="4" t="s">
        <v>360</v>
      </c>
      <c r="Y138" s="4" t="s">
        <v>360</v>
      </c>
      <c r="Z138" s="4" t="s">
        <v>360</v>
      </c>
      <c r="AA138" s="4" t="s">
        <v>360</v>
      </c>
      <c r="AB138" s="5"/>
      <c r="AC138" s="5"/>
      <c r="AD138" s="5"/>
      <c r="AE138" s="5"/>
      <c r="AF138" s="5"/>
      <c r="AG138" s="5"/>
      <c r="AH138" s="4" t="s">
        <v>360</v>
      </c>
      <c r="AI138" s="2" t="str">
        <f>IF(Tabla_Decretos[[#This Row],[id_padre]]=Tabla_Decretos[[#This Row],[Id]],"NOK","OK")</f>
        <v>OK</v>
      </c>
      <c r="AJ138" s="2"/>
      <c r="AK138" s="2"/>
      <c r="AL138" s="2"/>
      <c r="AM138" s="2"/>
      <c r="AN138" s="2"/>
    </row>
    <row r="139" spans="1:40" hidden="1" x14ac:dyDescent="0.5">
      <c r="A139" s="2">
        <f>MAX(Tabla_Compras[Id])</f>
        <v>736</v>
      </c>
      <c r="B139" s="2">
        <v>868</v>
      </c>
      <c r="C139" s="5">
        <f>IF(Tabla_Decretos[[#This Row],[id_padre]]="",0,_xlfn.XLOOKUP(Tabla_Decretos[[#This Row],[id_padre]],Tabla_Decretos[Id],Tabla_Decretos[Nivel],0,0,1)+1)</f>
        <v>3</v>
      </c>
      <c r="D139" s="2" t="s">
        <v>713</v>
      </c>
      <c r="E139" s="2">
        <f>IF(Tabla_Decretos[[#This Row],[Id_anterior]]=1,ROW()-1,SUM(ROW()-1,Tabla_Decretos[[#This Row],[Id_anterior]]))</f>
        <v>874</v>
      </c>
      <c r="F13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DECRETOS_CONSULTAS_CASOS_FMS_HOLDING_ACCOUNT</v>
      </c>
      <c r="G139" s="2" t="str">
        <f>CLEAN(PROPER(Tabla_Decretos[[#This Row],[Nombre Opción]]))</f>
        <v>Holding Account</v>
      </c>
      <c r="H139" s="2" t="s">
        <v>1735</v>
      </c>
      <c r="I139" s="2" t="str">
        <f>_xlfn.XLOOKUP(Tabla_Decretos[[#This Row],[id_padre]],Tabla_Decretos[Id],Tabla_Decretos[Codigo_Tecnico],"",0,1)</f>
        <v>DECRETOS_CONSULTAS_CASOS_FMS</v>
      </c>
      <c r="J13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/decretos/consultas/casos-fms/holding-account</v>
      </c>
      <c r="K13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holding-account</v>
      </c>
      <c r="L139" s="2" t="s">
        <v>1371</v>
      </c>
      <c r="M139" t="s">
        <v>1799</v>
      </c>
      <c r="P139" s="4"/>
      <c r="R139" s="4"/>
      <c r="S139" s="4" t="s">
        <v>360</v>
      </c>
      <c r="T139" s="4" t="s">
        <v>360</v>
      </c>
      <c r="U139" s="4" t="s">
        <v>360</v>
      </c>
      <c r="V139" s="4" t="s">
        <v>360</v>
      </c>
      <c r="W139" s="4" t="s">
        <v>360</v>
      </c>
      <c r="X139" s="4" t="s">
        <v>360</v>
      </c>
      <c r="Y139" s="4" t="s">
        <v>360</v>
      </c>
      <c r="Z139" s="4" t="s">
        <v>360</v>
      </c>
      <c r="AA139" s="4" t="s">
        <v>360</v>
      </c>
      <c r="AB139" s="5"/>
      <c r="AC139" s="5"/>
      <c r="AD139" s="5"/>
      <c r="AE139" s="5"/>
      <c r="AF139" s="5"/>
      <c r="AG139" s="5"/>
      <c r="AH139" s="4" t="s">
        <v>360</v>
      </c>
      <c r="AI139" s="2" t="str">
        <f>IF(Tabla_Decretos[[#This Row],[id_padre]]=Tabla_Decretos[[#This Row],[Id]],"NOK","OK")</f>
        <v>OK</v>
      </c>
      <c r="AJ139" s="2"/>
      <c r="AK139" s="2"/>
      <c r="AL139" s="2"/>
      <c r="AM139" s="2"/>
      <c r="AN139" s="2"/>
    </row>
    <row r="140" spans="1:40" hidden="1" x14ac:dyDescent="0.5">
      <c r="A140" s="2">
        <f>MAX(Tabla_Compras[Id])</f>
        <v>736</v>
      </c>
      <c r="B140" s="2">
        <v>868</v>
      </c>
      <c r="C140" s="5">
        <f>IF(Tabla_Decretos[[#This Row],[id_padre]]="",0,_xlfn.XLOOKUP(Tabla_Decretos[[#This Row],[id_padre]],Tabla_Decretos[Id],Tabla_Decretos[Nivel],0,0,1)+1)</f>
        <v>3</v>
      </c>
      <c r="D140" s="2" t="s">
        <v>750</v>
      </c>
      <c r="E140" s="2">
        <f>IF(Tabla_Decretos[[#This Row],[Id_anterior]]=1,ROW()-1,SUM(ROW()-1,Tabla_Decretos[[#This Row],[Id_anterior]]))</f>
        <v>875</v>
      </c>
      <c r="F14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DECRETOS_CONSULTAS_CASOS_FMS_RELACION_CASO_FMS</v>
      </c>
      <c r="G140" s="2" t="str">
        <f>CLEAN(PROPER(Tabla_Decretos[[#This Row],[Nombre Opción]]))</f>
        <v>Relacion De Caso Fms</v>
      </c>
      <c r="H140" s="2" t="s">
        <v>1735</v>
      </c>
      <c r="I140" s="2" t="str">
        <f>_xlfn.XLOOKUP(Tabla_Decretos[[#This Row],[id_padre]],Tabla_Decretos[Id],Tabla_Decretos[Codigo_Tecnico],"",0,1)</f>
        <v>DECRETOS_CONSULTAS_CASOS_FMS</v>
      </c>
      <c r="J14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/decretos/consultas/casos-fms/relacion-caso-fms</v>
      </c>
      <c r="K14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relacion-caso-fms</v>
      </c>
      <c r="L140" s="2" t="s">
        <v>1549</v>
      </c>
      <c r="M140" t="s">
        <v>1799</v>
      </c>
      <c r="P140" s="4"/>
      <c r="R140" s="4"/>
      <c r="S140" s="4" t="s">
        <v>360</v>
      </c>
      <c r="T140" s="4" t="s">
        <v>360</v>
      </c>
      <c r="U140" s="4" t="s">
        <v>360</v>
      </c>
      <c r="V140" s="4" t="s">
        <v>360</v>
      </c>
      <c r="W140" s="4" t="s">
        <v>360</v>
      </c>
      <c r="X140" s="4" t="s">
        <v>360</v>
      </c>
      <c r="Y140" s="4" t="s">
        <v>360</v>
      </c>
      <c r="Z140" s="4" t="s">
        <v>360</v>
      </c>
      <c r="AA140" s="4" t="s">
        <v>360</v>
      </c>
      <c r="AB140" s="5"/>
      <c r="AC140" s="5"/>
      <c r="AD140" s="5"/>
      <c r="AE140" s="5"/>
      <c r="AF140" s="5"/>
      <c r="AG140" s="5"/>
      <c r="AH140" s="4" t="s">
        <v>360</v>
      </c>
      <c r="AI140" s="2" t="str">
        <f>IF(Tabla_Decretos[[#This Row],[id_padre]]=Tabla_Decretos[[#This Row],[Id]],"NOK","OK")</f>
        <v>OK</v>
      </c>
      <c r="AJ140" s="2"/>
      <c r="AK140" s="2"/>
      <c r="AL140" s="2"/>
      <c r="AM140" s="2"/>
      <c r="AN140" s="2"/>
    </row>
    <row r="141" spans="1:40" hidden="1" x14ac:dyDescent="0.5">
      <c r="A141" s="2">
        <f>MAX(Tabla_Compras[Id])</f>
        <v>736</v>
      </c>
      <c r="B141" s="2">
        <v>868</v>
      </c>
      <c r="C141" s="5">
        <f>IF(Tabla_Decretos[[#This Row],[id_padre]]="",0,_xlfn.XLOOKUP(Tabla_Decretos[[#This Row],[id_padre]],Tabla_Decretos[Id],Tabla_Decretos[Nivel],0,0,1)+1)</f>
        <v>3</v>
      </c>
      <c r="D141" s="2" t="s">
        <v>751</v>
      </c>
      <c r="E141" s="2">
        <f>IF(Tabla_Decretos[[#This Row],[Id_anterior]]=1,ROW()-1,SUM(ROW()-1,Tabla_Decretos[[#This Row],[Id_anterior]]))</f>
        <v>876</v>
      </c>
      <c r="F14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DECRETOS_CONSULTAS_CASOS_FMS_RELACIONDE_ENMIENDAS_CASO_FMS</v>
      </c>
      <c r="G141" s="2" t="str">
        <f>CLEAN(PROPER(Tabla_Decretos[[#This Row],[Nombre Opción]]))</f>
        <v>Relacionde Enmiendas Caso Fms</v>
      </c>
      <c r="H141" s="2" t="s">
        <v>1735</v>
      </c>
      <c r="I141" s="2" t="str">
        <f>_xlfn.XLOOKUP(Tabla_Decretos[[#This Row],[id_padre]],Tabla_Decretos[Id],Tabla_Decretos[Codigo_Tecnico],"",0,1)</f>
        <v>DECRETOS_CONSULTAS_CASOS_FMS</v>
      </c>
      <c r="J14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/decretos/consultas/casos-fms/relacionde-enmiendas-caso-fms</v>
      </c>
      <c r="K14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relacionde-enmiendas-caso-fms</v>
      </c>
      <c r="L141" s="2" t="s">
        <v>1472</v>
      </c>
      <c r="M141" t="s">
        <v>1799</v>
      </c>
      <c r="P141" s="4"/>
      <c r="R141" s="4"/>
      <c r="S141" s="4" t="s">
        <v>360</v>
      </c>
      <c r="T141" s="4" t="s">
        <v>360</v>
      </c>
      <c r="U141" s="4" t="s">
        <v>360</v>
      </c>
      <c r="V141" s="4" t="s">
        <v>360</v>
      </c>
      <c r="W141" s="4" t="s">
        <v>360</v>
      </c>
      <c r="X141" s="4" t="s">
        <v>360</v>
      </c>
      <c r="Y141" s="4" t="s">
        <v>360</v>
      </c>
      <c r="Z141" s="4" t="s">
        <v>360</v>
      </c>
      <c r="AA141" s="4" t="s">
        <v>360</v>
      </c>
      <c r="AB141" s="5"/>
      <c r="AC141" s="5"/>
      <c r="AD141" s="5"/>
      <c r="AE141" s="5"/>
      <c r="AF141" s="5"/>
      <c r="AG141" s="5"/>
      <c r="AH141" s="4" t="s">
        <v>360</v>
      </c>
      <c r="AI141" s="2" t="str">
        <f>IF(Tabla_Decretos[[#This Row],[id_padre]]=Tabla_Decretos[[#This Row],[Id]],"NOK","OK")</f>
        <v>OK</v>
      </c>
      <c r="AJ141" s="2"/>
      <c r="AK141" s="2"/>
      <c r="AL141" s="2"/>
      <c r="AM141" s="2"/>
      <c r="AN141" s="2"/>
    </row>
    <row r="142" spans="1:40" hidden="1" x14ac:dyDescent="0.5">
      <c r="A142" s="2">
        <f>MAX(Tabla_Compras[Id])</f>
        <v>736</v>
      </c>
      <c r="B142" s="2">
        <v>868</v>
      </c>
      <c r="C142" s="5">
        <f>IF(Tabla_Decretos[[#This Row],[id_padre]]="",0,_xlfn.XLOOKUP(Tabla_Decretos[[#This Row],[id_padre]],Tabla_Decretos[Id],Tabla_Decretos[Nivel],0,0,1)+1)</f>
        <v>3</v>
      </c>
      <c r="D142" s="2" t="s">
        <v>752</v>
      </c>
      <c r="E142" s="2">
        <f>IF(Tabla_Decretos[[#This Row],[Id_anterior]]=1,ROW()-1,SUM(ROW()-1,Tabla_Decretos[[#This Row],[Id_anterior]]))</f>
        <v>877</v>
      </c>
      <c r="F14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DECRETOS_CONSULTAS_CASOS_FMS_RELACION_INFORMES_FINANCIEROS_ANUALES</v>
      </c>
      <c r="G142" s="2" t="str">
        <f>CLEAN(PROPER(Tabla_Decretos[[#This Row],[Nombre Opción]]))</f>
        <v>Relacion De Informes Financieros Anuales</v>
      </c>
      <c r="H142" s="2" t="s">
        <v>1735</v>
      </c>
      <c r="I142" s="2" t="str">
        <f>_xlfn.XLOOKUP(Tabla_Decretos[[#This Row],[id_padre]],Tabla_Decretos[Id],Tabla_Decretos[Codigo_Tecnico],"",0,1)</f>
        <v>DECRETOS_CONSULTAS_CASOS_FMS</v>
      </c>
      <c r="J14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/decretos/consultas/casos-fms/relacion-informes-financieros-anuales</v>
      </c>
      <c r="K14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relacion-informes-financieros-anuales</v>
      </c>
      <c r="L142" s="2" t="s">
        <v>1393</v>
      </c>
      <c r="M142" t="s">
        <v>1799</v>
      </c>
      <c r="P142" s="4"/>
      <c r="R142" s="4"/>
      <c r="S142" s="4" t="s">
        <v>360</v>
      </c>
      <c r="T142" s="4" t="s">
        <v>360</v>
      </c>
      <c r="U142" s="4" t="s">
        <v>360</v>
      </c>
      <c r="V142" s="4" t="s">
        <v>360</v>
      </c>
      <c r="W142" s="4" t="s">
        <v>360</v>
      </c>
      <c r="X142" s="4" t="s">
        <v>360</v>
      </c>
      <c r="Y142" s="4" t="s">
        <v>360</v>
      </c>
      <c r="Z142" s="4" t="s">
        <v>360</v>
      </c>
      <c r="AA142" s="4" t="s">
        <v>360</v>
      </c>
      <c r="AB142" s="5"/>
      <c r="AC142" s="5"/>
      <c r="AD142" s="5"/>
      <c r="AE142" s="5"/>
      <c r="AF142" s="5"/>
      <c r="AG142" s="5"/>
      <c r="AH142" s="4" t="s">
        <v>360</v>
      </c>
      <c r="AI142" s="2" t="str">
        <f>IF(Tabla_Decretos[[#This Row],[id_padre]]=Tabla_Decretos[[#This Row],[Id]],"NOK","OK")</f>
        <v>OK</v>
      </c>
      <c r="AJ142" s="2"/>
      <c r="AK142" s="2"/>
      <c r="AL142" s="2"/>
      <c r="AM142" s="2"/>
      <c r="AN142" s="2"/>
    </row>
    <row r="143" spans="1:40" hidden="1" x14ac:dyDescent="0.5">
      <c r="A143" s="2">
        <f>MAX(Tabla_Compras[Id])</f>
        <v>736</v>
      </c>
      <c r="B143" s="2">
        <v>868</v>
      </c>
      <c r="C143" s="5">
        <f>IF(Tabla_Decretos[[#This Row],[id_padre]]="",0,_xlfn.XLOOKUP(Tabla_Decretos[[#This Row],[id_padre]],Tabla_Decretos[Id],Tabla_Decretos[Nivel],0,0,1)+1)</f>
        <v>3</v>
      </c>
      <c r="D143" s="2" t="s">
        <v>753</v>
      </c>
      <c r="E143" s="2">
        <f>IF(Tabla_Decretos[[#This Row],[Id_anterior]]=1,ROW()-1,SUM(ROW()-1,Tabla_Decretos[[#This Row],[Id_anterior]]))</f>
        <v>878</v>
      </c>
      <c r="F14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DECRETOS_CONSULTAS_CASOS_FMS_RESUMEN_PRESUPUESTARIO_POR_CASO</v>
      </c>
      <c r="G143" s="2" t="str">
        <f>CLEAN(PROPER(Tabla_Decretos[[#This Row],[Nombre Opción]]))</f>
        <v>Resumen Presupuestario Por Caso</v>
      </c>
      <c r="H143" s="2" t="s">
        <v>1735</v>
      </c>
      <c r="I143" s="2" t="str">
        <f>_xlfn.XLOOKUP(Tabla_Decretos[[#This Row],[id_padre]],Tabla_Decretos[Id],Tabla_Decretos[Codigo_Tecnico],"",0,1)</f>
        <v>DECRETOS_CONSULTAS_CASOS_FMS</v>
      </c>
      <c r="J14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/decretos/consultas/casos-fms/resumen-presupuestario-por-caso</v>
      </c>
      <c r="K14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resumen-presupuestario-por-caso</v>
      </c>
      <c r="L143" s="2" t="s">
        <v>1387</v>
      </c>
      <c r="M143" t="s">
        <v>1799</v>
      </c>
      <c r="P143" s="4"/>
      <c r="R143" s="4"/>
      <c r="S143" s="4" t="s">
        <v>360</v>
      </c>
      <c r="T143" s="4" t="s">
        <v>360</v>
      </c>
      <c r="U143" s="4" t="s">
        <v>360</v>
      </c>
      <c r="V143" s="4" t="s">
        <v>360</v>
      </c>
      <c r="W143" s="4" t="s">
        <v>360</v>
      </c>
      <c r="X143" s="4" t="s">
        <v>360</v>
      </c>
      <c r="Y143" s="4" t="s">
        <v>360</v>
      </c>
      <c r="Z143" s="4" t="s">
        <v>360</v>
      </c>
      <c r="AA143" s="4" t="s">
        <v>360</v>
      </c>
      <c r="AB143" s="5"/>
      <c r="AC143" s="5"/>
      <c r="AD143" s="5"/>
      <c r="AE143" s="5"/>
      <c r="AF143" s="5"/>
      <c r="AG143" s="5"/>
      <c r="AH143" s="4" t="s">
        <v>360</v>
      </c>
      <c r="AI143" s="2" t="str">
        <f>IF(Tabla_Decretos[[#This Row],[id_padre]]=Tabla_Decretos[[#This Row],[Id]],"NOK","OK")</f>
        <v>OK</v>
      </c>
      <c r="AJ143" s="2"/>
      <c r="AK143" s="2"/>
      <c r="AL143" s="2"/>
      <c r="AM143" s="2"/>
      <c r="AN143" s="2"/>
    </row>
    <row r="144" spans="1:40" hidden="1" x14ac:dyDescent="0.5">
      <c r="A144" s="2">
        <f>MAX(Tabla_Compras[Id])</f>
        <v>736</v>
      </c>
      <c r="B144" s="2">
        <v>868</v>
      </c>
      <c r="C144" s="5">
        <f>IF(Tabla_Decretos[[#This Row],[id_padre]]="",0,_xlfn.XLOOKUP(Tabla_Decretos[[#This Row],[id_padre]],Tabla_Decretos[Id],Tabla_Decretos[Nivel],0,0,1)+1)</f>
        <v>3</v>
      </c>
      <c r="D144" s="2" t="s">
        <v>754</v>
      </c>
      <c r="E144" s="2">
        <f>IF(Tabla_Decretos[[#This Row],[Id_anterior]]=1,ROW()-1,SUM(ROW()-1,Tabla_Decretos[[#This Row],[Id_anterior]]))</f>
        <v>879</v>
      </c>
      <c r="F14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DECRETOS_CONSULTAS_CASOS_FMS_RESUMEN_PAGOS_POR_CASO</v>
      </c>
      <c r="G144" s="2" t="str">
        <f>CLEAN(PROPER(Tabla_Decretos[[#This Row],[Nombre Opción]]))</f>
        <v>Resumen Pagos Por Caso</v>
      </c>
      <c r="H144" s="2" t="s">
        <v>1735</v>
      </c>
      <c r="I144" s="2" t="str">
        <f>_xlfn.XLOOKUP(Tabla_Decretos[[#This Row],[id_padre]],Tabla_Decretos[Id],Tabla_Decretos[Codigo_Tecnico],"",0,1)</f>
        <v>DECRETOS_CONSULTAS_CASOS_FMS</v>
      </c>
      <c r="J14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/decretos/consultas/casos-fms/resumen-pagos-por-caso</v>
      </c>
      <c r="K14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resumen-pagos-por-caso</v>
      </c>
      <c r="L144" s="2" t="s">
        <v>1353</v>
      </c>
      <c r="M144" t="s">
        <v>1799</v>
      </c>
      <c r="P144" s="4"/>
      <c r="R144" s="4"/>
      <c r="S144" s="4" t="s">
        <v>360</v>
      </c>
      <c r="T144" s="4" t="s">
        <v>360</v>
      </c>
      <c r="U144" s="4" t="s">
        <v>360</v>
      </c>
      <c r="V144" s="4" t="s">
        <v>360</v>
      </c>
      <c r="W144" s="4" t="s">
        <v>360</v>
      </c>
      <c r="X144" s="4" t="s">
        <v>360</v>
      </c>
      <c r="Y144" s="4" t="s">
        <v>360</v>
      </c>
      <c r="Z144" s="4" t="s">
        <v>360</v>
      </c>
      <c r="AA144" s="4" t="s">
        <v>360</v>
      </c>
      <c r="AB144" s="5"/>
      <c r="AC144" s="5"/>
      <c r="AD144" s="5"/>
      <c r="AE144" s="5"/>
      <c r="AF144" s="5"/>
      <c r="AG144" s="5"/>
      <c r="AH144" s="4" t="s">
        <v>360</v>
      </c>
      <c r="AI144" s="2" t="str">
        <f>IF(Tabla_Decretos[[#This Row],[id_padre]]=Tabla_Decretos[[#This Row],[Id]],"NOK","OK")</f>
        <v>OK</v>
      </c>
      <c r="AJ144" s="2"/>
      <c r="AK144" s="2"/>
      <c r="AL144" s="2"/>
      <c r="AM144" s="2"/>
      <c r="AN144" s="2"/>
    </row>
    <row r="145" spans="1:40" hidden="1" x14ac:dyDescent="0.5">
      <c r="A145" s="2">
        <f>MAX(Tabla_Compras[Id])</f>
        <v>736</v>
      </c>
      <c r="B145" s="2">
        <v>743</v>
      </c>
      <c r="C145" s="5">
        <f>IF(Tabla_Decretos[[#This Row],[id_padre]]="",0,_xlfn.XLOOKUP(Tabla_Decretos[[#This Row],[id_padre]],Tabla_Decretos[Id],Tabla_Decretos[Nivel],0,0,1)+1)</f>
        <v>2</v>
      </c>
      <c r="D145" s="2" t="s">
        <v>715</v>
      </c>
      <c r="E145" s="2">
        <f>IF(Tabla_Decretos[[#This Row],[Id_anterior]]=1,ROW()-1,SUM(ROW()-1,Tabla_Decretos[[#This Row],[Id_anterior]]))</f>
        <v>880</v>
      </c>
      <c r="F14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DECRETOS_CONSULTAS_CONTRATOS</v>
      </c>
      <c r="G145" s="2" t="str">
        <f>CLEAN(PROPER(Tabla_Decretos[[#This Row],[Nombre Opción]]))</f>
        <v>Contratos</v>
      </c>
      <c r="H145" s="2" t="s">
        <v>1735</v>
      </c>
      <c r="I145" s="2" t="str">
        <f>_xlfn.XLOOKUP(Tabla_Decretos[[#This Row],[id_padre]],Tabla_Decretos[Id],Tabla_Decretos[Codigo_Tecnico],"",0,1)</f>
        <v>DECRETOS_CONSULTAS</v>
      </c>
      <c r="J14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/decretos/consultas/contratos</v>
      </c>
      <c r="K14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contratos</v>
      </c>
      <c r="L145" s="2" t="s">
        <v>1405</v>
      </c>
      <c r="M145" t="s">
        <v>1799</v>
      </c>
      <c r="P145" s="4"/>
      <c r="R145" s="4"/>
      <c r="S145" s="4"/>
      <c r="AB145" s="5" t="s">
        <v>360</v>
      </c>
      <c r="AC145" s="5" t="s">
        <v>360</v>
      </c>
      <c r="AD145" s="5"/>
      <c r="AE145" s="5"/>
      <c r="AF145" s="5"/>
      <c r="AG145" s="5" t="s">
        <v>360</v>
      </c>
      <c r="AH145" s="4" t="s">
        <v>360</v>
      </c>
      <c r="AI145" s="2" t="str">
        <f>IF(Tabla_Decretos[[#This Row],[id_padre]]=Tabla_Decretos[[#This Row],[Id]],"NOK","OK")</f>
        <v>OK</v>
      </c>
      <c r="AJ145" s="2"/>
      <c r="AK145" s="2"/>
      <c r="AL145" s="2"/>
      <c r="AM145" s="2"/>
      <c r="AN145" s="2"/>
    </row>
    <row r="146" spans="1:40" hidden="1" x14ac:dyDescent="0.5">
      <c r="A146" s="2">
        <f>MAX(Tabla_Compras[Id])</f>
        <v>736</v>
      </c>
      <c r="B146" s="2">
        <v>880</v>
      </c>
      <c r="C146" s="5">
        <f>IF(Tabla_Decretos[[#This Row],[id_padre]]="",0,_xlfn.XLOOKUP(Tabla_Decretos[[#This Row],[id_padre]],Tabla_Decretos[Id],Tabla_Decretos[Nivel],0,0,1)+1)</f>
        <v>3</v>
      </c>
      <c r="D146" s="2" t="s">
        <v>756</v>
      </c>
      <c r="E146" s="2">
        <f>IF(Tabla_Decretos[[#This Row],[Id_anterior]]=1,ROW()-1,SUM(ROW()-1,Tabla_Decretos[[#This Row],[Id_anterior]]))</f>
        <v>881</v>
      </c>
      <c r="F14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DECRETOS_CONSULTAS_CONTRATOS_RELACION_CONTRATOS_COMANDO_LOGISTICO</v>
      </c>
      <c r="G146" s="2" t="str">
        <f>CLEAN(PROPER(Tabla_Decretos[[#This Row],[Nombre Opción]]))</f>
        <v>Relacion De Contratos Comando Logistico</v>
      </c>
      <c r="H146" s="2" t="s">
        <v>1735</v>
      </c>
      <c r="I146" s="2" t="str">
        <f>_xlfn.XLOOKUP(Tabla_Decretos[[#This Row],[id_padre]],Tabla_Decretos[Id],Tabla_Decretos[Codigo_Tecnico],"",0,1)</f>
        <v>DECRETOS_CONSULTAS_CONTRATOS</v>
      </c>
      <c r="J14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/decretos/consultas/contratos/relacion-contratos-comando-logistico</v>
      </c>
      <c r="K14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relacion-contratos-comando-logistico</v>
      </c>
      <c r="L146" s="2" t="s">
        <v>1348</v>
      </c>
      <c r="M146" t="s">
        <v>1799</v>
      </c>
      <c r="P146" s="4"/>
      <c r="R146" s="4"/>
      <c r="S146" s="4"/>
      <c r="AB146" s="5" t="s">
        <v>360</v>
      </c>
      <c r="AC146" s="5" t="s">
        <v>360</v>
      </c>
      <c r="AD146" s="5"/>
      <c r="AE146" s="5"/>
      <c r="AF146" s="5"/>
      <c r="AG146" s="5" t="s">
        <v>360</v>
      </c>
      <c r="AH146" s="4" t="s">
        <v>360</v>
      </c>
      <c r="AI146" s="2" t="str">
        <f>IF(Tabla_Decretos[[#This Row],[id_padre]]=Tabla_Decretos[[#This Row],[Id]],"NOK","OK")</f>
        <v>OK</v>
      </c>
      <c r="AJ146" s="2"/>
      <c r="AK146" s="2"/>
      <c r="AL146" s="2"/>
      <c r="AM146" s="2"/>
      <c r="AN146" s="2"/>
    </row>
    <row r="147" spans="1:40" hidden="1" x14ac:dyDescent="0.5">
      <c r="A147" s="2">
        <f>MAX(Tabla_Compras[Id])</f>
        <v>736</v>
      </c>
      <c r="B147" s="2">
        <v>744</v>
      </c>
      <c r="C147" s="5">
        <f>IF(Tabla_Decretos[[#This Row],[id_padre]]="",0,_xlfn.XLOOKUP(Tabla_Decretos[[#This Row],[id_padre]],Tabla_Decretos[Id],Tabla_Decretos[Nivel],0,0,1)+1)</f>
        <v>2</v>
      </c>
      <c r="D147" s="2" t="s">
        <v>757</v>
      </c>
      <c r="E147" s="2">
        <f>IF(Tabla_Decretos[[#This Row],[Id_anterior]]=1,ROW()-1,SUM(ROW()-1,Tabla_Decretos[[#This Row],[Id_anterior]]))</f>
        <v>882</v>
      </c>
      <c r="F14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</v>
      </c>
      <c r="G147" s="2" t="str">
        <f>CLEAN(PROPER(Tabla_Decretos[[#This Row],[Nombre Opción]]))</f>
        <v>Balance Subsec. Para Las Ff.Aa</v>
      </c>
      <c r="H147" s="2" t="s">
        <v>1735</v>
      </c>
      <c r="I147" s="2" t="str">
        <f>_xlfn.XLOOKUP(Tabla_Decretos[[#This Row],[id_padre]],Tabla_Decretos[Id],Tabla_Decretos[Codigo_Tecnico],"",0,1)</f>
        <v>DECRETOS_INFORMES</v>
      </c>
      <c r="J14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</v>
      </c>
      <c r="K14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balance-subsec-para-ffaa</v>
      </c>
      <c r="L147" s="2" t="s">
        <v>1431</v>
      </c>
      <c r="M147" t="s">
        <v>1799</v>
      </c>
      <c r="N147" s="4" t="s">
        <v>360</v>
      </c>
      <c r="O147" s="4" t="s">
        <v>360</v>
      </c>
      <c r="P147" s="4" t="s">
        <v>360</v>
      </c>
      <c r="Q147" s="4" t="s">
        <v>360</v>
      </c>
      <c r="R147" s="4" t="s">
        <v>360</v>
      </c>
      <c r="S147" s="4"/>
      <c r="AB147" s="5"/>
      <c r="AC147" s="5"/>
      <c r="AD147" s="5"/>
      <c r="AE147" s="5"/>
      <c r="AF147" s="5"/>
      <c r="AG147" s="5"/>
      <c r="AH147" s="4" t="s">
        <v>360</v>
      </c>
      <c r="AI147" s="2" t="str">
        <f>IF(Tabla_Decretos[[#This Row],[id_padre]]=Tabla_Decretos[[#This Row],[Id]],"NOK","OK")</f>
        <v>OK</v>
      </c>
      <c r="AJ147" s="2"/>
      <c r="AK147" s="2"/>
      <c r="AL147" s="2"/>
      <c r="AM147" s="2"/>
      <c r="AN147" s="2"/>
    </row>
    <row r="148" spans="1:40" hidden="1" x14ac:dyDescent="0.5">
      <c r="A148" s="2">
        <f>MAX(Tabla_Compras[Id])</f>
        <v>736</v>
      </c>
      <c r="B148" s="2">
        <v>882</v>
      </c>
      <c r="C148" s="5">
        <f>IF(Tabla_Decretos[[#This Row],[id_padre]]="",0,_xlfn.XLOOKUP(Tabla_Decretos[[#This Row],[id_padre]],Tabla_Decretos[Id],Tabla_Decretos[Nivel],0,0,1)+1)</f>
        <v>3</v>
      </c>
      <c r="D148" s="2" t="s">
        <v>766</v>
      </c>
      <c r="E148" s="2">
        <f>IF(Tabla_Decretos[[#This Row],[Id_anterior]]=1,ROW()-1,SUM(ROW()-1,Tabla_Decretos[[#This Row],[Id_anterior]]))</f>
        <v>883</v>
      </c>
      <c r="F14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DECRETOS_INFORMES_BALANCE_SUBSEC_PARA_FFAA_BALANCES</v>
      </c>
      <c r="G148" s="2" t="str">
        <f>CLEAN(PROPER(Tabla_Decretos[[#This Row],[Nombre Opción]]))</f>
        <v>Balances</v>
      </c>
      <c r="H148" s="2" t="s">
        <v>1735</v>
      </c>
      <c r="I148" s="2" t="str">
        <f>_xlfn.XLOOKUP(Tabla_Decretos[[#This Row],[id_padre]],Tabla_Decretos[Id],Tabla_Decretos[Codigo_Tecnico],"",0,1)</f>
        <v>DECRETOS_INFORMES_BALANCE_SUBSEC_PARA_FFAA</v>
      </c>
      <c r="J14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/decretos/informes/balance-subsec-para-ffaa/balances</v>
      </c>
      <c r="K14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balances</v>
      </c>
      <c r="L148" s="2" t="s">
        <v>1367</v>
      </c>
      <c r="M148" t="s">
        <v>1799</v>
      </c>
      <c r="N148" s="4" t="s">
        <v>360</v>
      </c>
      <c r="O148" s="4" t="s">
        <v>360</v>
      </c>
      <c r="P148" s="4" t="s">
        <v>360</v>
      </c>
      <c r="Q148" s="4" t="s">
        <v>360</v>
      </c>
      <c r="R148" s="4" t="s">
        <v>360</v>
      </c>
      <c r="S148" s="4"/>
      <c r="AB148" s="5"/>
      <c r="AC148" s="5"/>
      <c r="AD148" s="5"/>
      <c r="AE148" s="5"/>
      <c r="AF148" s="5"/>
      <c r="AG148" s="5"/>
      <c r="AH148" s="4" t="s">
        <v>360</v>
      </c>
      <c r="AI148" s="2" t="str">
        <f>IF(Tabla_Decretos[[#This Row],[id_padre]]=Tabla_Decretos[[#This Row],[Id]],"NOK","OK")</f>
        <v>OK</v>
      </c>
      <c r="AJ148" s="2"/>
      <c r="AK148" s="2"/>
      <c r="AL148" s="2"/>
      <c r="AM148" s="2"/>
      <c r="AN148" s="2"/>
    </row>
    <row r="149" spans="1:40" hidden="1" x14ac:dyDescent="0.5">
      <c r="A149" s="2">
        <f>MAX(Tabla_Compras[Id])</f>
        <v>736</v>
      </c>
      <c r="B149" s="2">
        <v>882</v>
      </c>
      <c r="C149" s="5">
        <f>IF(Tabla_Decretos[[#This Row],[id_padre]]="",0,_xlfn.XLOOKUP(Tabla_Decretos[[#This Row],[id_padre]],Tabla_Decretos[Id],Tabla_Decretos[Nivel],0,0,1)+1)</f>
        <v>3</v>
      </c>
      <c r="D149" s="2" t="s">
        <v>767</v>
      </c>
      <c r="E149" s="2">
        <f>IF(Tabla_Decretos[[#This Row],[Id_anterior]]=1,ROW()-1,SUM(ROW()-1,Tabla_Decretos[[#This Row],[Id_anterior]]))</f>
        <v>884</v>
      </c>
      <c r="F14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DECRETOS_INFORMES_BALANCE_SUBSEC_PARA_FFAA_CARATULAS</v>
      </c>
      <c r="G149" s="2" t="str">
        <f>CLEAN(PROPER(Tabla_Decretos[[#This Row],[Nombre Opción]]))</f>
        <v>Caratulas</v>
      </c>
      <c r="H149" s="2" t="s">
        <v>1735</v>
      </c>
      <c r="I149" s="2" t="str">
        <f>_xlfn.XLOOKUP(Tabla_Decretos[[#This Row],[id_padre]],Tabla_Decretos[Id],Tabla_Decretos[Codigo_Tecnico],"",0,1)</f>
        <v>DECRETOS_INFORMES_BALANCE_SUBSEC_PARA_FFAA</v>
      </c>
      <c r="J14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/decretos/informes/balance-subsec-para-ffaa/caratulas</v>
      </c>
      <c r="K14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caratulas</v>
      </c>
      <c r="L149" s="2" t="s">
        <v>1578</v>
      </c>
      <c r="M149" t="s">
        <v>1799</v>
      </c>
      <c r="N149" s="4" t="s">
        <v>360</v>
      </c>
      <c r="O149" s="4" t="s">
        <v>360</v>
      </c>
      <c r="P149" s="4" t="s">
        <v>360</v>
      </c>
      <c r="Q149" s="4" t="s">
        <v>360</v>
      </c>
      <c r="R149" s="4" t="s">
        <v>360</v>
      </c>
      <c r="S149" s="4"/>
      <c r="AB149" s="5"/>
      <c r="AC149" s="5"/>
      <c r="AD149" s="5"/>
      <c r="AE149" s="5"/>
      <c r="AF149" s="5"/>
      <c r="AG149" s="5"/>
      <c r="AH149" s="4" t="s">
        <v>360</v>
      </c>
      <c r="AI149" s="2" t="str">
        <f>IF(Tabla_Decretos[[#This Row],[id_padre]]=Tabla_Decretos[[#This Row],[Id]],"NOK","OK")</f>
        <v>OK</v>
      </c>
      <c r="AJ149" s="2"/>
      <c r="AK149" s="2"/>
      <c r="AL149" s="2"/>
      <c r="AM149" s="2"/>
      <c r="AN149" s="2"/>
    </row>
    <row r="150" spans="1:40" hidden="1" x14ac:dyDescent="0.5">
      <c r="A150" s="2">
        <f>MAX(Tabla_Compras[Id])</f>
        <v>736</v>
      </c>
      <c r="B150" s="2">
        <v>882</v>
      </c>
      <c r="C150" s="5">
        <f>IF(Tabla_Decretos[[#This Row],[id_padre]]="",0,_xlfn.XLOOKUP(Tabla_Decretos[[#This Row],[id_padre]],Tabla_Decretos[Id],Tabla_Decretos[Nivel],0,0,1)+1)</f>
        <v>3</v>
      </c>
      <c r="D150" s="2" t="s">
        <v>768</v>
      </c>
      <c r="E150" s="2">
        <f>IF(Tabla_Decretos[[#This Row],[Id_anterior]]=1,ROW()-1,SUM(ROW()-1,Tabla_Decretos[[#This Row],[Id_anterior]]))</f>
        <v>885</v>
      </c>
      <c r="F15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DECRETOS_INFORMES_BALANCE_SUBSEC_PARA_FFAA_SUBCARATULAS</v>
      </c>
      <c r="G150" s="2" t="str">
        <f>CLEAN(PROPER(Tabla_Decretos[[#This Row],[Nombre Opción]]))</f>
        <v>Subcaratulas</v>
      </c>
      <c r="H150" s="2" t="s">
        <v>1735</v>
      </c>
      <c r="I150" s="2" t="str">
        <f>_xlfn.XLOOKUP(Tabla_Decretos[[#This Row],[id_padre]],Tabla_Decretos[Id],Tabla_Decretos[Codigo_Tecnico],"",0,1)</f>
        <v>DECRETOS_INFORMES_BALANCE_SUBSEC_PARA_FFAA</v>
      </c>
      <c r="J15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/decretos/informes/balance-subsec-para-ffaa/subcaratulas</v>
      </c>
      <c r="K15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subcaratulas</v>
      </c>
      <c r="L150" s="2" t="s">
        <v>1579</v>
      </c>
      <c r="M150" t="s">
        <v>1799</v>
      </c>
      <c r="N150" s="4" t="s">
        <v>360</v>
      </c>
      <c r="O150" s="4" t="s">
        <v>360</v>
      </c>
      <c r="P150" s="4" t="s">
        <v>360</v>
      </c>
      <c r="Q150" s="4" t="s">
        <v>360</v>
      </c>
      <c r="R150" s="4" t="s">
        <v>360</v>
      </c>
      <c r="S150" s="4"/>
      <c r="AB150" s="5"/>
      <c r="AC150" s="5"/>
      <c r="AD150" s="5"/>
      <c r="AE150" s="5"/>
      <c r="AF150" s="5"/>
      <c r="AG150" s="5"/>
      <c r="AH150" s="4" t="s">
        <v>360</v>
      </c>
      <c r="AI150" s="2" t="str">
        <f>IF(Tabla_Decretos[[#This Row],[id_padre]]=Tabla_Decretos[[#This Row],[Id]],"NOK","OK")</f>
        <v>OK</v>
      </c>
      <c r="AJ150" s="2"/>
      <c r="AK150" s="2"/>
      <c r="AL150" s="2"/>
      <c r="AM150" s="2"/>
      <c r="AN150" s="2"/>
    </row>
    <row r="151" spans="1:40" hidden="1" x14ac:dyDescent="0.5">
      <c r="A151" s="2">
        <f>MAX(Tabla_Compras[Id])</f>
        <v>736</v>
      </c>
      <c r="B151" s="2">
        <v>882</v>
      </c>
      <c r="C151" s="5">
        <f>IF(Tabla_Decretos[[#This Row],[id_padre]]="",0,_xlfn.XLOOKUP(Tabla_Decretos[[#This Row],[id_padre]],Tabla_Decretos[Id],Tabla_Decretos[Nivel],0,0,1)+1)</f>
        <v>3</v>
      </c>
      <c r="D151" s="2" t="s">
        <v>769</v>
      </c>
      <c r="E151" s="2">
        <f>IF(Tabla_Decretos[[#This Row],[Id_anterior]]=1,ROW()-1,SUM(ROW()-1,Tabla_Decretos[[#This Row],[Id_anterior]]))</f>
        <v>886</v>
      </c>
      <c r="F15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DECRETOS_INFORMES_BALANCE_SUBSEC_PARA_FFAA_CERTIFICADO_INVERSIONES</v>
      </c>
      <c r="G151" s="2" t="str">
        <f>CLEAN(PROPER(Tabla_Decretos[[#This Row],[Nombre Opción]]))</f>
        <v>Certificado Inversiones</v>
      </c>
      <c r="H151" s="2" t="s">
        <v>1735</v>
      </c>
      <c r="I151" s="2" t="str">
        <f>_xlfn.XLOOKUP(Tabla_Decretos[[#This Row],[id_padre]],Tabla_Decretos[Id],Tabla_Decretos[Codigo_Tecnico],"",0,1)</f>
        <v>DECRETOS_INFORMES_BALANCE_SUBSEC_PARA_FFAA</v>
      </c>
      <c r="J15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/decretos/informes/balance-subsec-para-ffaa/certificado-inversiones</v>
      </c>
      <c r="K15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certificado-inversiones</v>
      </c>
      <c r="L151" s="2" t="s">
        <v>1410</v>
      </c>
      <c r="M151" t="s">
        <v>1799</v>
      </c>
      <c r="N151" s="4" t="s">
        <v>360</v>
      </c>
      <c r="O151" s="4" t="s">
        <v>360</v>
      </c>
      <c r="P151" s="4" t="s">
        <v>360</v>
      </c>
      <c r="Q151" s="4" t="s">
        <v>360</v>
      </c>
      <c r="R151" s="4" t="s">
        <v>360</v>
      </c>
      <c r="S151" s="4"/>
      <c r="AB151" s="5"/>
      <c r="AC151" s="5"/>
      <c r="AD151" s="5"/>
      <c r="AE151" s="5"/>
      <c r="AF151" s="5"/>
      <c r="AG151" s="5"/>
      <c r="AH151" s="4" t="s">
        <v>360</v>
      </c>
      <c r="AI151" s="2" t="str">
        <f>IF(Tabla_Decretos[[#This Row],[id_padre]]=Tabla_Decretos[[#This Row],[Id]],"NOK","OK")</f>
        <v>OK</v>
      </c>
      <c r="AJ151" s="2"/>
      <c r="AK151" s="2"/>
      <c r="AL151" s="2"/>
      <c r="AM151" s="2"/>
      <c r="AN151" s="2"/>
    </row>
    <row r="152" spans="1:40" hidden="1" x14ac:dyDescent="0.5">
      <c r="A152" s="2">
        <f>MAX(Tabla_Compras[Id])</f>
        <v>736</v>
      </c>
      <c r="B152" s="2">
        <v>882</v>
      </c>
      <c r="C152" s="5">
        <f>IF(Tabla_Decretos[[#This Row],[id_padre]]="",0,_xlfn.XLOOKUP(Tabla_Decretos[[#This Row],[id_padre]],Tabla_Decretos[Id],Tabla_Decretos[Nivel],0,0,1)+1)</f>
        <v>3</v>
      </c>
      <c r="D152" s="2" t="s">
        <v>770</v>
      </c>
      <c r="E152" s="2">
        <f>IF(Tabla_Decretos[[#This Row],[Id_anterior]]=1,ROW()-1,SUM(ROW()-1,Tabla_Decretos[[#This Row],[Id_anterior]]))</f>
        <v>887</v>
      </c>
      <c r="F15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DECRETOS_INFORMES_BALANCE_SUBSEC_PARA_FFAA_CERTIFICADOS_CARTA_CREDITO</v>
      </c>
      <c r="G152" s="2" t="str">
        <f>CLEAN(PROPER(Tabla_Decretos[[#This Row],[Nombre Opción]]))</f>
        <v>Certificados Carta De Credito</v>
      </c>
      <c r="H152" s="2" t="s">
        <v>1735</v>
      </c>
      <c r="I152" s="2" t="str">
        <f>_xlfn.XLOOKUP(Tabla_Decretos[[#This Row],[id_padre]],Tabla_Decretos[Id],Tabla_Decretos[Codigo_Tecnico],"",0,1)</f>
        <v>DECRETOS_INFORMES_BALANCE_SUBSEC_PARA_FFAA</v>
      </c>
      <c r="J15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/decretos/informes/balance-subsec-para-ffaa/certificados-carta-credito</v>
      </c>
      <c r="K15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certificados-carta-credito</v>
      </c>
      <c r="L152" s="2" t="s">
        <v>1567</v>
      </c>
      <c r="M152" t="s">
        <v>1799</v>
      </c>
      <c r="N152" s="4" t="s">
        <v>360</v>
      </c>
      <c r="O152" s="4" t="s">
        <v>360</v>
      </c>
      <c r="P152" s="4" t="s">
        <v>360</v>
      </c>
      <c r="Q152" s="4" t="s">
        <v>360</v>
      </c>
      <c r="R152" s="4" t="s">
        <v>360</v>
      </c>
      <c r="S152" s="4"/>
      <c r="AB152" s="5"/>
      <c r="AC152" s="5"/>
      <c r="AD152" s="5"/>
      <c r="AE152" s="5"/>
      <c r="AF152" s="5"/>
      <c r="AG152" s="5"/>
      <c r="AH152" s="4" t="s">
        <v>360</v>
      </c>
      <c r="AI152" s="2" t="str">
        <f>IF(Tabla_Decretos[[#This Row],[id_padre]]=Tabla_Decretos[[#This Row],[Id]],"NOK","OK")</f>
        <v>OK</v>
      </c>
      <c r="AJ152" s="2"/>
      <c r="AK152" s="2"/>
      <c r="AL152" s="2"/>
      <c r="AM152" s="2"/>
      <c r="AN152" s="2"/>
    </row>
    <row r="153" spans="1:40" hidden="1" x14ac:dyDescent="0.5">
      <c r="A153" s="2">
        <f>MAX(Tabla_Compras[Id])</f>
        <v>736</v>
      </c>
      <c r="B153" s="2">
        <v>882</v>
      </c>
      <c r="C153" s="5">
        <f>IF(Tabla_Decretos[[#This Row],[id_padre]]="",0,_xlfn.XLOOKUP(Tabla_Decretos[[#This Row],[id_padre]],Tabla_Decretos[Id],Tabla_Decretos[Nivel],0,0,1)+1)</f>
        <v>3</v>
      </c>
      <c r="D153" s="2" t="s">
        <v>771</v>
      </c>
      <c r="E153" s="2">
        <f>IF(Tabla_Decretos[[#This Row],[Id_anterior]]=1,ROW()-1,SUM(ROW()-1,Tabla_Decretos[[#This Row],[Id_anterior]]))</f>
        <v>888</v>
      </c>
      <c r="F15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DECRETOS_INFORMES_BALANCE_SUBSEC_PARA_FFAA_CERTIFICADOS_REINTEGRO</v>
      </c>
      <c r="G153" s="2" t="str">
        <f>CLEAN(PROPER(Tabla_Decretos[[#This Row],[Nombre Opción]]))</f>
        <v>Certificados De Reintegro</v>
      </c>
      <c r="H153" s="2" t="s">
        <v>1735</v>
      </c>
      <c r="I153" s="2" t="str">
        <f>_xlfn.XLOOKUP(Tabla_Decretos[[#This Row],[id_padre]],Tabla_Decretos[Id],Tabla_Decretos[Codigo_Tecnico],"",0,1)</f>
        <v>DECRETOS_INFORMES_BALANCE_SUBSEC_PARA_FFAA</v>
      </c>
      <c r="J15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/decretos/informes/balance-subsec-para-ffaa/certificados-reintegro</v>
      </c>
      <c r="K15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certificados-reintegro</v>
      </c>
      <c r="L153" s="2" t="s">
        <v>1385</v>
      </c>
      <c r="M153" t="s">
        <v>1799</v>
      </c>
      <c r="N153" s="4" t="s">
        <v>360</v>
      </c>
      <c r="O153" s="4" t="s">
        <v>360</v>
      </c>
      <c r="P153" s="4" t="s">
        <v>360</v>
      </c>
      <c r="Q153" s="4" t="s">
        <v>360</v>
      </c>
      <c r="R153" s="4" t="s">
        <v>360</v>
      </c>
      <c r="S153" s="4"/>
      <c r="AB153" s="5"/>
      <c r="AC153" s="5"/>
      <c r="AD153" s="5"/>
      <c r="AE153" s="5"/>
      <c r="AF153" s="5"/>
      <c r="AG153" s="5"/>
      <c r="AH153" s="4" t="s">
        <v>360</v>
      </c>
      <c r="AI153" s="2" t="str">
        <f>IF(Tabla_Decretos[[#This Row],[id_padre]]=Tabla_Decretos[[#This Row],[Id]],"NOK","OK")</f>
        <v>OK</v>
      </c>
      <c r="AJ153" s="2"/>
      <c r="AK153" s="2"/>
      <c r="AL153" s="2"/>
      <c r="AM153" s="2"/>
      <c r="AN153" s="2"/>
    </row>
    <row r="154" spans="1:40" hidden="1" x14ac:dyDescent="0.5">
      <c r="A154" s="2">
        <f>MAX(Tabla_Compras[Id])</f>
        <v>736</v>
      </c>
      <c r="B154" s="2">
        <v>882</v>
      </c>
      <c r="C154" s="5">
        <f>IF(Tabla_Decretos[[#This Row],[id_padre]]="",0,_xlfn.XLOOKUP(Tabla_Decretos[[#This Row],[id_padre]],Tabla_Decretos[Id],Tabla_Decretos[Nivel],0,0,1)+1)</f>
        <v>3</v>
      </c>
      <c r="D154" s="2" t="s">
        <v>772</v>
      </c>
      <c r="E154" s="2">
        <f>IF(Tabla_Decretos[[#This Row],[Id_anterior]]=1,ROW()-1,SUM(ROW()-1,Tabla_Decretos[[#This Row],[Id_anterior]]))</f>
        <v>889</v>
      </c>
      <c r="F15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DECRETOS_INFORMES_BALANCE_SUBSEC_PARA_FFAA_CERTIFICADOS_TRASPASO_CUENTADANTES</v>
      </c>
      <c r="G154" s="2" t="str">
        <f>CLEAN(PROPER(Tabla_Decretos[[#This Row],[Nombre Opción]]))</f>
        <v>Certificados Traspaso Cuentadantes</v>
      </c>
      <c r="H154" s="2" t="s">
        <v>1735</v>
      </c>
      <c r="I154" s="2" t="str">
        <f>_xlfn.XLOOKUP(Tabla_Decretos[[#This Row],[id_padre]],Tabla_Decretos[Id],Tabla_Decretos[Codigo_Tecnico],"",0,1)</f>
        <v>DECRETOS_INFORMES_BALANCE_SUBSEC_PARA_FFAA</v>
      </c>
      <c r="J15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/decretos/informes/balance-subsec-para-ffaa/certificados-traspaso-cuentadantes</v>
      </c>
      <c r="K15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certificados-traspaso-cuentadantes</v>
      </c>
      <c r="L154" s="2" t="s">
        <v>1354</v>
      </c>
      <c r="M154" t="s">
        <v>1799</v>
      </c>
      <c r="N154" s="4" t="s">
        <v>360</v>
      </c>
      <c r="O154" s="4" t="s">
        <v>360</v>
      </c>
      <c r="P154" s="4" t="s">
        <v>360</v>
      </c>
      <c r="Q154" s="4" t="s">
        <v>360</v>
      </c>
      <c r="R154" s="4" t="s">
        <v>360</v>
      </c>
      <c r="S154" s="4"/>
      <c r="AB154" s="5"/>
      <c r="AC154" s="5"/>
      <c r="AD154" s="5"/>
      <c r="AE154" s="5"/>
      <c r="AF154" s="5"/>
      <c r="AG154" s="5"/>
      <c r="AH154" s="4" t="s">
        <v>360</v>
      </c>
      <c r="AI154" s="2" t="str">
        <f>IF(Tabla_Decretos[[#This Row],[id_padre]]=Tabla_Decretos[[#This Row],[Id]],"NOK","OK")</f>
        <v>OK</v>
      </c>
      <c r="AJ154" s="2"/>
      <c r="AK154" s="2"/>
      <c r="AL154" s="2"/>
      <c r="AM154" s="2"/>
      <c r="AN154" s="2"/>
    </row>
    <row r="155" spans="1:40" hidden="1" x14ac:dyDescent="0.5">
      <c r="A155" s="2">
        <f>MAX(Tabla_Compras[Id])</f>
        <v>736</v>
      </c>
      <c r="B155" s="2">
        <v>882</v>
      </c>
      <c r="C155" s="5">
        <f>IF(Tabla_Decretos[[#This Row],[id_padre]]="",0,_xlfn.XLOOKUP(Tabla_Decretos[[#This Row],[id_padre]],Tabla_Decretos[Id],Tabla_Decretos[Nivel],0,0,1)+1)</f>
        <v>3</v>
      </c>
      <c r="D155" s="2" t="s">
        <v>773</v>
      </c>
      <c r="E155" s="2">
        <f>IF(Tabla_Decretos[[#This Row],[Id_anterior]]=1,ROW()-1,SUM(ROW()-1,Tabla_Decretos[[#This Row],[Id_anterior]]))</f>
        <v>890</v>
      </c>
      <c r="F15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DECRETOS_INFORMES_BALANCE_SUBSEC_PARA_FFAA_CERTIFICADOS_MOVIMIENTOS_NO_CONTABILIZADOS</v>
      </c>
      <c r="G155" s="2" t="str">
        <f>CLEAN(PROPER(Tabla_Decretos[[#This Row],[Nombre Opción]]))</f>
        <v>Certificados Movimientos No Contabilizados</v>
      </c>
      <c r="H155" s="2" t="s">
        <v>1735</v>
      </c>
      <c r="I155" s="2" t="str">
        <f>_xlfn.XLOOKUP(Tabla_Decretos[[#This Row],[id_padre]],Tabla_Decretos[Id],Tabla_Decretos[Codigo_Tecnico],"",0,1)</f>
        <v>DECRETOS_INFORMES_BALANCE_SUBSEC_PARA_FFAA</v>
      </c>
      <c r="J15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/decretos/informes/balance-subsec-para-ffaa/certificados-movimientos-no-contabilizados</v>
      </c>
      <c r="K15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certificados-movimientos-no-contabilizados</v>
      </c>
      <c r="L155" s="2" t="s">
        <v>1475</v>
      </c>
      <c r="M155" t="s">
        <v>1799</v>
      </c>
      <c r="N155" s="4" t="s">
        <v>360</v>
      </c>
      <c r="O155" s="4" t="s">
        <v>360</v>
      </c>
      <c r="P155" s="4" t="s">
        <v>360</v>
      </c>
      <c r="Q155" s="4" t="s">
        <v>360</v>
      </c>
      <c r="R155" s="4" t="s">
        <v>360</v>
      </c>
      <c r="S155" s="4"/>
      <c r="AB155" s="5"/>
      <c r="AC155" s="5"/>
      <c r="AD155" s="5"/>
      <c r="AE155" s="5"/>
      <c r="AF155" s="5"/>
      <c r="AG155" s="5"/>
      <c r="AH155" s="4" t="s">
        <v>360</v>
      </c>
      <c r="AI155" s="2" t="str">
        <f>IF(Tabla_Decretos[[#This Row],[id_padre]]=Tabla_Decretos[[#This Row],[Id]],"NOK","OK")</f>
        <v>OK</v>
      </c>
      <c r="AJ155" s="2"/>
      <c r="AK155" s="2"/>
      <c r="AL155" s="2"/>
      <c r="AM155" s="2"/>
      <c r="AN155" s="2"/>
    </row>
    <row r="156" spans="1:40" hidden="1" x14ac:dyDescent="0.5">
      <c r="A156" s="2">
        <f>MAX(Tabla_Compras[Id])</f>
        <v>736</v>
      </c>
      <c r="B156" s="2">
        <v>882</v>
      </c>
      <c r="C156" s="5">
        <f>IF(Tabla_Decretos[[#This Row],[id_padre]]="",0,_xlfn.XLOOKUP(Tabla_Decretos[[#This Row],[id_padre]],Tabla_Decretos[Id],Tabla_Decretos[Nivel],0,0,1)+1)</f>
        <v>3</v>
      </c>
      <c r="D156" s="2" t="s">
        <v>774</v>
      </c>
      <c r="E156" s="2">
        <f>IF(Tabla_Decretos[[#This Row],[Id_anterior]]=1,ROW()-1,SUM(ROW()-1,Tabla_Decretos[[#This Row],[Id_anterior]]))</f>
        <v>891</v>
      </c>
      <c r="F15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DECRETOS_INFORMES_BALANCE_SUBSEC_PARA_FFAA_INGRESOS_TRIMESTRE</v>
      </c>
      <c r="G156" s="2" t="str">
        <f>CLEAN(PROPER(Tabla_Decretos[[#This Row],[Nombre Opción]]))</f>
        <v>Ingresos Del Trimestre</v>
      </c>
      <c r="H156" s="2" t="s">
        <v>1735</v>
      </c>
      <c r="I156" s="2" t="str">
        <f>_xlfn.XLOOKUP(Tabla_Decretos[[#This Row],[id_padre]],Tabla_Decretos[Id],Tabla_Decretos[Codigo_Tecnico],"",0,1)</f>
        <v>DECRETOS_INFORMES_BALANCE_SUBSEC_PARA_FFAA</v>
      </c>
      <c r="J15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/decretos/informes/balance-subsec-para-ffaa/ingresos-trimestre</v>
      </c>
      <c r="K15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ingresos-trimestre</v>
      </c>
      <c r="L156" s="2" t="s">
        <v>1413</v>
      </c>
      <c r="M156" t="s">
        <v>1799</v>
      </c>
      <c r="N156" s="4" t="s">
        <v>360</v>
      </c>
      <c r="O156" s="4" t="s">
        <v>360</v>
      </c>
      <c r="P156" s="4" t="s">
        <v>360</v>
      </c>
      <c r="Q156" s="4" t="s">
        <v>360</v>
      </c>
      <c r="R156" s="4" t="s">
        <v>360</v>
      </c>
      <c r="S156" s="4"/>
      <c r="AB156" s="5"/>
      <c r="AC156" s="5"/>
      <c r="AD156" s="5"/>
      <c r="AE156" s="5"/>
      <c r="AF156" s="5"/>
      <c r="AG156" s="5"/>
      <c r="AH156" s="4" t="s">
        <v>360</v>
      </c>
      <c r="AI156" s="2" t="str">
        <f>IF(Tabla_Decretos[[#This Row],[id_padre]]=Tabla_Decretos[[#This Row],[Id]],"NOK","OK")</f>
        <v>OK</v>
      </c>
      <c r="AJ156" s="2"/>
      <c r="AK156" s="2"/>
      <c r="AL156" s="2"/>
      <c r="AM156" s="2"/>
      <c r="AN156" s="2"/>
    </row>
    <row r="157" spans="1:40" hidden="1" x14ac:dyDescent="0.5">
      <c r="A157" s="2">
        <f>MAX(Tabla_Compras[Id])</f>
        <v>736</v>
      </c>
      <c r="B157" s="2">
        <v>882</v>
      </c>
      <c r="C157" s="5">
        <f>IF(Tabla_Decretos[[#This Row],[id_padre]]="",0,_xlfn.XLOOKUP(Tabla_Decretos[[#This Row],[id_padre]],Tabla_Decretos[Id],Tabla_Decretos[Nivel],0,0,1)+1)</f>
        <v>3</v>
      </c>
      <c r="D157" s="2" t="s">
        <v>775</v>
      </c>
      <c r="E157" s="2">
        <f>IF(Tabla_Decretos[[#This Row],[Id_anterior]]=1,ROW()-1,SUM(ROW()-1,Tabla_Decretos[[#This Row],[Id_anterior]]))</f>
        <v>892</v>
      </c>
      <c r="F15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DECRETOS_INFORMES_BALANCE_SUBSEC_PARA_FFAA_GASTOS_TRIMESTRE</v>
      </c>
      <c r="G157" s="2" t="str">
        <f>CLEAN(PROPER(Tabla_Decretos[[#This Row],[Nombre Opción]]))</f>
        <v>Gastos Del Trimestre</v>
      </c>
      <c r="H157" s="2" t="s">
        <v>1735</v>
      </c>
      <c r="I157" s="2" t="str">
        <f>_xlfn.XLOOKUP(Tabla_Decretos[[#This Row],[id_padre]],Tabla_Decretos[Id],Tabla_Decretos[Codigo_Tecnico],"",0,1)</f>
        <v>DECRETOS_INFORMES_BALANCE_SUBSEC_PARA_FFAA</v>
      </c>
      <c r="J15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/decretos/informes/balance-subsec-para-ffaa/gastos-trimestre</v>
      </c>
      <c r="K15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gastos-trimestre</v>
      </c>
      <c r="L157" s="2" t="s">
        <v>1442</v>
      </c>
      <c r="M157" t="s">
        <v>1799</v>
      </c>
      <c r="N157" s="4" t="s">
        <v>360</v>
      </c>
      <c r="O157" s="4" t="s">
        <v>360</v>
      </c>
      <c r="P157" s="4" t="s">
        <v>360</v>
      </c>
      <c r="Q157" s="4" t="s">
        <v>360</v>
      </c>
      <c r="R157" s="4" t="s">
        <v>360</v>
      </c>
      <c r="S157" s="4"/>
      <c r="AB157" s="5"/>
      <c r="AC157" s="5"/>
      <c r="AD157" s="5"/>
      <c r="AE157" s="5"/>
      <c r="AF157" s="5"/>
      <c r="AG157" s="5"/>
      <c r="AH157" s="4" t="s">
        <v>360</v>
      </c>
      <c r="AI157" s="2" t="str">
        <f>IF(Tabla_Decretos[[#This Row],[id_padre]]=Tabla_Decretos[[#This Row],[Id]],"NOK","OK")</f>
        <v>OK</v>
      </c>
      <c r="AJ157" s="2"/>
      <c r="AK157" s="2"/>
      <c r="AL157" s="2"/>
      <c r="AM157" s="2"/>
      <c r="AN157" s="2"/>
    </row>
    <row r="158" spans="1:40" hidden="1" x14ac:dyDescent="0.5">
      <c r="A158" s="2">
        <f>MAX(Tabla_Compras[Id])</f>
        <v>736</v>
      </c>
      <c r="B158" s="2">
        <v>882</v>
      </c>
      <c r="C158" s="5">
        <f>IF(Tabla_Decretos[[#This Row],[id_padre]]="",0,_xlfn.XLOOKUP(Tabla_Decretos[[#This Row],[id_padre]],Tabla_Decretos[Id],Tabla_Decretos[Nivel],0,0,1)+1)</f>
        <v>3</v>
      </c>
      <c r="D158" s="2" t="s">
        <v>776</v>
      </c>
      <c r="E158" s="2">
        <f>IF(Tabla_Decretos[[#This Row],[Id_anterior]]=1,ROW()-1,SUM(ROW()-1,Tabla_Decretos[[#This Row],[Id_anterior]]))</f>
        <v>893</v>
      </c>
      <c r="F15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DECRETOS_INFORMES_BALANCE_SUBSEC_PARA_FFAA_SITUACION_FLUJO_CAJA_POR_DECRETO_POR_ENTIDAD</v>
      </c>
      <c r="G158" s="2" t="str">
        <f>CLEAN(PROPER(Tabla_Decretos[[#This Row],[Nombre Opción]]))</f>
        <v>Situacion Flujo De Caja Por Decreto Por Entidad</v>
      </c>
      <c r="H158" s="2" t="s">
        <v>1735</v>
      </c>
      <c r="I158" s="2" t="str">
        <f>_xlfn.XLOOKUP(Tabla_Decretos[[#This Row],[id_padre]],Tabla_Decretos[Id],Tabla_Decretos[Codigo_Tecnico],"",0,1)</f>
        <v>DECRETOS_INFORMES_BALANCE_SUBSEC_PARA_FFAA</v>
      </c>
      <c r="J15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/decretos/informes/balance-subsec-para-ffaa/situacion-flujo-caja-por-decreto-por-entidad</v>
      </c>
      <c r="K15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situacion-flujo-caja-por-decreto-por-entidad</v>
      </c>
      <c r="L158" s="2" t="s">
        <v>1367</v>
      </c>
      <c r="M158" t="s">
        <v>1799</v>
      </c>
      <c r="N158" s="4" t="s">
        <v>360</v>
      </c>
      <c r="O158" s="4" t="s">
        <v>360</v>
      </c>
      <c r="P158" s="4" t="s">
        <v>360</v>
      </c>
      <c r="Q158" s="4" t="s">
        <v>360</v>
      </c>
      <c r="R158" s="4" t="s">
        <v>360</v>
      </c>
      <c r="S158" s="4"/>
      <c r="AB158" s="5"/>
      <c r="AC158" s="5"/>
      <c r="AD158" s="5"/>
      <c r="AE158" s="5"/>
      <c r="AF158" s="5"/>
      <c r="AG158" s="5"/>
      <c r="AH158" s="4" t="s">
        <v>360</v>
      </c>
      <c r="AI158" s="2" t="str">
        <f>IF(Tabla_Decretos[[#This Row],[id_padre]]=Tabla_Decretos[[#This Row],[Id]],"NOK","OK")</f>
        <v>OK</v>
      </c>
      <c r="AJ158" s="2"/>
      <c r="AK158" s="2"/>
      <c r="AL158" s="2"/>
      <c r="AM158" s="2"/>
      <c r="AN158" s="2"/>
    </row>
    <row r="159" spans="1:40" hidden="1" x14ac:dyDescent="0.5">
      <c r="A159" s="2">
        <f>MAX(Tabla_Compras[Id])</f>
        <v>736</v>
      </c>
      <c r="B159" s="2">
        <v>882</v>
      </c>
      <c r="C159" s="5">
        <f>IF(Tabla_Decretos[[#This Row],[id_padre]]="",0,_xlfn.XLOOKUP(Tabla_Decretos[[#This Row],[id_padre]],Tabla_Decretos[Id],Tabla_Decretos[Nivel],0,0,1)+1)</f>
        <v>3</v>
      </c>
      <c r="D159" s="2" t="s">
        <v>777</v>
      </c>
      <c r="E159" s="2">
        <f>IF(Tabla_Decretos[[#This Row],[Id_anterior]]=1,ROW()-1,SUM(ROW()-1,Tabla_Decretos[[#This Row],[Id_anterior]]))</f>
        <v>894</v>
      </c>
      <c r="F15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DECRETOS_INFORMES_BALANCE_SUBSEC_PARA_FFAA_SITUACION_FLUJO_CAJA_POR_DECRETO_POR_UNIDAD</v>
      </c>
      <c r="G159" s="2" t="str">
        <f>CLEAN(PROPER(Tabla_Decretos[[#This Row],[Nombre Opción]]))</f>
        <v>Situacion Flujo De Caja Por Decreto Por Unidad</v>
      </c>
      <c r="H159" s="2" t="s">
        <v>1735</v>
      </c>
      <c r="I159" s="2" t="str">
        <f>_xlfn.XLOOKUP(Tabla_Decretos[[#This Row],[id_padre]],Tabla_Decretos[Id],Tabla_Decretos[Codigo_Tecnico],"",0,1)</f>
        <v>DECRETOS_INFORMES_BALANCE_SUBSEC_PARA_FFAA</v>
      </c>
      <c r="J15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/decretos/informes/balance-subsec-para-ffaa/situacion-flujo-caja-por-decreto-por-unidad</v>
      </c>
      <c r="K15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situacion-flujo-caja-por-decreto-por-unidad</v>
      </c>
      <c r="L159" s="2" t="s">
        <v>1341</v>
      </c>
      <c r="M159" t="s">
        <v>1799</v>
      </c>
      <c r="N159" s="4" t="s">
        <v>360</v>
      </c>
      <c r="O159" s="4" t="s">
        <v>360</v>
      </c>
      <c r="P159" s="4" t="s">
        <v>360</v>
      </c>
      <c r="Q159" s="4" t="s">
        <v>360</v>
      </c>
      <c r="R159" s="4" t="s">
        <v>360</v>
      </c>
      <c r="S159" s="4"/>
      <c r="AB159" s="5"/>
      <c r="AC159" s="5"/>
      <c r="AD159" s="5"/>
      <c r="AE159" s="5"/>
      <c r="AF159" s="5"/>
      <c r="AG159" s="5"/>
      <c r="AH159" s="4" t="s">
        <v>360</v>
      </c>
      <c r="AI159" s="2" t="str">
        <f>IF(Tabla_Decretos[[#This Row],[id_padre]]=Tabla_Decretos[[#This Row],[Id]],"NOK","OK")</f>
        <v>OK</v>
      </c>
      <c r="AJ159" s="2"/>
      <c r="AK159" s="2"/>
      <c r="AL159" s="2"/>
      <c r="AM159" s="2"/>
      <c r="AN159" s="2"/>
    </row>
    <row r="160" spans="1:40" hidden="1" x14ac:dyDescent="0.5">
      <c r="A160" s="2">
        <f>MAX(Tabla_Compras[Id])</f>
        <v>736</v>
      </c>
      <c r="B160" s="2">
        <v>744</v>
      </c>
      <c r="C160" s="5">
        <f>IF(Tabla_Decretos[[#This Row],[id_padre]]="",0,_xlfn.XLOOKUP(Tabla_Decretos[[#This Row],[id_padre]],Tabla_Decretos[Id],Tabla_Decretos[Nivel],0,0,1)+1)</f>
        <v>2</v>
      </c>
      <c r="D160" s="2" t="s">
        <v>723</v>
      </c>
      <c r="E160" s="2">
        <f>IF(Tabla_Decretos[[#This Row],[Id_anterior]]=1,ROW()-1,SUM(ROW()-1,Tabla_Decretos[[#This Row],[Id_anterior]]))</f>
        <v>895</v>
      </c>
      <c r="F16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DECRETOS_INFORMES_RELACION_DECRETOS_MATRICES</v>
      </c>
      <c r="G160" s="2" t="str">
        <f>CLEAN(PROPER(Tabla_Decretos[[#This Row],[Nombre Opción]]))</f>
        <v>Relacion Decretos Matrices</v>
      </c>
      <c r="H160" s="2" t="s">
        <v>1735</v>
      </c>
      <c r="I160" s="2" t="str">
        <f>_xlfn.XLOOKUP(Tabla_Decretos[[#This Row],[id_padre]],Tabla_Decretos[Id],Tabla_Decretos[Codigo_Tecnico],"",0,1)</f>
        <v>DECRETOS_INFORMES</v>
      </c>
      <c r="J16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/decretos/informes/relacion-decretos-matrices</v>
      </c>
      <c r="K16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relacion-decretos-matrices</v>
      </c>
      <c r="L160" s="2" t="s">
        <v>1369</v>
      </c>
      <c r="M160" t="s">
        <v>1799</v>
      </c>
      <c r="N160" s="4" t="s">
        <v>360</v>
      </c>
      <c r="O160" s="4" t="s">
        <v>360</v>
      </c>
      <c r="P160" s="4" t="s">
        <v>360</v>
      </c>
      <c r="Q160" s="4" t="s">
        <v>360</v>
      </c>
      <c r="R160" s="4" t="s">
        <v>360</v>
      </c>
      <c r="S160" s="4"/>
      <c r="AB160" s="5"/>
      <c r="AC160" s="5"/>
      <c r="AD160" s="5"/>
      <c r="AE160" s="5"/>
      <c r="AF160" s="5"/>
      <c r="AG160" s="5"/>
      <c r="AH160" s="4" t="s">
        <v>360</v>
      </c>
      <c r="AI160" s="2" t="str">
        <f>IF(Tabla_Decretos[[#This Row],[id_padre]]=Tabla_Decretos[[#This Row],[Id]],"NOK","OK")</f>
        <v>OK</v>
      </c>
      <c r="AJ160" s="2"/>
      <c r="AK160" s="2"/>
      <c r="AL160" s="2"/>
      <c r="AM160" s="2"/>
      <c r="AN160" s="2"/>
    </row>
    <row r="161" spans="1:40" hidden="1" x14ac:dyDescent="0.5">
      <c r="A161" s="2">
        <f>MAX(Tabla_Compras[Id])</f>
        <v>736</v>
      </c>
      <c r="B161" s="2">
        <v>744</v>
      </c>
      <c r="C161" s="5">
        <f>IF(Tabla_Decretos[[#This Row],[id_padre]]="",0,_xlfn.XLOOKUP(Tabla_Decretos[[#This Row],[id_padre]],Tabla_Decretos[Id],Tabla_Decretos[Nivel],0,0,1)+1)</f>
        <v>2</v>
      </c>
      <c r="D161" s="2" t="s">
        <v>758</v>
      </c>
      <c r="E161" s="2">
        <f>IF(Tabla_Decretos[[#This Row],[Id_anterior]]=1,ROW()-1,SUM(ROW()-1,Tabla_Decretos[[#This Row],[Id_anterior]]))</f>
        <v>896</v>
      </c>
      <c r="F16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DECRETOS_INFORMES_RELACION_DECRETOS_DIFERIDO_POR_ANO</v>
      </c>
      <c r="G161" s="2" t="str">
        <f>CLEAN(PROPER(Tabla_Decretos[[#This Row],[Nombre Opción]]))</f>
        <v>Relacion Decretos Diferido Por Ano</v>
      </c>
      <c r="H161" s="2" t="s">
        <v>1735</v>
      </c>
      <c r="I161" s="2" t="str">
        <f>_xlfn.XLOOKUP(Tabla_Decretos[[#This Row],[id_padre]],Tabla_Decretos[Id],Tabla_Decretos[Codigo_Tecnico],"",0,1)</f>
        <v>DECRETOS_INFORMES</v>
      </c>
      <c r="J16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/decretos/informes/relacion-decretos-diferido-por-ano</v>
      </c>
      <c r="K16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relacion-decretos-diferido-por-ano</v>
      </c>
      <c r="L161" s="2" t="s">
        <v>1574</v>
      </c>
      <c r="M161" t="s">
        <v>1799</v>
      </c>
      <c r="N161" s="4" t="s">
        <v>360</v>
      </c>
      <c r="O161" s="4" t="s">
        <v>360</v>
      </c>
      <c r="P161" s="4" t="s">
        <v>360</v>
      </c>
      <c r="Q161" s="4" t="s">
        <v>360</v>
      </c>
      <c r="R161" s="4" t="s">
        <v>360</v>
      </c>
      <c r="S161" s="4"/>
      <c r="AB161" s="5"/>
      <c r="AC161" s="5"/>
      <c r="AD161" s="5"/>
      <c r="AE161" s="5"/>
      <c r="AF161" s="5"/>
      <c r="AG161" s="5"/>
      <c r="AH161" s="4" t="s">
        <v>360</v>
      </c>
      <c r="AI161" s="2" t="str">
        <f>IF(Tabla_Decretos[[#This Row],[id_padre]]=Tabla_Decretos[[#This Row],[Id]],"NOK","OK")</f>
        <v>OK</v>
      </c>
      <c r="AJ161" s="2"/>
      <c r="AK161" s="2"/>
      <c r="AL161" s="2"/>
      <c r="AM161" s="2"/>
      <c r="AN161" s="2"/>
    </row>
    <row r="162" spans="1:40" hidden="1" x14ac:dyDescent="0.5">
      <c r="A162" s="2">
        <f>MAX(Tabla_Compras[Id])</f>
        <v>736</v>
      </c>
      <c r="B162" s="2">
        <v>744</v>
      </c>
      <c r="C162" s="5">
        <f>IF(Tabla_Decretos[[#This Row],[id_padre]]="",0,_xlfn.XLOOKUP(Tabla_Decretos[[#This Row],[id_padre]],Tabla_Decretos[Id],Tabla_Decretos[Nivel],0,0,1)+1)</f>
        <v>2</v>
      </c>
      <c r="D162" s="2" t="s">
        <v>759</v>
      </c>
      <c r="E162" s="2">
        <f>IF(Tabla_Decretos[[#This Row],[Id_anterior]]=1,ROW()-1,SUM(ROW()-1,Tabla_Decretos[[#This Row],[Id_anterior]]))</f>
        <v>897</v>
      </c>
      <c r="F16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DECRETOS_INFORMES_RELACION_DECRETOS_DIFERIDOS_POR_DMATRIZ</v>
      </c>
      <c r="G162" s="2" t="str">
        <f>CLEAN(PROPER(Tabla_Decretos[[#This Row],[Nombre Opción]]))</f>
        <v>Relacion Decretos Diferidos Por D.Matriz</v>
      </c>
      <c r="H162" s="2" t="s">
        <v>1735</v>
      </c>
      <c r="I162" s="2" t="str">
        <f>_xlfn.XLOOKUP(Tabla_Decretos[[#This Row],[id_padre]],Tabla_Decretos[Id],Tabla_Decretos[Codigo_Tecnico],"",0,1)</f>
        <v>DECRETOS_INFORMES</v>
      </c>
      <c r="J16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/decretos/informes/relacion-decretos-diferidos-por-dmatriz</v>
      </c>
      <c r="K16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relacion-decretos-diferidos-por-dmatriz</v>
      </c>
      <c r="L162" s="2" t="s">
        <v>1338</v>
      </c>
      <c r="M162" t="s">
        <v>1799</v>
      </c>
      <c r="N162" s="4" t="s">
        <v>360</v>
      </c>
      <c r="O162" s="4" t="s">
        <v>360</v>
      </c>
      <c r="P162" s="4" t="s">
        <v>360</v>
      </c>
      <c r="Q162" s="4" t="s">
        <v>360</v>
      </c>
      <c r="R162" s="4" t="s">
        <v>360</v>
      </c>
      <c r="S162" s="4"/>
      <c r="AB162" s="5"/>
      <c r="AC162" s="5"/>
      <c r="AD162" s="5"/>
      <c r="AE162" s="5"/>
      <c r="AF162" s="5"/>
      <c r="AG162" s="5"/>
      <c r="AH162" s="4" t="s">
        <v>360</v>
      </c>
      <c r="AI162" s="2" t="str">
        <f>IF(Tabla_Decretos[[#This Row],[id_padre]]=Tabla_Decretos[[#This Row],[Id]],"NOK","OK")</f>
        <v>OK</v>
      </c>
      <c r="AJ162" s="2"/>
      <c r="AK162" s="2"/>
      <c r="AL162" s="2"/>
      <c r="AM162" s="2"/>
      <c r="AN162" s="2"/>
    </row>
    <row r="163" spans="1:40" hidden="1" x14ac:dyDescent="0.5">
      <c r="A163" s="2">
        <f>MAX(Tabla_Compras[Id])</f>
        <v>736</v>
      </c>
      <c r="B163" s="2">
        <v>744</v>
      </c>
      <c r="C163" s="5">
        <f>IF(Tabla_Decretos[[#This Row],[id_padre]]="",0,_xlfn.XLOOKUP(Tabla_Decretos[[#This Row],[id_padre]],Tabla_Decretos[Id],Tabla_Decretos[Nivel],0,0,1)+1)</f>
        <v>2</v>
      </c>
      <c r="D163" s="2" t="s">
        <v>760</v>
      </c>
      <c r="E163" s="2">
        <f>IF(Tabla_Decretos[[#This Row],[Id_anterior]]=1,ROW()-1,SUM(ROW()-1,Tabla_Decretos[[#This Row],[Id_anterior]]))</f>
        <v>898</v>
      </c>
      <c r="F16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DECRETOS_INFORMES_RELACION_DECRETOS_ADENDUM_POR_ANO</v>
      </c>
      <c r="G163" s="2" t="str">
        <f>CLEAN(PROPER(Tabla_Decretos[[#This Row],[Nombre Opción]]))</f>
        <v>Relacion Decretos Adendum Por Ano</v>
      </c>
      <c r="H163" s="2" t="s">
        <v>1735</v>
      </c>
      <c r="I163" s="2" t="str">
        <f>_xlfn.XLOOKUP(Tabla_Decretos[[#This Row],[id_padre]],Tabla_Decretos[Id],Tabla_Decretos[Codigo_Tecnico],"",0,1)</f>
        <v>DECRETOS_INFORMES</v>
      </c>
      <c r="J16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/decretos/informes/relacion-decretos-adendum-por-ano</v>
      </c>
      <c r="K16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relacion-decretos-adendum-por-ano</v>
      </c>
      <c r="L163" s="2" t="s">
        <v>1416</v>
      </c>
      <c r="M163" t="s">
        <v>1799</v>
      </c>
      <c r="N163" s="4" t="s">
        <v>360</v>
      </c>
      <c r="O163" s="4" t="s">
        <v>360</v>
      </c>
      <c r="P163" s="4" t="s">
        <v>360</v>
      </c>
      <c r="Q163" s="4" t="s">
        <v>360</v>
      </c>
      <c r="R163" s="4" t="s">
        <v>360</v>
      </c>
      <c r="S163" s="4"/>
      <c r="AB163" s="5"/>
      <c r="AC163" s="5"/>
      <c r="AD163" s="5"/>
      <c r="AE163" s="5"/>
      <c r="AF163" s="5"/>
      <c r="AG163" s="5"/>
      <c r="AH163" s="4" t="s">
        <v>360</v>
      </c>
      <c r="AI163" s="2" t="str">
        <f>IF(Tabla_Decretos[[#This Row],[id_padre]]=Tabla_Decretos[[#This Row],[Id]],"NOK","OK")</f>
        <v>OK</v>
      </c>
      <c r="AJ163" s="2"/>
      <c r="AK163" s="2"/>
      <c r="AL163" s="2"/>
      <c r="AM163" s="2"/>
      <c r="AN163" s="2"/>
    </row>
    <row r="164" spans="1:40" hidden="1" x14ac:dyDescent="0.5">
      <c r="A164" s="2">
        <f>MAX(Tabla_Compras[Id])</f>
        <v>736</v>
      </c>
      <c r="B164" s="2">
        <v>744</v>
      </c>
      <c r="C164" s="5">
        <f>IF(Tabla_Decretos[[#This Row],[id_padre]]="",0,_xlfn.XLOOKUP(Tabla_Decretos[[#This Row],[id_padre]],Tabla_Decretos[Id],Tabla_Decretos[Nivel],0,0,1)+1)</f>
        <v>2</v>
      </c>
      <c r="D164" s="2" t="s">
        <v>761</v>
      </c>
      <c r="E164" s="2">
        <f>IF(Tabla_Decretos[[#This Row],[Id_anterior]]=1,ROW()-1,SUM(ROW()-1,Tabla_Decretos[[#This Row],[Id_anterior]]))</f>
        <v>899</v>
      </c>
      <c r="F16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DECRETOS_INFORMES_CONTROL_GESTION_Y_AVANCES_GASTO</v>
      </c>
      <c r="G164" s="2" t="str">
        <f>CLEAN(PROPER(Tabla_Decretos[[#This Row],[Nombre Opción]]))</f>
        <v>Control De Gestion Y Avances De Gasto</v>
      </c>
      <c r="H164" s="2" t="s">
        <v>1735</v>
      </c>
      <c r="I164" s="2" t="str">
        <f>_xlfn.XLOOKUP(Tabla_Decretos[[#This Row],[id_padre]],Tabla_Decretos[Id],Tabla_Decretos[Codigo_Tecnico],"",0,1)</f>
        <v>DECRETOS_INFORMES</v>
      </c>
      <c r="J16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/decretos/informes/control-gestion-y-avances-gasto</v>
      </c>
      <c r="K16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control-gestion-y-avances-gasto</v>
      </c>
      <c r="L164" s="2" t="s">
        <v>1332</v>
      </c>
      <c r="M164" t="s">
        <v>1799</v>
      </c>
      <c r="N164" s="4" t="s">
        <v>360</v>
      </c>
      <c r="O164" s="4" t="s">
        <v>360</v>
      </c>
      <c r="P164" s="4" t="s">
        <v>360</v>
      </c>
      <c r="Q164" s="4" t="s">
        <v>360</v>
      </c>
      <c r="R164" s="4" t="s">
        <v>360</v>
      </c>
      <c r="S164" s="4"/>
      <c r="AB164" s="5"/>
      <c r="AC164" s="5"/>
      <c r="AD164" s="5"/>
      <c r="AE164" s="5"/>
      <c r="AF164" s="5"/>
      <c r="AG164" s="5"/>
      <c r="AH164" s="4" t="s">
        <v>360</v>
      </c>
      <c r="AI164" s="2" t="str">
        <f>IF(Tabla_Decretos[[#This Row],[id_padre]]=Tabla_Decretos[[#This Row],[Id]],"NOK","OK")</f>
        <v>OK</v>
      </c>
      <c r="AJ164" s="2"/>
      <c r="AK164" s="2"/>
      <c r="AL164" s="2"/>
      <c r="AM164" s="2"/>
      <c r="AN164" s="2"/>
    </row>
    <row r="165" spans="1:40" hidden="1" x14ac:dyDescent="0.5">
      <c r="A165" s="2">
        <f>MAX(Tabla_Compras[Id])</f>
        <v>736</v>
      </c>
      <c r="B165" s="2">
        <v>744</v>
      </c>
      <c r="C165" s="5">
        <f>IF(Tabla_Decretos[[#This Row],[id_padre]]="",0,_xlfn.XLOOKUP(Tabla_Decretos[[#This Row],[id_padre]],Tabla_Decretos[Id],Tabla_Decretos[Nivel],0,0,1)+1)</f>
        <v>2</v>
      </c>
      <c r="D165" s="2" t="s">
        <v>727</v>
      </c>
      <c r="E165" s="2">
        <f>IF(Tabla_Decretos[[#This Row],[Id_anterior]]=1,ROW()-1,SUM(ROW()-1,Tabla_Decretos[[#This Row],[Id_anterior]]))</f>
        <v>900</v>
      </c>
      <c r="F16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DECRETOS_INFORMES_INGRESOS_POR_DECRETO_MATRIZ</v>
      </c>
      <c r="G165" s="2" t="str">
        <f>CLEAN(PROPER(Tabla_Decretos[[#This Row],[Nombre Opción]]))</f>
        <v>Ingresos Por Decreto Matriz</v>
      </c>
      <c r="H165" s="2" t="s">
        <v>1735</v>
      </c>
      <c r="I165" s="2" t="str">
        <f>_xlfn.XLOOKUP(Tabla_Decretos[[#This Row],[id_padre]],Tabla_Decretos[Id],Tabla_Decretos[Codigo_Tecnico],"",0,1)</f>
        <v>DECRETOS_INFORMES</v>
      </c>
      <c r="J16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/decretos/informes/ingresos-por-decreto-matriz</v>
      </c>
      <c r="K16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ingresos-por-decreto-matriz</v>
      </c>
      <c r="L165" s="2" t="s">
        <v>1365</v>
      </c>
      <c r="M165" t="s">
        <v>1799</v>
      </c>
      <c r="N165" s="4" t="s">
        <v>360</v>
      </c>
      <c r="O165" s="4" t="s">
        <v>360</v>
      </c>
      <c r="P165" s="4" t="s">
        <v>360</v>
      </c>
      <c r="Q165" s="4" t="s">
        <v>360</v>
      </c>
      <c r="R165" s="4" t="s">
        <v>360</v>
      </c>
      <c r="S165" s="4"/>
      <c r="AB165" s="5"/>
      <c r="AC165" s="5"/>
      <c r="AD165" s="5"/>
      <c r="AE165" s="5"/>
      <c r="AF165" s="5"/>
      <c r="AG165" s="5"/>
      <c r="AH165" s="4" t="s">
        <v>360</v>
      </c>
      <c r="AI165" s="2" t="str">
        <f>IF(Tabla_Decretos[[#This Row],[id_padre]]=Tabla_Decretos[[#This Row],[Id]],"NOK","OK")</f>
        <v>OK</v>
      </c>
      <c r="AJ165" s="2"/>
      <c r="AK165" s="2"/>
      <c r="AL165" s="2"/>
      <c r="AM165" s="2"/>
      <c r="AN165" s="2"/>
    </row>
    <row r="166" spans="1:40" hidden="1" x14ac:dyDescent="0.5">
      <c r="A166" s="2">
        <f>MAX(Tabla_Compras[Id])</f>
        <v>736</v>
      </c>
      <c r="B166" s="2">
        <v>744</v>
      </c>
      <c r="C166" s="5">
        <f>IF(Tabla_Decretos[[#This Row],[id_padre]]="",0,_xlfn.XLOOKUP(Tabla_Decretos[[#This Row],[id_padre]],Tabla_Decretos[Id],Tabla_Decretos[Nivel],0,0,1)+1)</f>
        <v>2</v>
      </c>
      <c r="D166" s="2" t="s">
        <v>762</v>
      </c>
      <c r="E166" s="2">
        <f>IF(Tabla_Decretos[[#This Row],[Id_anterior]]=1,ROW()-1,SUM(ROW()-1,Tabla_Decretos[[#This Row],[Id_anterior]]))</f>
        <v>901</v>
      </c>
      <c r="F16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DECRETOS_INFORMES_INGRESOS_Y_GASTOS_POR_DECRETO_MATRIZ</v>
      </c>
      <c r="G166" s="2" t="str">
        <f>CLEAN(PROPER(Tabla_Decretos[[#This Row],[Nombre Opción]]))</f>
        <v>Ingresos Y Gastos Por Decreto Matriz</v>
      </c>
      <c r="H166" s="2" t="s">
        <v>1735</v>
      </c>
      <c r="I166" s="2" t="str">
        <f>_xlfn.XLOOKUP(Tabla_Decretos[[#This Row],[id_padre]],Tabla_Decretos[Id],Tabla_Decretos[Codigo_Tecnico],"",0,1)</f>
        <v>DECRETOS_INFORMES</v>
      </c>
      <c r="J16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/decretos/informes/ingresos-y-gastos-por-decreto-matriz</v>
      </c>
      <c r="K16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ingresos-y-gastos-por-decreto-matriz</v>
      </c>
      <c r="L166" s="2" t="s">
        <v>1379</v>
      </c>
      <c r="M166" t="s">
        <v>1799</v>
      </c>
      <c r="N166" s="4" t="s">
        <v>360</v>
      </c>
      <c r="O166" s="4" t="s">
        <v>360</v>
      </c>
      <c r="P166" s="4" t="s">
        <v>360</v>
      </c>
      <c r="Q166" s="4" t="s">
        <v>360</v>
      </c>
      <c r="R166" s="4" t="s">
        <v>360</v>
      </c>
      <c r="S166" s="4"/>
      <c r="AB166" s="5"/>
      <c r="AC166" s="5"/>
      <c r="AD166" s="5"/>
      <c r="AE166" s="5"/>
      <c r="AF166" s="5"/>
      <c r="AG166" s="5"/>
      <c r="AH166" s="4" t="s">
        <v>360</v>
      </c>
      <c r="AI166" s="2" t="str">
        <f>IF(Tabla_Decretos[[#This Row],[id_padre]]=Tabla_Decretos[[#This Row],[Id]],"NOK","OK")</f>
        <v>OK</v>
      </c>
      <c r="AJ166" s="2"/>
      <c r="AK166" s="2"/>
      <c r="AL166" s="2"/>
      <c r="AM166" s="2"/>
      <c r="AN166" s="2"/>
    </row>
    <row r="167" spans="1:40" hidden="1" x14ac:dyDescent="0.5">
      <c r="A167" s="2">
        <f>MAX(Tabla_Compras[Id])</f>
        <v>736</v>
      </c>
      <c r="B167" s="2">
        <v>744</v>
      </c>
      <c r="C167" s="5">
        <f>IF(Tabla_Decretos[[#This Row],[id_padre]]="",0,_xlfn.XLOOKUP(Tabla_Decretos[[#This Row],[id_padre]],Tabla_Decretos[Id],Tabla_Decretos[Nivel],0,0,1)+1)</f>
        <v>2</v>
      </c>
      <c r="D167" s="2" t="s">
        <v>763</v>
      </c>
      <c r="E167" s="2">
        <f>IF(Tabla_Decretos[[#This Row],[Id_anterior]]=1,ROW()-1,SUM(ROW()-1,Tabla_Decretos[[#This Row],[Id_anterior]]))</f>
        <v>902</v>
      </c>
      <c r="F16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DECRETOS_INFORMES_INGRESOS_Y_GASTOS_POR_DECRETO_MATRIZ_UNIDAD</v>
      </c>
      <c r="G167" s="2" t="str">
        <f>CLEAN(PROPER(Tabla_Decretos[[#This Row],[Nombre Opción]]))</f>
        <v>Ingresos Y Gastos Por Decreto Matriz – Unidad</v>
      </c>
      <c r="H167" s="2" t="s">
        <v>1735</v>
      </c>
      <c r="I167" s="2" t="str">
        <f>_xlfn.XLOOKUP(Tabla_Decretos[[#This Row],[id_padre]],Tabla_Decretos[Id],Tabla_Decretos[Codigo_Tecnico],"",0,1)</f>
        <v>DECRETOS_INFORMES</v>
      </c>
      <c r="J16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/decretos/informes/ingresos-y-gastos-por-decreto-matriz-unidad</v>
      </c>
      <c r="K16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ingresos-y-gastos-por-decreto-matriz-unidad</v>
      </c>
      <c r="L167" s="2" t="s">
        <v>1341</v>
      </c>
      <c r="M167" t="s">
        <v>1799</v>
      </c>
      <c r="N167" s="4" t="s">
        <v>360</v>
      </c>
      <c r="O167" s="4" t="s">
        <v>360</v>
      </c>
      <c r="P167" s="4" t="s">
        <v>360</v>
      </c>
      <c r="Q167" s="4" t="s">
        <v>360</v>
      </c>
      <c r="R167" s="4" t="s">
        <v>360</v>
      </c>
      <c r="S167" s="4"/>
      <c r="AB167" s="5"/>
      <c r="AC167" s="5"/>
      <c r="AD167" s="5"/>
      <c r="AE167" s="5"/>
      <c r="AF167" s="5"/>
      <c r="AG167" s="5"/>
      <c r="AH167" s="4" t="s">
        <v>360</v>
      </c>
      <c r="AI167" s="2" t="str">
        <f>IF(Tabla_Decretos[[#This Row],[id_padre]]=Tabla_Decretos[[#This Row],[Id]],"NOK","OK")</f>
        <v>OK</v>
      </c>
      <c r="AJ167" s="2"/>
      <c r="AK167" s="2"/>
      <c r="AL167" s="2"/>
      <c r="AM167" s="2"/>
      <c r="AN167" s="2"/>
    </row>
    <row r="168" spans="1:40" hidden="1" x14ac:dyDescent="0.5">
      <c r="A168" s="2">
        <f>MAX(Tabla_Compras[Id])</f>
        <v>736</v>
      </c>
      <c r="B168" s="2">
        <v>744</v>
      </c>
      <c r="C168" s="5">
        <f>IF(Tabla_Decretos[[#This Row],[id_padre]]="",0,_xlfn.XLOOKUP(Tabla_Decretos[[#This Row],[id_padre]],Tabla_Decretos[Id],Tabla_Decretos[Nivel],0,0,1)+1)</f>
        <v>2</v>
      </c>
      <c r="D168" s="2" t="s">
        <v>729</v>
      </c>
      <c r="E168" s="2">
        <f>IF(Tabla_Decretos[[#This Row],[Id_anterior]]=1,ROW()-1,SUM(ROW()-1,Tabla_Decretos[[#This Row],[Id_anterior]]))</f>
        <v>903</v>
      </c>
      <c r="F16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DECRETOS_INFORMES_INGRESOS_Y_GASTOS_POR_DECRETO_DIFERIDO</v>
      </c>
      <c r="G168" s="2" t="str">
        <f>CLEAN(PROPER(Tabla_Decretos[[#This Row],[Nombre Opción]]))</f>
        <v>Ingresos Y Gastos Por Decreto Diferido</v>
      </c>
      <c r="H168" s="2" t="s">
        <v>1735</v>
      </c>
      <c r="I168" s="2" t="str">
        <f>_xlfn.XLOOKUP(Tabla_Decretos[[#This Row],[id_padre]],Tabla_Decretos[Id],Tabla_Decretos[Codigo_Tecnico],"",0,1)</f>
        <v>DECRETOS_INFORMES</v>
      </c>
      <c r="J16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/decretos/informes/ingresos-y-gastos-por-decreto-diferido</v>
      </c>
      <c r="K16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ingresos-y-gastos-por-decreto-diferido</v>
      </c>
      <c r="L168" s="2" t="s">
        <v>1379</v>
      </c>
      <c r="M168" t="s">
        <v>1799</v>
      </c>
      <c r="N168" s="4" t="s">
        <v>360</v>
      </c>
      <c r="O168" s="4" t="s">
        <v>360</v>
      </c>
      <c r="P168" s="4" t="s">
        <v>360</v>
      </c>
      <c r="Q168" s="4" t="s">
        <v>360</v>
      </c>
      <c r="R168" s="4" t="s">
        <v>360</v>
      </c>
      <c r="S168" s="4"/>
      <c r="AB168" s="5"/>
      <c r="AC168" s="5"/>
      <c r="AD168" s="5"/>
      <c r="AE168" s="5"/>
      <c r="AF168" s="5"/>
      <c r="AG168" s="5"/>
      <c r="AH168" s="4" t="s">
        <v>360</v>
      </c>
      <c r="AI168" s="2" t="str">
        <f>IF(Tabla_Decretos[[#This Row],[id_padre]]=Tabla_Decretos[[#This Row],[Id]],"NOK","OK")</f>
        <v>OK</v>
      </c>
      <c r="AJ168" s="2"/>
      <c r="AK168" s="2"/>
      <c r="AL168" s="2"/>
      <c r="AM168" s="2"/>
      <c r="AN168" s="2"/>
    </row>
    <row r="169" spans="1:40" hidden="1" x14ac:dyDescent="0.5">
      <c r="A169" s="2">
        <f>MAX(Tabla_Compras[Id])</f>
        <v>736</v>
      </c>
      <c r="B169" s="2">
        <v>744</v>
      </c>
      <c r="C169" s="5">
        <f>IF(Tabla_Decretos[[#This Row],[id_padre]]="",0,_xlfn.XLOOKUP(Tabla_Decretos[[#This Row],[id_padre]],Tabla_Decretos[Id],Tabla_Decretos[Nivel],0,0,1)+1)</f>
        <v>2</v>
      </c>
      <c r="D169" s="2" t="s">
        <v>764</v>
      </c>
      <c r="E169" s="2">
        <f>IF(Tabla_Decretos[[#This Row],[Id_anterior]]=1,ROW()-1,SUM(ROW()-1,Tabla_Decretos[[#This Row],[Id_anterior]]))</f>
        <v>904</v>
      </c>
      <c r="F16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DECRETOS_INFORMES_INGRESOS_Y_GASTOS_POR_DECRETO_DIFERIDO_UNIDAD</v>
      </c>
      <c r="G169" s="2" t="str">
        <f>CLEAN(PROPER(Tabla_Decretos[[#This Row],[Nombre Opción]]))</f>
        <v>Ingresos Y Gastos Por Decreto Diferido – Unidad</v>
      </c>
      <c r="H169" s="2" t="s">
        <v>1735</v>
      </c>
      <c r="I169" s="2" t="str">
        <f>_xlfn.XLOOKUP(Tabla_Decretos[[#This Row],[id_padre]],Tabla_Decretos[Id],Tabla_Decretos[Codigo_Tecnico],"",0,1)</f>
        <v>DECRETOS_INFORMES</v>
      </c>
      <c r="J16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/decretos/informes/ingresos-y-gastos-por-decreto-diferido-unidad</v>
      </c>
      <c r="K16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ingresos-y-gastos-por-decreto-diferido-unidad</v>
      </c>
      <c r="L169" s="2" t="s">
        <v>1456</v>
      </c>
      <c r="M169" t="s">
        <v>1799</v>
      </c>
      <c r="N169" s="4" t="s">
        <v>360</v>
      </c>
      <c r="O169" s="4" t="s">
        <v>360</v>
      </c>
      <c r="P169" s="4" t="s">
        <v>360</v>
      </c>
      <c r="Q169" s="4" t="s">
        <v>360</v>
      </c>
      <c r="R169" s="4" t="s">
        <v>360</v>
      </c>
      <c r="S169" s="4"/>
      <c r="AB169" s="5"/>
      <c r="AC169" s="5"/>
      <c r="AD169" s="5"/>
      <c r="AE169" s="5"/>
      <c r="AF169" s="5"/>
      <c r="AG169" s="5"/>
      <c r="AH169" s="4" t="s">
        <v>360</v>
      </c>
      <c r="AI169" s="2" t="str">
        <f>IF(Tabla_Decretos[[#This Row],[id_padre]]=Tabla_Decretos[[#This Row],[Id]],"NOK","OK")</f>
        <v>OK</v>
      </c>
      <c r="AJ169" s="2"/>
      <c r="AK169" s="2"/>
      <c r="AL169" s="2"/>
      <c r="AM169" s="2"/>
      <c r="AN169" s="2"/>
    </row>
    <row r="170" spans="1:40" hidden="1" x14ac:dyDescent="0.5">
      <c r="A170" s="2">
        <f>MAX(Tabla_Compras[Id])</f>
        <v>736</v>
      </c>
      <c r="B170" s="2">
        <v>744</v>
      </c>
      <c r="C170" s="5">
        <f>IF(Tabla_Decretos[[#This Row],[id_padre]]="",0,_xlfn.XLOOKUP(Tabla_Decretos[[#This Row],[id_padre]],Tabla_Decretos[Id],Tabla_Decretos[Nivel],0,0,1)+1)</f>
        <v>2</v>
      </c>
      <c r="D170" s="2" t="s">
        <v>765</v>
      </c>
      <c r="E170" s="2">
        <f>IF(Tabla_Decretos[[#This Row],[Id_anterior]]=1,ROW()-1,SUM(ROW()-1,Tabla_Decretos[[#This Row],[Id_anterior]]))</f>
        <v>905</v>
      </c>
      <c r="F17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DECRETOS_INFORMES_MOVIMIENTOS_POR_DECRETO_MATRIZ</v>
      </c>
      <c r="G170" s="2" t="str">
        <f>CLEAN(PROPER(Tabla_Decretos[[#This Row],[Nombre Opción]]))</f>
        <v>Movimientos Por Decreto Matriz</v>
      </c>
      <c r="H170" s="2" t="s">
        <v>1735</v>
      </c>
      <c r="I170" s="2" t="str">
        <f>_xlfn.XLOOKUP(Tabla_Decretos[[#This Row],[id_padre]],Tabla_Decretos[Id],Tabla_Decretos[Codigo_Tecnico],"",0,1)</f>
        <v>DECRETOS_INFORMES</v>
      </c>
      <c r="J17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/decretos/informes/movimientos-por-decreto-matriz</v>
      </c>
      <c r="K17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movimientos-por-decreto-matriz</v>
      </c>
      <c r="L170" s="2" t="s">
        <v>1580</v>
      </c>
      <c r="M170" t="s">
        <v>1799</v>
      </c>
      <c r="N170" s="4" t="s">
        <v>360</v>
      </c>
      <c r="O170" s="4" t="s">
        <v>360</v>
      </c>
      <c r="P170" s="4" t="s">
        <v>360</v>
      </c>
      <c r="Q170" s="4" t="s">
        <v>360</v>
      </c>
      <c r="R170" s="4" t="s">
        <v>360</v>
      </c>
      <c r="S170" s="4"/>
      <c r="AB170" s="5"/>
      <c r="AC170" s="5"/>
      <c r="AD170" s="5"/>
      <c r="AE170" s="5"/>
      <c r="AF170" s="5"/>
      <c r="AG170" s="5"/>
      <c r="AH170" s="4" t="s">
        <v>360</v>
      </c>
      <c r="AI170" s="2" t="str">
        <f>IF(Tabla_Decretos[[#This Row],[id_padre]]=Tabla_Decretos[[#This Row],[Id]],"NOK","OK")</f>
        <v>OK</v>
      </c>
      <c r="AJ170" s="2"/>
      <c r="AK170" s="2"/>
      <c r="AL170" s="2"/>
      <c r="AM170" s="2"/>
      <c r="AN170" s="2"/>
    </row>
    <row r="171" spans="1:40" hidden="1" x14ac:dyDescent="0.5">
      <c r="A171" s="2">
        <f>MAX(Tabla_Compras[Id])</f>
        <v>736</v>
      </c>
      <c r="B171" s="2">
        <v>744</v>
      </c>
      <c r="C171" s="5">
        <f>IF(Tabla_Decretos[[#This Row],[id_padre]]="",0,_xlfn.XLOOKUP(Tabla_Decretos[[#This Row],[id_padre]],Tabla_Decretos[Id],Tabla_Decretos[Nivel],0,0,1)+1)</f>
        <v>2</v>
      </c>
      <c r="D171" s="2" t="s">
        <v>778</v>
      </c>
      <c r="E171" s="2">
        <f>IF(Tabla_Decretos[[#This Row],[Id_anterior]]=1,ROW()-1,SUM(ROW()-1,Tabla_Decretos[[#This Row],[Id_anterior]]))</f>
        <v>906</v>
      </c>
      <c r="F171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DECRETOS_INFORMES_CALENDARIO_PAGOS</v>
      </c>
      <c r="G171" s="2" t="str">
        <f>CLEAN(PROPER(Tabla_Decretos[[#This Row],[Nombre Opción]]))</f>
        <v>Calendario De Pagos</v>
      </c>
      <c r="H171" s="2" t="s">
        <v>1735</v>
      </c>
      <c r="I171" s="2" t="str">
        <f>_xlfn.XLOOKUP(Tabla_Decretos[[#This Row],[id_padre]],Tabla_Decretos[Id],Tabla_Decretos[Codigo_Tecnico],"",0,1)</f>
        <v>DECRETOS_INFORMES</v>
      </c>
      <c r="J171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/decretos/informes/calendario-pagos</v>
      </c>
      <c r="K171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calendario-pagos</v>
      </c>
      <c r="L171" s="2" t="s">
        <v>1372</v>
      </c>
      <c r="M171" t="s">
        <v>1799</v>
      </c>
      <c r="P171" s="4"/>
      <c r="R171" s="4"/>
      <c r="S171" s="4" t="s">
        <v>360</v>
      </c>
      <c r="T171" s="4" t="s">
        <v>360</v>
      </c>
      <c r="W171" s="4" t="s">
        <v>360</v>
      </c>
      <c r="Z171" s="4" t="s">
        <v>360</v>
      </c>
      <c r="AB171" s="5"/>
      <c r="AC171" s="5"/>
      <c r="AD171" s="5"/>
      <c r="AE171" s="5"/>
      <c r="AF171" s="5"/>
      <c r="AG171" s="5"/>
      <c r="AH171" s="4" t="s">
        <v>360</v>
      </c>
      <c r="AI171" s="2" t="str">
        <f>IF(Tabla_Decretos[[#This Row],[id_padre]]=Tabla_Decretos[[#This Row],[Id]],"NOK","OK")</f>
        <v>OK</v>
      </c>
      <c r="AJ171" s="2"/>
      <c r="AK171" s="2"/>
      <c r="AL171" s="2"/>
      <c r="AM171" s="2"/>
      <c r="AN171" s="2"/>
    </row>
    <row r="172" spans="1:40" hidden="1" x14ac:dyDescent="0.5">
      <c r="A172" s="2">
        <f>MAX(Tabla_Compras[Id])</f>
        <v>736</v>
      </c>
      <c r="B172" s="2">
        <v>906</v>
      </c>
      <c r="C172" s="5">
        <f>IF(Tabla_Decretos[[#This Row],[id_padre]]="",0,_xlfn.XLOOKUP(Tabla_Decretos[[#This Row],[id_padre]],Tabla_Decretos[Id],Tabla_Decretos[Nivel],0,0,1)+1)</f>
        <v>3</v>
      </c>
      <c r="D172" s="2" t="s">
        <v>779</v>
      </c>
      <c r="E172" s="2">
        <f>IF(Tabla_Decretos[[#This Row],[Id_anterior]]=1,ROW()-1,SUM(ROW()-1,Tabla_Decretos[[#This Row],[Id_anterior]]))</f>
        <v>907</v>
      </c>
      <c r="F172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DECRETOS_INFORMES_CALENDARIO_PAGOS_CARGOS</v>
      </c>
      <c r="G172" s="2" t="str">
        <f>CLEAN(PROPER(Tabla_Decretos[[#This Row],[Nombre Opción]]))</f>
        <v>Cargos</v>
      </c>
      <c r="H172" s="2" t="s">
        <v>1735</v>
      </c>
      <c r="I172" s="2" t="str">
        <f>_xlfn.XLOOKUP(Tabla_Decretos[[#This Row],[id_padre]],Tabla_Decretos[Id],Tabla_Decretos[Codigo_Tecnico],"",0,1)</f>
        <v>DECRETOS_INFORMES_CALENDARIO_PAGOS</v>
      </c>
      <c r="J172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/decretos/informes/calendario-pagos/cargos</v>
      </c>
      <c r="K172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cargos</v>
      </c>
      <c r="L172" s="2" t="s">
        <v>1353</v>
      </c>
      <c r="M172" t="s">
        <v>1799</v>
      </c>
      <c r="P172" s="4"/>
      <c r="R172" s="4"/>
      <c r="S172" s="4" t="s">
        <v>360</v>
      </c>
      <c r="T172" s="4" t="s">
        <v>360</v>
      </c>
      <c r="W172" s="4" t="s">
        <v>360</v>
      </c>
      <c r="Z172" s="4" t="s">
        <v>360</v>
      </c>
      <c r="AB172" s="5"/>
      <c r="AC172" s="5"/>
      <c r="AD172" s="5"/>
      <c r="AE172" s="5"/>
      <c r="AF172" s="5"/>
      <c r="AG172" s="5"/>
      <c r="AH172" s="4" t="s">
        <v>360</v>
      </c>
      <c r="AI172" s="2" t="str">
        <f>IF(Tabla_Decretos[[#This Row],[id_padre]]=Tabla_Decretos[[#This Row],[Id]],"NOK","OK")</f>
        <v>OK</v>
      </c>
      <c r="AJ172" s="2"/>
      <c r="AK172" s="2"/>
      <c r="AL172" s="2"/>
      <c r="AM172" s="2"/>
      <c r="AN172" s="2"/>
    </row>
    <row r="173" spans="1:40" hidden="1" x14ac:dyDescent="0.5">
      <c r="A173" s="2">
        <f>MAX(Tabla_Compras[Id])</f>
        <v>736</v>
      </c>
      <c r="B173" s="2">
        <v>744</v>
      </c>
      <c r="C173" s="5">
        <f>IF(Tabla_Decretos[[#This Row],[id_padre]]="",0,_xlfn.XLOOKUP(Tabla_Decretos[[#This Row],[id_padre]],Tabla_Decretos[Id],Tabla_Decretos[Nivel],0,0,1)+1)</f>
        <v>2</v>
      </c>
      <c r="D173" s="2" t="s">
        <v>780</v>
      </c>
      <c r="E173" s="2">
        <f>IF(Tabla_Decretos[[#This Row],[Id_anterior]]=1,ROW()-1,SUM(ROW()-1,Tabla_Decretos[[#This Row],[Id_anterior]]))</f>
        <v>908</v>
      </c>
      <c r="F173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DECRETOS_INFORMES_RELACION_CASOS_FMS</v>
      </c>
      <c r="G173" s="2" t="str">
        <f>CLEAN(PROPER(Tabla_Decretos[[#This Row],[Nombre Opción]]))</f>
        <v>Relacion Casos F.M.S</v>
      </c>
      <c r="H173" s="2" t="s">
        <v>1735</v>
      </c>
      <c r="I173" s="2" t="str">
        <f>_xlfn.XLOOKUP(Tabla_Decretos[[#This Row],[id_padre]],Tabla_Decretos[Id],Tabla_Decretos[Codigo_Tecnico],"",0,1)</f>
        <v>DECRETOS_INFORMES</v>
      </c>
      <c r="J173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/decretos/informes/relacion-casos-fms</v>
      </c>
      <c r="K173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relacion-casos-fms</v>
      </c>
      <c r="L173" s="2" t="s">
        <v>1549</v>
      </c>
      <c r="M173" t="s">
        <v>1799</v>
      </c>
      <c r="P173" s="4"/>
      <c r="R173" s="4"/>
      <c r="S173" s="4" t="s">
        <v>360</v>
      </c>
      <c r="T173" s="4" t="s">
        <v>360</v>
      </c>
      <c r="U173" s="4" t="s">
        <v>360</v>
      </c>
      <c r="V173" s="4" t="s">
        <v>360</v>
      </c>
      <c r="W173" s="4" t="s">
        <v>360</v>
      </c>
      <c r="X173" s="4" t="s">
        <v>360</v>
      </c>
      <c r="Z173" s="4" t="s">
        <v>360</v>
      </c>
      <c r="AA173" s="4" t="s">
        <v>360</v>
      </c>
      <c r="AB173" s="5"/>
      <c r="AC173" s="5"/>
      <c r="AD173" s="5"/>
      <c r="AE173" s="5"/>
      <c r="AF173" s="5"/>
      <c r="AG173" s="5"/>
      <c r="AH173" s="4" t="s">
        <v>360</v>
      </c>
      <c r="AI173" s="2" t="str">
        <f>IF(Tabla_Decretos[[#This Row],[id_padre]]=Tabla_Decretos[[#This Row],[Id]],"NOK","OK")</f>
        <v>OK</v>
      </c>
      <c r="AJ173" s="2"/>
      <c r="AK173" s="2"/>
      <c r="AL173" s="2"/>
      <c r="AM173" s="2"/>
      <c r="AN173" s="2"/>
    </row>
    <row r="174" spans="1:40" hidden="1" x14ac:dyDescent="0.5">
      <c r="A174" s="2">
        <f>MAX(Tabla_Compras[Id])</f>
        <v>736</v>
      </c>
      <c r="B174" s="2">
        <v>744</v>
      </c>
      <c r="C174" s="5">
        <f>IF(Tabla_Decretos[[#This Row],[id_padre]]="",0,_xlfn.XLOOKUP(Tabla_Decretos[[#This Row],[id_padre]],Tabla_Decretos[Id],Tabla_Decretos[Nivel],0,0,1)+1)</f>
        <v>2</v>
      </c>
      <c r="D174" s="2" t="s">
        <v>781</v>
      </c>
      <c r="E174" s="2">
        <f>IF(Tabla_Decretos[[#This Row],[Id_anterior]]=1,ROW()-1,SUM(ROW()-1,Tabla_Decretos[[#This Row],[Id_anterior]]))</f>
        <v>909</v>
      </c>
      <c r="F174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DECRETOS_INFORMES_ESTADO_SITUACION_LOS_CASOS_FMS</v>
      </c>
      <c r="G174" s="2" t="str">
        <f>CLEAN(PROPER(Tabla_Decretos[[#This Row],[Nombre Opción]]))</f>
        <v>Estado De Situacion De Los Casos F.M.S.</v>
      </c>
      <c r="H174" s="2" t="s">
        <v>1735</v>
      </c>
      <c r="I174" s="2" t="str">
        <f>_xlfn.XLOOKUP(Tabla_Decretos[[#This Row],[id_padre]],Tabla_Decretos[Id],Tabla_Decretos[Codigo_Tecnico],"",0,1)</f>
        <v>DECRETOS_INFORMES</v>
      </c>
      <c r="J174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/decretos/informes/estado-situacion-los-casos-fms</v>
      </c>
      <c r="K174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estado-situacion-los-casos-fms</v>
      </c>
      <c r="L174" s="2" t="s">
        <v>1333</v>
      </c>
      <c r="M174" t="s">
        <v>1799</v>
      </c>
      <c r="P174" s="4"/>
      <c r="R174" s="4"/>
      <c r="S174" s="4" t="s">
        <v>360</v>
      </c>
      <c r="T174" s="4" t="s">
        <v>360</v>
      </c>
      <c r="U174" s="4" t="s">
        <v>360</v>
      </c>
      <c r="V174" s="4" t="s">
        <v>360</v>
      </c>
      <c r="W174" s="4" t="s">
        <v>360</v>
      </c>
      <c r="X174" s="4" t="s">
        <v>360</v>
      </c>
      <c r="Z174" s="4" t="s">
        <v>360</v>
      </c>
      <c r="AA174" s="4" t="s">
        <v>360</v>
      </c>
      <c r="AB174" s="5"/>
      <c r="AC174" s="5"/>
      <c r="AD174" s="5"/>
      <c r="AE174" s="5"/>
      <c r="AF174" s="5"/>
      <c r="AG174" s="5"/>
      <c r="AH174" s="4" t="s">
        <v>360</v>
      </c>
      <c r="AI174" s="2" t="str">
        <f>IF(Tabla_Decretos[[#This Row],[id_padre]]=Tabla_Decretos[[#This Row],[Id]],"NOK","OK")</f>
        <v>OK</v>
      </c>
      <c r="AJ174" s="2"/>
      <c r="AK174" s="2"/>
      <c r="AL174" s="2"/>
      <c r="AM174" s="2"/>
      <c r="AN174" s="2"/>
    </row>
    <row r="175" spans="1:40" hidden="1" x14ac:dyDescent="0.5">
      <c r="A175" s="2">
        <f>MAX(Tabla_Compras[Id])</f>
        <v>736</v>
      </c>
      <c r="B175" s="2">
        <v>744</v>
      </c>
      <c r="C175" s="5">
        <f>IF(Tabla_Decretos[[#This Row],[id_padre]]="",0,_xlfn.XLOOKUP(Tabla_Decretos[[#This Row],[id_padre]],Tabla_Decretos[Id],Tabla_Decretos[Nivel],0,0,1)+1)</f>
        <v>2</v>
      </c>
      <c r="D175" s="2" t="s">
        <v>747</v>
      </c>
      <c r="E175" s="2">
        <f>IF(Tabla_Decretos[[#This Row],[Id_anterior]]=1,ROW()-1,SUM(ROW()-1,Tabla_Decretos[[#This Row],[Id_anterior]]))</f>
        <v>910</v>
      </c>
      <c r="F175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DECRETOS_INFORMES_SITUACION_LINEAS_LOA</v>
      </c>
      <c r="G175" s="2" t="str">
        <f>CLEAN(PROPER(Tabla_Decretos[[#This Row],[Nombre Opción]]))</f>
        <v>Situacion Lineas De La Loa</v>
      </c>
      <c r="H175" s="2" t="s">
        <v>1735</v>
      </c>
      <c r="I175" s="2" t="str">
        <f>_xlfn.XLOOKUP(Tabla_Decretos[[#This Row],[id_padre]],Tabla_Decretos[Id],Tabla_Decretos[Codigo_Tecnico],"",0,1)</f>
        <v>DECRETOS_INFORMES</v>
      </c>
      <c r="J175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/decretos/informes/situacion-lineas-loa</v>
      </c>
      <c r="K175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situacion-lineas-loa</v>
      </c>
      <c r="L175" s="2" t="s">
        <v>1487</v>
      </c>
      <c r="M175" t="s">
        <v>1799</v>
      </c>
      <c r="P175" s="4"/>
      <c r="R175" s="4"/>
      <c r="S175" s="4" t="s">
        <v>360</v>
      </c>
      <c r="T175" s="4" t="s">
        <v>360</v>
      </c>
      <c r="U175" s="4" t="s">
        <v>360</v>
      </c>
      <c r="V175" s="4" t="s">
        <v>360</v>
      </c>
      <c r="W175" s="4" t="s">
        <v>360</v>
      </c>
      <c r="X175" s="4" t="s">
        <v>360</v>
      </c>
      <c r="Z175" s="4" t="s">
        <v>360</v>
      </c>
      <c r="AA175" s="4" t="s">
        <v>360</v>
      </c>
      <c r="AB175" s="5"/>
      <c r="AC175" s="5"/>
      <c r="AD175" s="5"/>
      <c r="AE175" s="5"/>
      <c r="AF175" s="5"/>
      <c r="AG175" s="5"/>
      <c r="AH175" s="4" t="s">
        <v>360</v>
      </c>
      <c r="AI175" s="2" t="str">
        <f>IF(Tabla_Decretos[[#This Row],[id_padre]]=Tabla_Decretos[[#This Row],[Id]],"NOK","OK")</f>
        <v>OK</v>
      </c>
      <c r="AJ175" s="2"/>
      <c r="AK175" s="2"/>
      <c r="AL175" s="2"/>
      <c r="AM175" s="2"/>
      <c r="AN175" s="2"/>
    </row>
    <row r="176" spans="1:40" hidden="1" x14ac:dyDescent="0.5">
      <c r="A176" s="2">
        <f>MAX(Tabla_Compras[Id])</f>
        <v>736</v>
      </c>
      <c r="B176" s="2">
        <v>744</v>
      </c>
      <c r="C176" s="5">
        <f>IF(Tabla_Decretos[[#This Row],[id_padre]]="",0,_xlfn.XLOOKUP(Tabla_Decretos[[#This Row],[id_padre]],Tabla_Decretos[Id],Tabla_Decretos[Nivel],0,0,1)+1)</f>
        <v>2</v>
      </c>
      <c r="D176" s="2" t="s">
        <v>782</v>
      </c>
      <c r="E176" s="2">
        <f>IF(Tabla_Decretos[[#This Row],[Id_anterior]]=1,ROW()-1,SUM(ROW()-1,Tabla_Decretos[[#This Row],[Id_anterior]]))</f>
        <v>911</v>
      </c>
      <c r="F176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DECRETOS_INFORMES_SITUACION_PPTARIAS_LINEAS_LOA</v>
      </c>
      <c r="G176" s="2" t="str">
        <f>CLEAN(PROPER(Tabla_Decretos[[#This Row],[Nombre Opción]]))</f>
        <v>Situacion Pptarias. Lineas De La Loa</v>
      </c>
      <c r="H176" s="2" t="s">
        <v>1735</v>
      </c>
      <c r="I176" s="2" t="str">
        <f>_xlfn.XLOOKUP(Tabla_Decretos[[#This Row],[id_padre]],Tabla_Decretos[Id],Tabla_Decretos[Codigo_Tecnico],"",0,1)</f>
        <v>DECRETOS_INFORMES</v>
      </c>
      <c r="J176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/decretos/informes/situacion-pptarias-lineas-loa</v>
      </c>
      <c r="K176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situacion-pptarias-lineas-loa</v>
      </c>
      <c r="L176" s="2" t="s">
        <v>1395</v>
      </c>
      <c r="M176" t="s">
        <v>1799</v>
      </c>
      <c r="P176" s="4"/>
      <c r="R176" s="4"/>
      <c r="S176" s="4" t="s">
        <v>360</v>
      </c>
      <c r="V176" s="4" t="s">
        <v>360</v>
      </c>
      <c r="W176" s="4" t="s">
        <v>360</v>
      </c>
      <c r="X176" s="4" t="s">
        <v>360</v>
      </c>
      <c r="Z176" s="4" t="s">
        <v>360</v>
      </c>
      <c r="AA176" s="4" t="s">
        <v>360</v>
      </c>
      <c r="AB176" s="5"/>
      <c r="AC176" s="5"/>
      <c r="AD176" s="5"/>
      <c r="AE176" s="5"/>
      <c r="AF176" s="5"/>
      <c r="AG176" s="5"/>
      <c r="AH176" s="4" t="s">
        <v>360</v>
      </c>
      <c r="AI176" s="2" t="str">
        <f>IF(Tabla_Decretos[[#This Row],[id_padre]]=Tabla_Decretos[[#This Row],[Id]],"NOK","OK")</f>
        <v>OK</v>
      </c>
      <c r="AJ176" s="2"/>
      <c r="AK176" s="2"/>
      <c r="AL176" s="2"/>
      <c r="AM176" s="2"/>
      <c r="AN176" s="2"/>
    </row>
    <row r="177" spans="1:42" hidden="1" x14ac:dyDescent="0.5">
      <c r="A177" s="2">
        <f>MAX(Tabla_Compras[Id])</f>
        <v>736</v>
      </c>
      <c r="B177" s="2">
        <v>744</v>
      </c>
      <c r="C177" s="5">
        <f>IF(Tabla_Decretos[[#This Row],[id_padre]]="",0,_xlfn.XLOOKUP(Tabla_Decretos[[#This Row],[id_padre]],Tabla_Decretos[Id],Tabla_Decretos[Nivel],0,0,1)+1)</f>
        <v>2</v>
      </c>
      <c r="D177" s="2" t="s">
        <v>783</v>
      </c>
      <c r="E177" s="2">
        <f>IF(Tabla_Decretos[[#This Row],[Id_anterior]]=1,ROW()-1,SUM(ROW()-1,Tabla_Decretos[[#This Row],[Id_anterior]]))</f>
        <v>912</v>
      </c>
      <c r="F177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DECRETOS_INFORMES_SALDOS_PPTARIOS_POR_UNIDAD_INTERNA</v>
      </c>
      <c r="G177" s="2" t="str">
        <f>CLEAN(PROPER(Tabla_Decretos[[#This Row],[Nombre Opción]]))</f>
        <v>Saldos Pptarios. Por Unidad Interna</v>
      </c>
      <c r="H177" s="2" t="s">
        <v>1735</v>
      </c>
      <c r="I177" s="2" t="str">
        <f>_xlfn.XLOOKUP(Tabla_Decretos[[#This Row],[id_padre]],Tabla_Decretos[Id],Tabla_Decretos[Codigo_Tecnico],"",0,1)</f>
        <v>DECRETOS_INFORMES</v>
      </c>
      <c r="J177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/decretos/informes/saldos-pptarios-por-unidad-interna</v>
      </c>
      <c r="K177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saldos-pptarios-por-unidad-interna</v>
      </c>
      <c r="L177" s="2" t="s">
        <v>1371</v>
      </c>
      <c r="M177" t="s">
        <v>1799</v>
      </c>
      <c r="P177" s="4"/>
      <c r="R177" s="4"/>
      <c r="S177" s="4" t="s">
        <v>360</v>
      </c>
      <c r="V177" s="4" t="s">
        <v>360</v>
      </c>
      <c r="W177" s="4" t="s">
        <v>360</v>
      </c>
      <c r="X177" s="4" t="s">
        <v>360</v>
      </c>
      <c r="Z177" s="4" t="s">
        <v>360</v>
      </c>
      <c r="AA177" s="4" t="s">
        <v>360</v>
      </c>
      <c r="AB177" s="5"/>
      <c r="AC177" s="5"/>
      <c r="AD177" s="5"/>
      <c r="AE177" s="5"/>
      <c r="AF177" s="5"/>
      <c r="AG177" s="5"/>
      <c r="AH177" s="4" t="s">
        <v>360</v>
      </c>
      <c r="AI177" s="2" t="str">
        <f>IF(Tabla_Decretos[[#This Row],[id_padre]]=Tabla_Decretos[[#This Row],[Id]],"NOK","OK")</f>
        <v>OK</v>
      </c>
      <c r="AJ177" s="2"/>
      <c r="AK177" s="2"/>
      <c r="AL177" s="2"/>
      <c r="AM177" s="2"/>
      <c r="AN177" s="2"/>
    </row>
    <row r="178" spans="1:42" hidden="1" x14ac:dyDescent="0.5">
      <c r="A178" s="2">
        <f>MAX(Tabla_Compras[Id])</f>
        <v>736</v>
      </c>
      <c r="B178" s="2">
        <v>744</v>
      </c>
      <c r="C178" s="5">
        <f>IF(Tabla_Decretos[[#This Row],[id_padre]]="",0,_xlfn.XLOOKUP(Tabla_Decretos[[#This Row],[id_padre]],Tabla_Decretos[Id],Tabla_Decretos[Nivel],0,0,1)+1)</f>
        <v>2</v>
      </c>
      <c r="D178" s="2" t="s">
        <v>784</v>
      </c>
      <c r="E178" s="2">
        <f>IF(Tabla_Decretos[[#This Row],[Id_anterior]]=1,ROW()-1,SUM(ROW()-1,Tabla_Decretos[[#This Row],[Id_anterior]]))</f>
        <v>913</v>
      </c>
      <c r="F178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DECRETOS_INFORMES_RELACION_PROYECTOS</v>
      </c>
      <c r="G178" s="2" t="str">
        <f>CLEAN(PROPER(Tabla_Decretos[[#This Row],[Nombre Opción]]))</f>
        <v>Relacion De Proyectos</v>
      </c>
      <c r="H178" s="2" t="s">
        <v>1735</v>
      </c>
      <c r="I178" s="2" t="str">
        <f>_xlfn.XLOOKUP(Tabla_Decretos[[#This Row],[id_padre]],Tabla_Decretos[Id],Tabla_Decretos[Codigo_Tecnico],"",0,1)</f>
        <v>DECRETOS_INFORMES</v>
      </c>
      <c r="J178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/decretos/informes/relacion-proyectos</v>
      </c>
      <c r="K178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relacion-proyectos</v>
      </c>
      <c r="L178" s="2" t="s">
        <v>1548</v>
      </c>
      <c r="M178" t="s">
        <v>1799</v>
      </c>
      <c r="P178" s="4"/>
      <c r="R178" s="4"/>
      <c r="S178" s="4"/>
      <c r="AB178" s="5" t="s">
        <v>360</v>
      </c>
      <c r="AC178" s="5" t="s">
        <v>360</v>
      </c>
      <c r="AD178" s="5" t="s">
        <v>360</v>
      </c>
      <c r="AE178" s="5" t="s">
        <v>360</v>
      </c>
      <c r="AF178" s="5" t="s">
        <v>360</v>
      </c>
      <c r="AG178" s="5" t="s">
        <v>360</v>
      </c>
      <c r="AH178" s="4" t="s">
        <v>360</v>
      </c>
      <c r="AI178" s="2" t="str">
        <f>IF(Tabla_Decretos[[#This Row],[id_padre]]=Tabla_Decretos[[#This Row],[Id]],"NOK","OK")</f>
        <v>OK</v>
      </c>
      <c r="AJ178" s="2"/>
      <c r="AK178" s="2"/>
      <c r="AL178" s="2"/>
      <c r="AM178" s="2"/>
      <c r="AN178" s="2"/>
    </row>
    <row r="179" spans="1:42" hidden="1" x14ac:dyDescent="0.5">
      <c r="A179" s="2">
        <f>MAX(Tabla_Compras[Id])</f>
        <v>736</v>
      </c>
      <c r="B179" s="2">
        <v>744</v>
      </c>
      <c r="C179" s="5">
        <f>IF(Tabla_Decretos[[#This Row],[id_padre]]="",0,_xlfn.XLOOKUP(Tabla_Decretos[[#This Row],[id_padre]],Tabla_Decretos[Id],Tabla_Decretos[Nivel],0,0,1)+1)</f>
        <v>2</v>
      </c>
      <c r="D179" s="2" t="s">
        <v>785</v>
      </c>
      <c r="E179" s="2">
        <f>IF(Tabla_Decretos[[#This Row],[Id_anterior]]=1,ROW()-1,SUM(ROW()-1,Tabla_Decretos[[#This Row],[Id_anterior]]))</f>
        <v>914</v>
      </c>
      <c r="F179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DECRETOS_INFORMES_SITUACION_PROYECTOS</v>
      </c>
      <c r="G179" s="2" t="str">
        <f>CLEAN(PROPER(Tabla_Decretos[[#This Row],[Nombre Opción]]))</f>
        <v>Situacion De Proyectos</v>
      </c>
      <c r="H179" s="2" t="s">
        <v>1735</v>
      </c>
      <c r="I179" s="2" t="str">
        <f>_xlfn.XLOOKUP(Tabla_Decretos[[#This Row],[id_padre]],Tabla_Decretos[Id],Tabla_Decretos[Codigo_Tecnico],"",0,1)</f>
        <v>DECRETOS_INFORMES</v>
      </c>
      <c r="J179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/decretos/informes/situacion-proyectos</v>
      </c>
      <c r="K179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situacion-proyectos</v>
      </c>
      <c r="L179" s="2" t="s">
        <v>1421</v>
      </c>
      <c r="M179" t="s">
        <v>1799</v>
      </c>
      <c r="P179" s="4"/>
      <c r="R179" s="4"/>
      <c r="S179" s="4"/>
      <c r="AB179" s="5" t="s">
        <v>360</v>
      </c>
      <c r="AC179" s="5" t="s">
        <v>360</v>
      </c>
      <c r="AD179" s="5" t="s">
        <v>360</v>
      </c>
      <c r="AE179" s="5" t="s">
        <v>360</v>
      </c>
      <c r="AF179" s="5" t="s">
        <v>360</v>
      </c>
      <c r="AG179" s="5" t="s">
        <v>360</v>
      </c>
      <c r="AH179" s="4" t="s">
        <v>360</v>
      </c>
      <c r="AI179" s="2" t="str">
        <f>IF(Tabla_Decretos[[#This Row],[id_padre]]=Tabla_Decretos[[#This Row],[Id]],"NOK","OK")</f>
        <v>OK</v>
      </c>
      <c r="AJ179" s="2"/>
      <c r="AK179" s="2"/>
      <c r="AL179" s="2"/>
      <c r="AM179" s="2"/>
      <c r="AN179" s="2"/>
    </row>
    <row r="180" spans="1:42" hidden="1" x14ac:dyDescent="0.5">
      <c r="A180" s="2">
        <f>MAX(Tabla_Compras[Id])</f>
        <v>736</v>
      </c>
      <c r="B180" s="2">
        <v>744</v>
      </c>
      <c r="C180" s="5">
        <f>IF(Tabla_Decretos[[#This Row],[id_padre]]="",0,_xlfn.XLOOKUP(Tabla_Decretos[[#This Row],[id_padre]],Tabla_Decretos[Id],Tabla_Decretos[Nivel],0,0,1)+1)</f>
        <v>2</v>
      </c>
      <c r="D180" s="2" t="s">
        <v>786</v>
      </c>
      <c r="E180" s="2">
        <f>IF(Tabla_Decretos[[#This Row],[Id_anterior]]=1,ROW()-1,SUM(ROW()-1,Tabla_Decretos[[#This Row],[Id_anterior]]))</f>
        <v>915</v>
      </c>
      <c r="F180" s="2" t="str">
        <f>IF(Tabla_Decretos[[#This Row],[id_padre]]="",SUBSTITUTE(UPPER(Tabla_Decretos[[#This Row],[Slug]]),"-","_"),CONCATENATE(_xlfn.XLOOKUP(Tabla_Decretos[[#This Row],[id_padre]],Tabla_Decretos[Id],Tabla_Decretos[Codigo_Tecnico],"",0,1),"_",SUBSTITUTE(UPPER(Tabla_Decretos[[#This Row],[Slug]]),"-","_")))</f>
        <v>DECRETOS_INFORMES_ASIGNACION_PPTARIA_PLURIANUAL_POR_PROYECTO</v>
      </c>
      <c r="G180" s="2" t="str">
        <f>CLEAN(PROPER(Tabla_Decretos[[#This Row],[Nombre Opción]]))</f>
        <v>Asignacion Pptaria. Plurianual Por Proyecto</v>
      </c>
      <c r="H180" s="2" t="s">
        <v>1735</v>
      </c>
      <c r="I180" s="2" t="str">
        <f>_xlfn.XLOOKUP(Tabla_Decretos[[#This Row],[id_padre]],Tabla_Decretos[Id],Tabla_Decretos[Codigo_Tecnico],"",0,1)</f>
        <v>DECRETOS_INFORMES</v>
      </c>
      <c r="J180" s="2" t="str">
        <f>IF(Tabla_Decretos[[#This Row],[Nivel]]=0,CONCATENATE("/",Tabla_Decretos[[#This Row],[Slug]]),CONCATENATE(_xlfn.XLOOKUP(Tabla_Decretos[[#This Row],[id_padre]],Tabla_Decretos[Id],Tabla_Decretos[Ruta_Web],"",0,1),"/",Tabla_Decretos[[#This Row],[Slug]]))</f>
        <v>/decretos/informes/asignacion-pptaria-plurianual-por-proyecto</v>
      </c>
      <c r="K180" s="2" t="str">
        <f>SUBSTITUTE(SUBSTITUTE(SUBSTITUTE(SUBSTITUTE(SUBSTITUTE(SUBSTITUTE(SUBSTITUTE(SUBSTITUTE(SUBSTITUTE(SUBSTITUTE(SUBSTITUTE(SUBSTITUTE(SUBSTITUTE(SUBSTITUTE(SUBSTITUTE(SUBSTITUTE(SUBSTITUTE(SUBSTITUTE(SUBSTITUTE(SUBSTITUTE(SUBSTITUTE(LOWER(Tabla_Decretos[[#This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asignacion-pptaria-plurianual-por-proyecto</v>
      </c>
      <c r="L180" s="2" t="s">
        <v>1436</v>
      </c>
      <c r="M180" t="s">
        <v>1799</v>
      </c>
      <c r="P180" s="4"/>
      <c r="R180" s="4"/>
      <c r="S180" s="4"/>
      <c r="AB180" s="5" t="s">
        <v>360</v>
      </c>
      <c r="AC180" s="5" t="s">
        <v>360</v>
      </c>
      <c r="AD180" s="5" t="s">
        <v>360</v>
      </c>
      <c r="AE180" s="5" t="s">
        <v>360</v>
      </c>
      <c r="AF180" s="5" t="s">
        <v>360</v>
      </c>
      <c r="AG180" s="5" t="s">
        <v>360</v>
      </c>
      <c r="AH180" s="4" t="s">
        <v>360</v>
      </c>
      <c r="AI180" s="2" t="str">
        <f>IF(Tabla_Decretos[[#This Row],[id_padre]]=Tabla_Decretos[[#This Row],[Id]],"NOK","OK")</f>
        <v>OK</v>
      </c>
      <c r="AJ180" s="2"/>
      <c r="AK180" s="2"/>
      <c r="AL180" s="2"/>
      <c r="AM180" s="2"/>
      <c r="AN180" s="2"/>
    </row>
    <row r="181" spans="1:42" x14ac:dyDescent="0.5">
      <c r="AO181"/>
      <c r="AP181"/>
    </row>
    <row r="182" spans="1:42" x14ac:dyDescent="0.5">
      <c r="AO182"/>
      <c r="AP182"/>
    </row>
    <row r="183" spans="1:42" x14ac:dyDescent="0.5">
      <c r="AO183"/>
      <c r="AP183"/>
    </row>
    <row r="184" spans="1:42" x14ac:dyDescent="0.5">
      <c r="AO184"/>
      <c r="AP184"/>
    </row>
    <row r="185" spans="1:42" x14ac:dyDescent="0.5">
      <c r="AO185"/>
      <c r="AP185"/>
    </row>
    <row r="186" spans="1:42" x14ac:dyDescent="0.5">
      <c r="AO186"/>
      <c r="AP186"/>
    </row>
    <row r="187" spans="1:42" x14ac:dyDescent="0.5">
      <c r="AO187"/>
      <c r="AP187"/>
    </row>
    <row r="188" spans="1:42" x14ac:dyDescent="0.5">
      <c r="AO188"/>
      <c r="AP188"/>
    </row>
    <row r="189" spans="1:42" x14ac:dyDescent="0.5">
      <c r="AO189"/>
      <c r="AP189"/>
    </row>
    <row r="190" spans="1:42" x14ac:dyDescent="0.5">
      <c r="AO190"/>
      <c r="AP190"/>
    </row>
    <row r="191" spans="1:42" x14ac:dyDescent="0.5">
      <c r="AO191"/>
      <c r="AP191"/>
    </row>
    <row r="192" spans="1:42" x14ac:dyDescent="0.5">
      <c r="AO192"/>
      <c r="AP192"/>
    </row>
    <row r="193" spans="41:42" x14ac:dyDescent="0.5">
      <c r="AO193"/>
      <c r="AP193"/>
    </row>
    <row r="194" spans="41:42" x14ac:dyDescent="0.5">
      <c r="AO194"/>
      <c r="AP194"/>
    </row>
    <row r="195" spans="41:42" x14ac:dyDescent="0.5">
      <c r="AO195"/>
      <c r="AP195"/>
    </row>
    <row r="196" spans="41:42" x14ac:dyDescent="0.5">
      <c r="AO196"/>
      <c r="AP196"/>
    </row>
    <row r="197" spans="41:42" x14ac:dyDescent="0.5">
      <c r="AO197"/>
      <c r="AP197"/>
    </row>
    <row r="198" spans="41:42" x14ac:dyDescent="0.5">
      <c r="AO198"/>
      <c r="AP198"/>
    </row>
    <row r="199" spans="41:42" x14ac:dyDescent="0.5">
      <c r="AO199"/>
      <c r="AP199"/>
    </row>
    <row r="200" spans="41:42" x14ac:dyDescent="0.5">
      <c r="AO200"/>
      <c r="AP200"/>
    </row>
    <row r="201" spans="41:42" x14ac:dyDescent="0.5">
      <c r="AO201"/>
      <c r="AP201"/>
    </row>
    <row r="202" spans="41:42" x14ac:dyDescent="0.5">
      <c r="AO202"/>
      <c r="AP202"/>
    </row>
    <row r="203" spans="41:42" x14ac:dyDescent="0.5">
      <c r="AO203"/>
      <c r="AP203"/>
    </row>
    <row r="204" spans="41:42" x14ac:dyDescent="0.5">
      <c r="AO204"/>
      <c r="AP204"/>
    </row>
    <row r="205" spans="41:42" x14ac:dyDescent="0.5">
      <c r="AO205"/>
      <c r="AP205"/>
    </row>
    <row r="206" spans="41:42" x14ac:dyDescent="0.5">
      <c r="AO206"/>
      <c r="AP206"/>
    </row>
    <row r="207" spans="41:42" x14ac:dyDescent="0.5">
      <c r="AO207"/>
      <c r="AP207"/>
    </row>
    <row r="208" spans="41:42" x14ac:dyDescent="0.5">
      <c r="AO208"/>
      <c r="AP208"/>
    </row>
    <row r="209" spans="41:42" x14ac:dyDescent="0.5">
      <c r="AO209"/>
      <c r="AP209"/>
    </row>
    <row r="210" spans="41:42" x14ac:dyDescent="0.5">
      <c r="AO210"/>
      <c r="AP210"/>
    </row>
    <row r="211" spans="41:42" x14ac:dyDescent="0.5">
      <c r="AO211"/>
      <c r="AP211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C25861-9490-4968-A901-63FEF634B4A6}">
          <x14:formula1>
            <xm:f>Modulos!$C$2:$C$15</xm:f>
          </x14:formula1>
          <xm:sqref>M2:M180</xm:sqref>
        </x14:dataValidation>
        <x14:dataValidation type="list" allowBlank="1" showInputMessage="1" showErrorMessage="1" xr:uid="{9E2387D6-04A9-419C-BAC4-49A2577D4434}">
          <x14:formula1>
            <xm:f>Lista!$A$2:$A$3</xm:f>
          </x14:formula1>
          <xm:sqref>N2:AH180</xm:sqref>
        </x14:dataValidation>
        <x14:dataValidation type="list" allowBlank="1" showInputMessage="1" showErrorMessage="1" xr:uid="{CF236275-F01E-4394-8B97-EBB89D31AF19}">
          <x14:formula1>
            <xm:f>Equipo!$B$2:$B$7</xm:f>
          </x14:formula1>
          <xm:sqref>AJ2:AJ180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0D8A-BC6F-47ED-8374-482DFE74EE42}">
  <sheetPr codeName="Hoja14"/>
  <dimension ref="A1:Y97"/>
  <sheetViews>
    <sheetView zoomScale="70" zoomScaleNormal="70" workbookViewId="0">
      <pane xSplit="5" ySplit="1" topLeftCell="F6" activePane="bottomRight" state="frozen"/>
      <selection pane="topRight" activeCell="F1" sqref="F1"/>
      <selection pane="bottomLeft" activeCell="A2" sqref="A2"/>
      <selection pane="bottomRight" activeCell="E98" sqref="E98"/>
    </sheetView>
  </sheetViews>
  <sheetFormatPr baseColWidth="10" defaultColWidth="11.41015625" defaultRowHeight="14.35" x14ac:dyDescent="0.5"/>
  <cols>
    <col min="1" max="1" width="5.703125" style="4" customWidth="1"/>
    <col min="2" max="2" width="5.703125" style="2" customWidth="1"/>
    <col min="3" max="3" width="5.703125" customWidth="1"/>
    <col min="4" max="4" width="41.41015625" style="2" bestFit="1" customWidth="1"/>
    <col min="5" max="5" width="5.703125" customWidth="1"/>
    <col min="6" max="6" width="89.52734375" bestFit="1" customWidth="1"/>
    <col min="7" max="7" width="10.703125" style="2" customWidth="1"/>
    <col min="8" max="11" width="10.703125" style="4" customWidth="1"/>
    <col min="12" max="12" width="10.703125" style="2" customWidth="1"/>
    <col min="13" max="13" width="10.703125" style="4" customWidth="1"/>
    <col min="14" max="14" width="5.703125" style="4" customWidth="1"/>
    <col min="15" max="15" width="5.703125" customWidth="1"/>
    <col min="16" max="16" width="5.703125" style="4" customWidth="1"/>
    <col min="17" max="17" width="5.703125" style="2" customWidth="1"/>
    <col min="18" max="18" width="5.703125" style="5" customWidth="1"/>
    <col min="19" max="22" width="5.703125" style="4" customWidth="1"/>
    <col min="23" max="23" width="5.703125" style="2" customWidth="1"/>
    <col min="24" max="16384" width="11.41015625" style="2"/>
  </cols>
  <sheetData>
    <row r="1" spans="1:25" s="3" customFormat="1" ht="154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787</v>
      </c>
      <c r="O1" s="3" t="s">
        <v>788</v>
      </c>
      <c r="P1" s="3" t="s">
        <v>789</v>
      </c>
      <c r="Q1" s="3" t="s">
        <v>790</v>
      </c>
      <c r="R1" s="3" t="s">
        <v>791</v>
      </c>
      <c r="S1" s="3" t="s">
        <v>792</v>
      </c>
      <c r="T1" s="3" t="s">
        <v>793</v>
      </c>
      <c r="U1" s="3" t="s">
        <v>13</v>
      </c>
      <c r="V1" s="3" t="s">
        <v>794</v>
      </c>
      <c r="W1" s="3" t="s">
        <v>1932</v>
      </c>
      <c r="X1" s="3" t="s">
        <v>2005</v>
      </c>
      <c r="Y1" s="3" t="s">
        <v>2030</v>
      </c>
    </row>
    <row r="2" spans="1:25" x14ac:dyDescent="0.5">
      <c r="A2" s="2">
        <f>MAX(Tabla_Decretos[Id])</f>
        <v>915</v>
      </c>
      <c r="B2" s="2" t="s">
        <v>98</v>
      </c>
      <c r="C2" s="5">
        <f>IF(Tabla_Licencias_Medicas[[#This Row],[id_padre]]="",0,_xlfn.XLOOKUP(Tabla_Licencias_Medicas[[#This Row],[id_padre]],Tabla_Licencias_Medicas[Id],Tabla_Licencias_Medicas[Nivel],0,0,1)+1)</f>
        <v>0</v>
      </c>
      <c r="D2" s="2" t="s">
        <v>211</v>
      </c>
      <c r="E2" s="2">
        <f>IF(Tabla_Licencias_Medicas[[#This Row],[Id_anterior]]=1,ROW()-1,SUM(ROW()-1,Tabla_Licencias_Medicas[[#This Row],[Id_anterior]]))</f>
        <v>916</v>
      </c>
      <c r="F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</v>
      </c>
      <c r="G2" s="2" t="str">
        <f>CLEAN(PROPER(Tabla_Licencias_Medicas[[#This Row],[Nombre Opción]]))</f>
        <v>Licencias Médicas</v>
      </c>
      <c r="H2" s="2" t="s">
        <v>1735</v>
      </c>
      <c r="I2" s="2" t="str">
        <f>_xlfn.XLOOKUP(Tabla_Licencias_Medicas[[#This Row],[id_padre]],Tabla_Licencias_Medicas[Id],Tabla_Licencias_Medicas[Codigo_Tecnico],"",0,1)</f>
        <v/>
      </c>
      <c r="J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licencias-medicas</v>
      </c>
      <c r="L2" s="2" t="s">
        <v>1581</v>
      </c>
      <c r="M2" s="2" t="s">
        <v>1801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4" t="s">
        <v>360</v>
      </c>
      <c r="X2" s="2" t="str">
        <f>IF(Tabla_Licencias_Medicas[[#This Row],[id_padre]]=Tabla_Licencias_Medicas[[#This Row],[Id]],"NOK","OK")</f>
        <v>OK</v>
      </c>
    </row>
    <row r="3" spans="1:25" x14ac:dyDescent="0.5">
      <c r="A3" s="2">
        <f>MAX(Tabla_Decretos[Id])</f>
        <v>915</v>
      </c>
      <c r="B3">
        <v>916</v>
      </c>
      <c r="C3" s="5">
        <f>IF(Tabla_Licencias_Medicas[[#This Row],[id_padre]]="",0,_xlfn.XLOOKUP(Tabla_Licencias_Medicas[[#This Row],[id_padre]],Tabla_Licencias_Medicas[Id],Tabla_Licencias_Medicas[Nivel],0,0,1)+1)</f>
        <v>1</v>
      </c>
      <c r="D3" s="2" t="s">
        <v>18</v>
      </c>
      <c r="E3">
        <f>IF(Tabla_Licencias_Medicas[[#This Row],[Id_anterior]]=1,ROW()-1,SUM(ROW()-1,Tabla_Licencias_Medicas[[#This Row],[Id_anterior]]))</f>
        <v>917</v>
      </c>
      <c r="F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</v>
      </c>
      <c r="G3" s="2" t="str">
        <f>CLEAN(PROPER(Tabla_Licencias_Medicas[[#This Row],[Nombre Opción]]))</f>
        <v>Parámetros</v>
      </c>
      <c r="H3" s="2" t="s">
        <v>1735</v>
      </c>
      <c r="I3" s="2" t="str">
        <f>_xlfn.XLOOKUP(Tabla_Licencias_Medicas[[#This Row],[id_padre]],Tabla_Licencias_Medicas[Id],Tabla_Licencias_Medicas[Codigo_Tecnico],"",0,1)</f>
        <v>LICENCIAS_MEDICAS</v>
      </c>
      <c r="J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2" t="s">
        <v>1801</v>
      </c>
      <c r="N3" s="4" t="s">
        <v>360</v>
      </c>
      <c r="O3" s="4" t="s">
        <v>360</v>
      </c>
      <c r="P3" s="4" t="s">
        <v>360</v>
      </c>
      <c r="Q3" s="4"/>
      <c r="R3" s="4"/>
      <c r="S3" s="4" t="s">
        <v>360</v>
      </c>
      <c r="U3" s="4" t="s">
        <v>360</v>
      </c>
      <c r="V3" s="4" t="s">
        <v>360</v>
      </c>
      <c r="W3" s="4" t="s">
        <v>360</v>
      </c>
      <c r="X3" s="2" t="str">
        <f>IF(Tabla_Licencias_Medicas[[#This Row],[id_padre]]=Tabla_Licencias_Medicas[[#This Row],[Id]],"NOK","OK")</f>
        <v>OK</v>
      </c>
    </row>
    <row r="4" spans="1:25" x14ac:dyDescent="0.5">
      <c r="A4" s="2">
        <f>MAX(Tabla_Decretos[Id])</f>
        <v>915</v>
      </c>
      <c r="B4">
        <v>916</v>
      </c>
      <c r="C4" s="5">
        <f>IF(Tabla_Licencias_Medicas[[#This Row],[id_padre]]="",0,_xlfn.XLOOKUP(Tabla_Licencias_Medicas[[#This Row],[id_padre]],Tabla_Licencias_Medicas[Id],Tabla_Licencias_Medicas[Nivel],0,0,1)+1)</f>
        <v>1</v>
      </c>
      <c r="D4" s="2" t="s">
        <v>19</v>
      </c>
      <c r="E4">
        <f>IF(Tabla_Licencias_Medicas[[#This Row],[Id_anterior]]=1,ROW()-1,SUM(ROW()-1,Tabla_Licencias_Medicas[[#This Row],[Id_anterior]]))</f>
        <v>918</v>
      </c>
      <c r="F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</v>
      </c>
      <c r="G4" s="2" t="str">
        <f>CLEAN(PROPER(Tabla_Licencias_Medicas[[#This Row],[Nombre Opción]]))</f>
        <v>Procesos</v>
      </c>
      <c r="H4" s="2" t="s">
        <v>1735</v>
      </c>
      <c r="I4" s="2" t="str">
        <f>_xlfn.XLOOKUP(Tabla_Licencias_Medicas[[#This Row],[id_padre]],Tabla_Licencias_Medicas[Id],Tabla_Licencias_Medicas[Codigo_Tecnico],"",0,1)</f>
        <v>LICENCIAS_MEDICAS</v>
      </c>
      <c r="J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2" t="s">
        <v>1338</v>
      </c>
      <c r="M4" s="2" t="s">
        <v>1801</v>
      </c>
      <c r="N4" s="4" t="s">
        <v>360</v>
      </c>
      <c r="O4" s="4" t="s">
        <v>360</v>
      </c>
      <c r="P4" s="4" t="s">
        <v>360</v>
      </c>
      <c r="Q4" s="4" t="s">
        <v>360</v>
      </c>
      <c r="R4" s="4" t="s">
        <v>360</v>
      </c>
      <c r="S4" s="4" t="s">
        <v>360</v>
      </c>
      <c r="V4" s="4" t="s">
        <v>360</v>
      </c>
      <c r="W4" s="4" t="s">
        <v>360</v>
      </c>
      <c r="X4" s="2" t="str">
        <f>IF(Tabla_Licencias_Medicas[[#This Row],[id_padre]]=Tabla_Licencias_Medicas[[#This Row],[Id]],"NOK","OK")</f>
        <v>OK</v>
      </c>
    </row>
    <row r="5" spans="1:25" x14ac:dyDescent="0.5">
      <c r="A5" s="2">
        <f>MAX(Tabla_Decretos[Id])</f>
        <v>915</v>
      </c>
      <c r="B5">
        <v>916</v>
      </c>
      <c r="C5" s="5">
        <f>IF(Tabla_Licencias_Medicas[[#This Row],[id_padre]]="",0,_xlfn.XLOOKUP(Tabla_Licencias_Medicas[[#This Row],[id_padre]],Tabla_Licencias_Medicas[Id],Tabla_Licencias_Medicas[Nivel],0,0,1)+1)</f>
        <v>1</v>
      </c>
      <c r="D5" s="2" t="s">
        <v>20</v>
      </c>
      <c r="E5">
        <f>IF(Tabla_Licencias_Medicas[[#This Row],[Id_anterior]]=1,ROW()-1,SUM(ROW()-1,Tabla_Licencias_Medicas[[#This Row],[Id_anterior]]))</f>
        <v>919</v>
      </c>
      <c r="F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</v>
      </c>
      <c r="G5" s="2" t="str">
        <f>CLEAN(PROPER(Tabla_Licencias_Medicas[[#This Row],[Nombre Opción]]))</f>
        <v>Consultas</v>
      </c>
      <c r="H5" s="2" t="s">
        <v>1735</v>
      </c>
      <c r="I5" s="2" t="str">
        <f>_xlfn.XLOOKUP(Tabla_Licencias_Medicas[[#This Row],[id_padre]],Tabla_Licencias_Medicas[Id],Tabla_Licencias_Medicas[Codigo_Tecnico],"",0,1)</f>
        <v>LICENCIAS_MEDICAS</v>
      </c>
      <c r="J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2" t="s">
        <v>1339</v>
      </c>
      <c r="M5" s="2" t="s">
        <v>1801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4" t="s">
        <v>360</v>
      </c>
      <c r="U5" s="4" t="s">
        <v>360</v>
      </c>
      <c r="V5" s="4" t="s">
        <v>360</v>
      </c>
      <c r="W5" s="4" t="s">
        <v>360</v>
      </c>
      <c r="X5" s="2" t="str">
        <f>IF(Tabla_Licencias_Medicas[[#This Row],[id_padre]]=Tabla_Licencias_Medicas[[#This Row],[Id]],"NOK","OK")</f>
        <v>OK</v>
      </c>
    </row>
    <row r="6" spans="1:25" x14ac:dyDescent="0.5">
      <c r="A6" s="2">
        <f>MAX(Tabla_Decretos[Id])</f>
        <v>915</v>
      </c>
      <c r="B6">
        <v>916</v>
      </c>
      <c r="C6" s="5">
        <f>IF(Tabla_Licencias_Medicas[[#This Row],[id_padre]]="",0,_xlfn.XLOOKUP(Tabla_Licencias_Medicas[[#This Row],[id_padre]],Tabla_Licencias_Medicas[Id],Tabla_Licencias_Medicas[Nivel],0,0,1)+1)</f>
        <v>1</v>
      </c>
      <c r="D6" s="2" t="s">
        <v>21</v>
      </c>
      <c r="E6">
        <f>IF(Tabla_Licencias_Medicas[[#This Row],[Id_anterior]]=1,ROW()-1,SUM(ROW()-1,Tabla_Licencias_Medicas[[#This Row],[Id_anterior]]))</f>
        <v>920</v>
      </c>
      <c r="F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</v>
      </c>
      <c r="G6" s="2" t="str">
        <f>CLEAN(PROPER(Tabla_Licencias_Medicas[[#This Row],[Nombre Opción]]))</f>
        <v>Informes</v>
      </c>
      <c r="H6" s="2" t="s">
        <v>1735</v>
      </c>
      <c r="I6" s="2" t="str">
        <f>_xlfn.XLOOKUP(Tabla_Licencias_Medicas[[#This Row],[id_padre]],Tabla_Licencias_Medicas[Id],Tabla_Licencias_Medicas[Codigo_Tecnico],"",0,1)</f>
        <v>LICENCIAS_MEDICAS</v>
      </c>
      <c r="J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2" t="s">
        <v>1340</v>
      </c>
      <c r="M6" s="2" t="s">
        <v>1801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V6" s="4" t="s">
        <v>360</v>
      </c>
      <c r="W6" s="4" t="s">
        <v>360</v>
      </c>
      <c r="X6" s="2" t="str">
        <f>IF(Tabla_Licencias_Medicas[[#This Row],[id_padre]]=Tabla_Licencias_Medicas[[#This Row],[Id]],"NOK","OK")</f>
        <v>OK</v>
      </c>
    </row>
    <row r="7" spans="1:25" x14ac:dyDescent="0.5">
      <c r="A7" s="2">
        <f>MAX(Tabla_Decretos[Id])</f>
        <v>915</v>
      </c>
      <c r="B7">
        <v>917</v>
      </c>
      <c r="C7" s="5">
        <f>IF(Tabla_Licencias_Medicas[[#This Row],[id_padre]]="",0,_xlfn.XLOOKUP(Tabla_Licencias_Medicas[[#This Row],[id_padre]],Tabla_Licencias_Medicas[Id],Tabla_Licencias_Medicas[Nivel],0,0,1)+1)</f>
        <v>2</v>
      </c>
      <c r="D7" s="2" t="s">
        <v>26</v>
      </c>
      <c r="E7">
        <f>IF(Tabla_Licencias_Medicas[[#This Row],[Id_anterior]]=1,ROW()-1,SUM(ROW()-1,Tabla_Licencias_Medicas[[#This Row],[Id_anterior]]))</f>
        <v>921</v>
      </c>
      <c r="F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LICENCIAS_MEDICAS_PARAMETROS_UNIDAD</v>
      </c>
      <c r="G7" s="2" t="str">
        <f>CLEAN(PROPER(Tabla_Licencias_Medicas[[#This Row],[Nombre Opción]]))</f>
        <v>Unidad</v>
      </c>
      <c r="H7" s="2" t="s">
        <v>1735</v>
      </c>
      <c r="I7" s="2" t="str">
        <f>_xlfn.XLOOKUP(Tabla_Licencias_Medicas[[#This Row],[id_padre]],Tabla_Licencias_Medicas[Id],Tabla_Licencias_Medicas[Codigo_Tecnico],"",0,1)</f>
        <v>LICENCIAS_MEDICAS_PARAMETROS</v>
      </c>
      <c r="J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/licencias-medicas/parametros/unidad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</v>
      </c>
      <c r="L7" s="2" t="s">
        <v>1341</v>
      </c>
      <c r="M7" s="2" t="s">
        <v>1801</v>
      </c>
      <c r="N7" s="4" t="s">
        <v>360</v>
      </c>
      <c r="O7" s="4" t="s">
        <v>360</v>
      </c>
      <c r="P7" s="4" t="s">
        <v>360</v>
      </c>
      <c r="Q7" s="4" t="s">
        <v>360</v>
      </c>
      <c r="R7" s="4"/>
      <c r="S7" s="4" t="s">
        <v>360</v>
      </c>
      <c r="W7" s="4" t="s">
        <v>360</v>
      </c>
      <c r="X7" s="2" t="str">
        <f>IF(Tabla_Licencias_Medicas[[#This Row],[id_padre]]=Tabla_Licencias_Medicas[[#This Row],[Id]],"NOK","OK")</f>
        <v>OK</v>
      </c>
    </row>
    <row r="8" spans="1:25" x14ac:dyDescent="0.5">
      <c r="A8" s="2">
        <f>MAX(Tabla_Decretos[Id])</f>
        <v>915</v>
      </c>
      <c r="B8">
        <v>917</v>
      </c>
      <c r="C8" s="5">
        <f>IF(Tabla_Licencias_Medicas[[#This Row],[id_padre]]="",0,_xlfn.XLOOKUP(Tabla_Licencias_Medicas[[#This Row],[id_padre]],Tabla_Licencias_Medicas[Id],Tabla_Licencias_Medicas[Nivel],0,0,1)+1)</f>
        <v>2</v>
      </c>
      <c r="D8" s="2" t="s">
        <v>795</v>
      </c>
      <c r="E8">
        <f>IF(Tabla_Licencias_Medicas[[#This Row],[Id_anterior]]=1,ROW()-1,SUM(ROW()-1,Tabla_Licencias_Medicas[[#This Row],[Id_anterior]]))</f>
        <v>922</v>
      </c>
      <c r="F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LICENCIAS_MEDICAS_PARAMETROS_SECCION_PERSONAL</v>
      </c>
      <c r="G8" s="2" t="str">
        <f>CLEAN(PROPER(Tabla_Licencias_Medicas[[#This Row],[Nombre Opción]]))</f>
        <v>Seccion Personal</v>
      </c>
      <c r="H8" s="2" t="s">
        <v>1735</v>
      </c>
      <c r="I8" s="2" t="str">
        <f>_xlfn.XLOOKUP(Tabla_Licencias_Medicas[[#This Row],[id_padre]],Tabla_Licencias_Medicas[Id],Tabla_Licencias_Medicas[Codigo_Tecnico],"",0,1)</f>
        <v>LICENCIAS_MEDICAS_PARAMETROS</v>
      </c>
      <c r="J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/licencias-medicas/parametros/seccion-personal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seccion-personal</v>
      </c>
      <c r="L8" s="2" t="s">
        <v>1506</v>
      </c>
      <c r="M8" s="2" t="s">
        <v>1801</v>
      </c>
      <c r="N8" s="4" t="s">
        <v>360</v>
      </c>
      <c r="O8" s="4"/>
      <c r="Q8" s="4"/>
      <c r="R8" s="4"/>
      <c r="W8" s="4" t="s">
        <v>360</v>
      </c>
      <c r="X8" s="2" t="str">
        <f>IF(Tabla_Licencias_Medicas[[#This Row],[id_padre]]=Tabla_Licencias_Medicas[[#This Row],[Id]],"NOK","OK")</f>
        <v>OK</v>
      </c>
    </row>
    <row r="9" spans="1:25" x14ac:dyDescent="0.5">
      <c r="A9" s="2">
        <f>MAX(Tabla_Decretos[Id])</f>
        <v>915</v>
      </c>
      <c r="B9">
        <v>917</v>
      </c>
      <c r="C9" s="5">
        <f>IF(Tabla_Licencias_Medicas[[#This Row],[id_padre]]="",0,_xlfn.XLOOKUP(Tabla_Licencias_Medicas[[#This Row],[id_padre]],Tabla_Licencias_Medicas[Id],Tabla_Licencias_Medicas[Nivel],0,0,1)+1)</f>
        <v>2</v>
      </c>
      <c r="D9" s="2" t="s">
        <v>796</v>
      </c>
      <c r="E9">
        <f>IF(Tabla_Licencias_Medicas[[#This Row],[Id_anterior]]=1,ROW()-1,SUM(ROW()-1,Tabla_Licencias_Medicas[[#This Row],[Id_anterior]]))</f>
        <v>923</v>
      </c>
      <c r="F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LICENCIAS_MEDICAS_PARAMETROS_MANTENCION_PERSONAL</v>
      </c>
      <c r="G9" s="2" t="str">
        <f>CLEAN(PROPER(Tabla_Licencias_Medicas[[#This Row],[Nombre Opción]]))</f>
        <v>Mantencion De Personal</v>
      </c>
      <c r="H9" s="2" t="s">
        <v>1735</v>
      </c>
      <c r="I9" s="2" t="str">
        <f>_xlfn.XLOOKUP(Tabla_Licencias_Medicas[[#This Row],[id_padre]],Tabla_Licencias_Medicas[Id],Tabla_Licencias_Medicas[Codigo_Tecnico],"",0,1)</f>
        <v>LICENCIAS_MEDICAS_PARAMETROS</v>
      </c>
      <c r="J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/licencias-medicas/parametros/mantencion-personal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mantencion-personal</v>
      </c>
      <c r="L9" s="2" t="s">
        <v>1561</v>
      </c>
      <c r="M9" s="2" t="s">
        <v>1801</v>
      </c>
      <c r="N9" s="4" t="s">
        <v>360</v>
      </c>
      <c r="O9" s="4" t="s">
        <v>360</v>
      </c>
      <c r="Q9" s="4"/>
      <c r="R9" s="4"/>
      <c r="S9" s="4" t="s">
        <v>360</v>
      </c>
      <c r="W9" s="4" t="s">
        <v>360</v>
      </c>
      <c r="X9" s="2" t="str">
        <f>IF(Tabla_Licencias_Medicas[[#This Row],[id_padre]]=Tabla_Licencias_Medicas[[#This Row],[Id]],"NOK","OK")</f>
        <v>OK</v>
      </c>
    </row>
    <row r="10" spans="1:25" x14ac:dyDescent="0.5">
      <c r="A10" s="2">
        <f>MAX(Tabla_Decretos[Id])</f>
        <v>915</v>
      </c>
      <c r="B10">
        <v>917</v>
      </c>
      <c r="C10" s="5">
        <f>IF(Tabla_Licencias_Medicas[[#This Row],[id_padre]]="",0,_xlfn.XLOOKUP(Tabla_Licencias_Medicas[[#This Row],[id_padre]],Tabla_Licencias_Medicas[Id],Tabla_Licencias_Medicas[Nivel],0,0,1)+1)</f>
        <v>2</v>
      </c>
      <c r="D10" s="2" t="s">
        <v>376</v>
      </c>
      <c r="E10">
        <f>IF(Tabla_Licencias_Medicas[[#This Row],[Id_anterior]]=1,ROW()-1,SUM(ROW()-1,Tabla_Licencias_Medicas[[#This Row],[Id_anterior]]))</f>
        <v>924</v>
      </c>
      <c r="F1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LICENCIAS_MEDICAS_PARAMETROS_EMPLEADOS_AUTORIZADOS</v>
      </c>
      <c r="G10" s="2" t="str">
        <f>CLEAN(PROPER(Tabla_Licencias_Medicas[[#This Row],[Nombre Opción]]))</f>
        <v>Empleados Autorizados</v>
      </c>
      <c r="H10" s="2" t="s">
        <v>1735</v>
      </c>
      <c r="I10" s="2" t="str">
        <f>_xlfn.XLOOKUP(Tabla_Licencias_Medicas[[#This Row],[id_padre]],Tabla_Licencias_Medicas[Id],Tabla_Licencias_Medicas[Codigo_Tecnico],"",0,1)</f>
        <v>LICENCIAS_MEDICAS_PARAMETROS</v>
      </c>
      <c r="J1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/licencias-medicas/parametros/empleados-autorizados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empleados-autorizados</v>
      </c>
      <c r="L10" s="2" t="s">
        <v>1515</v>
      </c>
      <c r="M10" s="2" t="s">
        <v>1801</v>
      </c>
      <c r="N10" s="4" t="s">
        <v>360</v>
      </c>
      <c r="O10" s="4" t="s">
        <v>360</v>
      </c>
      <c r="Q10" s="4"/>
      <c r="R10" s="4"/>
      <c r="S10" s="4" t="s">
        <v>360</v>
      </c>
      <c r="W10" s="4" t="s">
        <v>360</v>
      </c>
      <c r="X10" s="2" t="str">
        <f>IF(Tabla_Licencias_Medicas[[#This Row],[id_padre]]=Tabla_Licencias_Medicas[[#This Row],[Id]],"NOK","OK")</f>
        <v>OK</v>
      </c>
    </row>
    <row r="11" spans="1:25" x14ac:dyDescent="0.5">
      <c r="A11" s="2">
        <f>MAX(Tabla_Decretos[Id])</f>
        <v>915</v>
      </c>
      <c r="B11">
        <v>917</v>
      </c>
      <c r="C11" s="5">
        <f>IF(Tabla_Licencias_Medicas[[#This Row],[id_padre]]="",0,_xlfn.XLOOKUP(Tabla_Licencias_Medicas[[#This Row],[id_padre]],Tabla_Licencias_Medicas[Id],Tabla_Licencias_Medicas[Nivel],0,0,1)+1)</f>
        <v>2</v>
      </c>
      <c r="D11" s="2" t="s">
        <v>797</v>
      </c>
      <c r="E11">
        <f>IF(Tabla_Licencias_Medicas[[#This Row],[Id_anterior]]=1,ROW()-1,SUM(ROW()-1,Tabla_Licencias_Medicas[[#This Row],[Id_anterior]]))</f>
        <v>925</v>
      </c>
      <c r="F1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LICENCIAS_MEDICAS_PARAMETROS_CALENDARIO</v>
      </c>
      <c r="G11" s="2" t="str">
        <f>CLEAN(PROPER(Tabla_Licencias_Medicas[[#This Row],[Nombre Opción]]))</f>
        <v>Calendario</v>
      </c>
      <c r="H11" s="2" t="s">
        <v>1735</v>
      </c>
      <c r="I11" s="2" t="str">
        <f>_xlfn.XLOOKUP(Tabla_Licencias_Medicas[[#This Row],[id_padre]],Tabla_Licencias_Medicas[Id],Tabla_Licencias_Medicas[Codigo_Tecnico],"",0,1)</f>
        <v>LICENCIAS_MEDICAS_PARAMETROS</v>
      </c>
      <c r="J1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/licencias-medicas/parametros/calendario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calendario</v>
      </c>
      <c r="L11" s="2" t="s">
        <v>1372</v>
      </c>
      <c r="M11" s="2" t="s">
        <v>1801</v>
      </c>
      <c r="N11" s="4" t="s">
        <v>360</v>
      </c>
      <c r="O11" s="4" t="s">
        <v>360</v>
      </c>
      <c r="Q11" s="4"/>
      <c r="R11" s="4"/>
      <c r="S11" s="4" t="s">
        <v>360</v>
      </c>
      <c r="W11" s="4" t="s">
        <v>360</v>
      </c>
      <c r="X11" s="2" t="str">
        <f>IF(Tabla_Licencias_Medicas[[#This Row],[id_padre]]=Tabla_Licencias_Medicas[[#This Row],[Id]],"NOK","OK")</f>
        <v>OK</v>
      </c>
    </row>
    <row r="12" spans="1:25" x14ac:dyDescent="0.5">
      <c r="A12" s="2">
        <f>MAX(Tabla_Decretos[Id])</f>
        <v>915</v>
      </c>
      <c r="B12">
        <v>917</v>
      </c>
      <c r="C12" s="5">
        <f>IF(Tabla_Licencias_Medicas[[#This Row],[id_padre]]="",0,_xlfn.XLOOKUP(Tabla_Licencias_Medicas[[#This Row],[id_padre]],Tabla_Licencias_Medicas[Id],Tabla_Licencias_Medicas[Nivel],0,0,1)+1)</f>
        <v>2</v>
      </c>
      <c r="D12" s="2" t="s">
        <v>798</v>
      </c>
      <c r="E12">
        <f>IF(Tabla_Licencias_Medicas[[#This Row],[Id_anterior]]=1,ROW()-1,SUM(ROW()-1,Tabla_Licencias_Medicas[[#This Row],[Id_anterior]]))</f>
        <v>926</v>
      </c>
      <c r="F1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LICENCIAS_MEDICAS_PARAMETROS_CAUSAS_RECHAZO</v>
      </c>
      <c r="G12" s="2" t="str">
        <f>CLEAN(PROPER(Tabla_Licencias_Medicas[[#This Row],[Nombre Opción]]))</f>
        <v>Causas De Rechazo</v>
      </c>
      <c r="H12" s="2" t="s">
        <v>1735</v>
      </c>
      <c r="I12" s="2" t="str">
        <f>_xlfn.XLOOKUP(Tabla_Licencias_Medicas[[#This Row],[id_padre]],Tabla_Licencias_Medicas[Id],Tabla_Licencias_Medicas[Codigo_Tecnico],"",0,1)</f>
        <v>LICENCIAS_MEDICAS_PARAMETROS</v>
      </c>
      <c r="J1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/licencias-medicas/parametros/causas-rechazo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causas-rechazo</v>
      </c>
      <c r="L12" s="2" t="s">
        <v>1582</v>
      </c>
      <c r="M12" s="2" t="s">
        <v>1801</v>
      </c>
      <c r="N12" s="4" t="s">
        <v>360</v>
      </c>
      <c r="O12" s="4" t="s">
        <v>360</v>
      </c>
      <c r="Q12" s="4"/>
      <c r="R12" s="4"/>
      <c r="S12" s="4" t="s">
        <v>360</v>
      </c>
      <c r="W12" s="4" t="s">
        <v>360</v>
      </c>
      <c r="X12" s="2" t="str">
        <f>IF(Tabla_Licencias_Medicas[[#This Row],[id_padre]]=Tabla_Licencias_Medicas[[#This Row],[Id]],"NOK","OK")</f>
        <v>OK</v>
      </c>
    </row>
    <row r="13" spans="1:25" x14ac:dyDescent="0.5">
      <c r="A13" s="2">
        <f>MAX(Tabla_Decretos[Id])</f>
        <v>915</v>
      </c>
      <c r="B13">
        <v>917</v>
      </c>
      <c r="C13" s="5">
        <f>IF(Tabla_Licencias_Medicas[[#This Row],[id_padre]]="",0,_xlfn.XLOOKUP(Tabla_Licencias_Medicas[[#This Row],[id_padre]],Tabla_Licencias_Medicas[Id],Tabla_Licencias_Medicas[Nivel],0,0,1)+1)</f>
        <v>2</v>
      </c>
      <c r="D13" s="2" t="s">
        <v>799</v>
      </c>
      <c r="E13">
        <f>IF(Tabla_Licencias_Medicas[[#This Row],[Id_anterior]]=1,ROW()-1,SUM(ROW()-1,Tabla_Licencias_Medicas[[#This Row],[Id_anterior]]))</f>
        <v>927</v>
      </c>
      <c r="F1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LICENCIAS_MEDICAS_PARAMETROS_CONDICION_RESOLUCION</v>
      </c>
      <c r="G13" s="2" t="str">
        <f>CLEAN(PROPER(Tabla_Licencias_Medicas[[#This Row],[Nombre Opción]]))</f>
        <v>Condicion De Resolucion</v>
      </c>
      <c r="H13" s="2" t="s">
        <v>1735</v>
      </c>
      <c r="I13" s="2" t="str">
        <f>_xlfn.XLOOKUP(Tabla_Licencias_Medicas[[#This Row],[id_padre]],Tabla_Licencias_Medicas[Id],Tabla_Licencias_Medicas[Codigo_Tecnico],"",0,1)</f>
        <v>LICENCIAS_MEDICAS_PARAMETROS</v>
      </c>
      <c r="J1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/licencias-medicas/parametros/condicion-resolucion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condicion-resolucion</v>
      </c>
      <c r="L13" s="2" t="s">
        <v>1424</v>
      </c>
      <c r="M13" s="2" t="s">
        <v>1801</v>
      </c>
      <c r="N13" s="4" t="s">
        <v>360</v>
      </c>
      <c r="O13" s="4" t="s">
        <v>360</v>
      </c>
      <c r="Q13" s="4"/>
      <c r="R13" s="4"/>
      <c r="S13" s="4" t="s">
        <v>360</v>
      </c>
      <c r="W13" s="4" t="s">
        <v>360</v>
      </c>
      <c r="X13" s="2" t="str">
        <f>IF(Tabla_Licencias_Medicas[[#This Row],[id_padre]]=Tabla_Licencias_Medicas[[#This Row],[Id]],"NOK","OK")</f>
        <v>OK</v>
      </c>
    </row>
    <row r="14" spans="1:25" x14ac:dyDescent="0.5">
      <c r="A14" s="2">
        <f>MAX(Tabla_Decretos[Id])</f>
        <v>915</v>
      </c>
      <c r="B14">
        <v>917</v>
      </c>
      <c r="C14" s="5">
        <f>IF(Tabla_Licencias_Medicas[[#This Row],[id_padre]]="",0,_xlfn.XLOOKUP(Tabla_Licencias_Medicas[[#This Row],[id_padre]],Tabla_Licencias_Medicas[Id],Tabla_Licencias_Medicas[Nivel],0,0,1)+1)</f>
        <v>2</v>
      </c>
      <c r="D14" s="2" t="s">
        <v>800</v>
      </c>
      <c r="E14">
        <f>IF(Tabla_Licencias_Medicas[[#This Row],[Id_anterior]]=1,ROW()-1,SUM(ROW()-1,Tabla_Licencias_Medicas[[#This Row],[Id_anterior]]))</f>
        <v>928</v>
      </c>
      <c r="F1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LICENCIAS_MEDICAS_PARAMETROS_CONTROL_PLAZOS</v>
      </c>
      <c r="G14" s="2" t="str">
        <f>CLEAN(PROPER(Tabla_Licencias_Medicas[[#This Row],[Nombre Opción]]))</f>
        <v>Control De Plazos</v>
      </c>
      <c r="H14" s="2" t="s">
        <v>1735</v>
      </c>
      <c r="I14" s="2" t="str">
        <f>_xlfn.XLOOKUP(Tabla_Licencias_Medicas[[#This Row],[id_padre]],Tabla_Licencias_Medicas[Id],Tabla_Licencias_Medicas[Codigo_Tecnico],"",0,1)</f>
        <v>LICENCIAS_MEDICAS_PARAMETROS</v>
      </c>
      <c r="J1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/licencias-medicas/parametros/control-plazos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control-plazos</v>
      </c>
      <c r="L14" s="2" t="s">
        <v>1380</v>
      </c>
      <c r="M14" s="2" t="s">
        <v>1801</v>
      </c>
      <c r="N14" s="4" t="s">
        <v>360</v>
      </c>
      <c r="O14" s="4" t="s">
        <v>360</v>
      </c>
      <c r="Q14" s="4"/>
      <c r="R14" s="4"/>
      <c r="S14" s="4" t="s">
        <v>360</v>
      </c>
      <c r="W14" s="4" t="s">
        <v>360</v>
      </c>
      <c r="X14" s="2" t="str">
        <f>IF(Tabla_Licencias_Medicas[[#This Row],[id_padre]]=Tabla_Licencias_Medicas[[#This Row],[Id]],"NOK","OK")</f>
        <v>OK</v>
      </c>
    </row>
    <row r="15" spans="1:25" x14ac:dyDescent="0.5">
      <c r="A15" s="2">
        <f>MAX(Tabla_Decretos[Id])</f>
        <v>915</v>
      </c>
      <c r="B15">
        <v>917</v>
      </c>
      <c r="C15" s="5">
        <f>IF(Tabla_Licencias_Medicas[[#This Row],[id_padre]]="",0,_xlfn.XLOOKUP(Tabla_Licencias_Medicas[[#This Row],[id_padre]],Tabla_Licencias_Medicas[Id],Tabla_Licencias_Medicas[Nivel],0,0,1)+1)</f>
        <v>2</v>
      </c>
      <c r="D15" s="2" t="s">
        <v>801</v>
      </c>
      <c r="E15">
        <f>IF(Tabla_Licencias_Medicas[[#This Row],[Id_anterior]]=1,ROW()-1,SUM(ROW()-1,Tabla_Licencias_Medicas[[#This Row],[Id_anterior]]))</f>
        <v>929</v>
      </c>
      <c r="F1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LICENCIAS_MEDICAS_PARAMETROS_FONDOS_PENSIONES</v>
      </c>
      <c r="G15" s="2" t="str">
        <f>CLEAN(PROPER(Tabla_Licencias_Medicas[[#This Row],[Nombre Opción]]))</f>
        <v>Fondos De Pensiones</v>
      </c>
      <c r="H15" s="2" t="s">
        <v>1735</v>
      </c>
      <c r="I15" s="2" t="str">
        <f>_xlfn.XLOOKUP(Tabla_Licencias_Medicas[[#This Row],[id_padre]],Tabla_Licencias_Medicas[Id],Tabla_Licencias_Medicas[Codigo_Tecnico],"",0,1)</f>
        <v>LICENCIAS_MEDICAS_PARAMETROS</v>
      </c>
      <c r="J1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/licencias-medicas/parametros/fondos-pensiones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fondos-pensiones</v>
      </c>
      <c r="L15" s="2" t="s">
        <v>1371</v>
      </c>
      <c r="M15" s="2" t="s">
        <v>1801</v>
      </c>
      <c r="N15" s="4" t="s">
        <v>360</v>
      </c>
      <c r="O15" s="4" t="s">
        <v>360</v>
      </c>
      <c r="Q15" s="4"/>
      <c r="R15" s="4"/>
      <c r="S15" s="4" t="s">
        <v>360</v>
      </c>
      <c r="W15" s="4" t="s">
        <v>360</v>
      </c>
      <c r="X15" s="2" t="str">
        <f>IF(Tabla_Licencias_Medicas[[#This Row],[id_padre]]=Tabla_Licencias_Medicas[[#This Row],[Id]],"NOK","OK")</f>
        <v>OK</v>
      </c>
    </row>
    <row r="16" spans="1:25" x14ac:dyDescent="0.5">
      <c r="A16" s="2">
        <f>MAX(Tabla_Decretos[Id])</f>
        <v>915</v>
      </c>
      <c r="B16">
        <v>917</v>
      </c>
      <c r="C16" s="5">
        <f>IF(Tabla_Licencias_Medicas[[#This Row],[id_padre]]="",0,_xlfn.XLOOKUP(Tabla_Licencias_Medicas[[#This Row],[id_padre]],Tabla_Licencias_Medicas[Id],Tabla_Licencias_Medicas[Nivel],0,0,1)+1)</f>
        <v>2</v>
      </c>
      <c r="D16" s="2" t="s">
        <v>802</v>
      </c>
      <c r="E16">
        <f>IF(Tabla_Licencias_Medicas[[#This Row],[Id_anterior]]=1,ROW()-1,SUM(ROW()-1,Tabla_Licencias_Medicas[[#This Row],[Id_anterior]]))</f>
        <v>930</v>
      </c>
      <c r="F1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LICENCIAS_MEDICAS_PARAMETROS_FORMA_REPOSO</v>
      </c>
      <c r="G16" s="2" t="str">
        <f>CLEAN(PROPER(Tabla_Licencias_Medicas[[#This Row],[Nombre Opción]]))</f>
        <v>Forma De Reposo</v>
      </c>
      <c r="H16" s="2" t="s">
        <v>1735</v>
      </c>
      <c r="I16" s="2" t="str">
        <f>_xlfn.XLOOKUP(Tabla_Licencias_Medicas[[#This Row],[id_padre]],Tabla_Licencias_Medicas[Id],Tabla_Licencias_Medicas[Codigo_Tecnico],"",0,1)</f>
        <v>LICENCIAS_MEDICAS_PARAMETROS</v>
      </c>
      <c r="J1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/licencias-medicas/parametros/forma-reposo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forma-reposo</v>
      </c>
      <c r="L16" s="2" t="s">
        <v>1583</v>
      </c>
      <c r="M16" s="2" t="s">
        <v>1801</v>
      </c>
      <c r="N16" s="4" t="s">
        <v>360</v>
      </c>
      <c r="O16" s="4" t="s">
        <v>360</v>
      </c>
      <c r="Q16" s="4"/>
      <c r="R16" s="4"/>
      <c r="S16" s="4" t="s">
        <v>360</v>
      </c>
      <c r="W16" s="4" t="s">
        <v>360</v>
      </c>
      <c r="X16" s="2" t="str">
        <f>IF(Tabla_Licencias_Medicas[[#This Row],[id_padre]]=Tabla_Licencias_Medicas[[#This Row],[Id]],"NOK","OK")</f>
        <v>OK</v>
      </c>
    </row>
    <row r="17" spans="1:24" x14ac:dyDescent="0.5">
      <c r="A17" s="2">
        <f>MAX(Tabla_Decretos[Id])</f>
        <v>915</v>
      </c>
      <c r="B17">
        <v>917</v>
      </c>
      <c r="C17" s="5">
        <f>IF(Tabla_Licencias_Medicas[[#This Row],[id_padre]]="",0,_xlfn.XLOOKUP(Tabla_Licencias_Medicas[[#This Row],[id_padre]],Tabla_Licencias_Medicas[Id],Tabla_Licencias_Medicas[Nivel],0,0,1)+1)</f>
        <v>2</v>
      </c>
      <c r="D17" s="2" t="s">
        <v>803</v>
      </c>
      <c r="E17">
        <f>IF(Tabla_Licencias_Medicas[[#This Row],[Id_anterior]]=1,ROW()-1,SUM(ROW()-1,Tabla_Licencias_Medicas[[#This Row],[Id_anterior]]))</f>
        <v>931</v>
      </c>
      <c r="F1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LICENCIAS_MEDICAS_PARAMETROS_LUGAR_REPOSO</v>
      </c>
      <c r="G17" s="2" t="str">
        <f>CLEAN(PROPER(Tabla_Licencias_Medicas[[#This Row],[Nombre Opción]]))</f>
        <v>Lugar De Reposo</v>
      </c>
      <c r="H17" s="2" t="s">
        <v>1735</v>
      </c>
      <c r="I17" s="2" t="str">
        <f>_xlfn.XLOOKUP(Tabla_Licencias_Medicas[[#This Row],[id_padre]],Tabla_Licencias_Medicas[Id],Tabla_Licencias_Medicas[Codigo_Tecnico],"",0,1)</f>
        <v>LICENCIAS_MEDICAS_PARAMETROS</v>
      </c>
      <c r="J1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/licencias-medicas/parametros/lugar-reposo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lugar-reposo</v>
      </c>
      <c r="L17" s="2" t="s">
        <v>1584</v>
      </c>
      <c r="M17" s="2" t="s">
        <v>1801</v>
      </c>
      <c r="N17" s="4" t="s">
        <v>360</v>
      </c>
      <c r="O17" s="4" t="s">
        <v>360</v>
      </c>
      <c r="Q17" s="4"/>
      <c r="R17" s="4"/>
      <c r="S17" s="4" t="s">
        <v>360</v>
      </c>
      <c r="W17" s="4" t="s">
        <v>360</v>
      </c>
      <c r="X17" s="2" t="str">
        <f>IF(Tabla_Licencias_Medicas[[#This Row],[id_padre]]=Tabla_Licencias_Medicas[[#This Row],[Id]],"NOK","OK")</f>
        <v>OK</v>
      </c>
    </row>
    <row r="18" spans="1:24" x14ac:dyDescent="0.5">
      <c r="A18" s="2">
        <f>MAX(Tabla_Decretos[Id])</f>
        <v>915</v>
      </c>
      <c r="B18">
        <v>917</v>
      </c>
      <c r="C18" s="5">
        <f>IF(Tabla_Licencias_Medicas[[#This Row],[id_padre]]="",0,_xlfn.XLOOKUP(Tabla_Licencias_Medicas[[#This Row],[id_padre]],Tabla_Licencias_Medicas[Id],Tabla_Licencias_Medicas[Nivel],0,0,1)+1)</f>
        <v>2</v>
      </c>
      <c r="D18" s="2" t="s">
        <v>804</v>
      </c>
      <c r="E18">
        <f>IF(Tabla_Licencias_Medicas[[#This Row],[Id_anterior]]=1,ROW()-1,SUM(ROW()-1,Tabla_Licencias_Medicas[[#This Row],[Id_anterior]]))</f>
        <v>932</v>
      </c>
      <c r="F1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LICENCIAS_MEDICAS_PARAMETROS_SISTEMA_SALUD</v>
      </c>
      <c r="G18" s="2" t="str">
        <f>CLEAN(PROPER(Tabla_Licencias_Medicas[[#This Row],[Nombre Opción]]))</f>
        <v>Sistema De Salud</v>
      </c>
      <c r="H18" s="2" t="s">
        <v>1735</v>
      </c>
      <c r="I18" s="2" t="str">
        <f>_xlfn.XLOOKUP(Tabla_Licencias_Medicas[[#This Row],[id_padre]],Tabla_Licencias_Medicas[Id],Tabla_Licencias_Medicas[Codigo_Tecnico],"",0,1)</f>
        <v>LICENCIAS_MEDICAS_PARAMETROS</v>
      </c>
      <c r="J1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/licencias-medicas/parametros/sistema-salud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sistema-salud</v>
      </c>
      <c r="L18" s="2" t="s">
        <v>1585</v>
      </c>
      <c r="M18" s="2" t="s">
        <v>1801</v>
      </c>
      <c r="N18" s="4" t="s">
        <v>360</v>
      </c>
      <c r="O18" s="4" t="s">
        <v>360</v>
      </c>
      <c r="Q18" s="4"/>
      <c r="R18" s="4"/>
      <c r="S18" s="4" t="s">
        <v>360</v>
      </c>
      <c r="W18" s="4" t="s">
        <v>360</v>
      </c>
      <c r="X18" s="2" t="str">
        <f>IF(Tabla_Licencias_Medicas[[#This Row],[id_padre]]=Tabla_Licencias_Medicas[[#This Row],[Id]],"NOK","OK")</f>
        <v>OK</v>
      </c>
    </row>
    <row r="19" spans="1:24" x14ac:dyDescent="0.5">
      <c r="A19" s="2">
        <f>MAX(Tabla_Decretos[Id])</f>
        <v>915</v>
      </c>
      <c r="B19">
        <v>917</v>
      </c>
      <c r="C19" s="5">
        <f>IF(Tabla_Licencias_Medicas[[#This Row],[id_padre]]="",0,_xlfn.XLOOKUP(Tabla_Licencias_Medicas[[#This Row],[id_padre]],Tabla_Licencias_Medicas[Id],Tabla_Licencias_Medicas[Nivel],0,0,1)+1)</f>
        <v>2</v>
      </c>
      <c r="D19" s="2" t="s">
        <v>805</v>
      </c>
      <c r="E19">
        <f>IF(Tabla_Licencias_Medicas[[#This Row],[Id_anterior]]=1,ROW()-1,SUM(ROW()-1,Tabla_Licencias_Medicas[[#This Row],[Id_anterior]]))</f>
        <v>933</v>
      </c>
      <c r="F1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LICENCIAS_MEDICAS_PARAMETROS_SITUACION_SUBSIDIOS</v>
      </c>
      <c r="G19" s="2" t="str">
        <f>CLEAN(PROPER(Tabla_Licencias_Medicas[[#This Row],[Nombre Opción]]))</f>
        <v>Situacion Subsidios</v>
      </c>
      <c r="H19" s="2" t="s">
        <v>1735</v>
      </c>
      <c r="I19" s="2" t="str">
        <f>_xlfn.XLOOKUP(Tabla_Licencias_Medicas[[#This Row],[id_padre]],Tabla_Licencias_Medicas[Id],Tabla_Licencias_Medicas[Codigo_Tecnico],"",0,1)</f>
        <v>LICENCIAS_MEDICAS_PARAMETROS</v>
      </c>
      <c r="J1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/licencias-medicas/parametros/situacion-subsidios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situacion-subsidios</v>
      </c>
      <c r="L19" s="2" t="s">
        <v>1353</v>
      </c>
      <c r="M19" s="2" t="s">
        <v>1801</v>
      </c>
      <c r="N19" s="4" t="s">
        <v>360</v>
      </c>
      <c r="O19" s="4" t="s">
        <v>360</v>
      </c>
      <c r="Q19" s="4"/>
      <c r="R19" s="4"/>
      <c r="S19" s="4" t="s">
        <v>360</v>
      </c>
      <c r="W19" s="4" t="s">
        <v>360</v>
      </c>
      <c r="X19" s="2" t="str">
        <f>IF(Tabla_Licencias_Medicas[[#This Row],[id_padre]]=Tabla_Licencias_Medicas[[#This Row],[Id]],"NOK","OK")</f>
        <v>OK</v>
      </c>
    </row>
    <row r="20" spans="1:24" x14ac:dyDescent="0.5">
      <c r="A20" s="2">
        <f>MAX(Tabla_Decretos[Id])</f>
        <v>915</v>
      </c>
      <c r="B20">
        <v>917</v>
      </c>
      <c r="C20" s="5">
        <f>IF(Tabla_Licencias_Medicas[[#This Row],[id_padre]]="",0,_xlfn.XLOOKUP(Tabla_Licencias_Medicas[[#This Row],[id_padre]],Tabla_Licencias_Medicas[Id],Tabla_Licencias_Medicas[Nivel],0,0,1)+1)</f>
        <v>2</v>
      </c>
      <c r="D20" s="2" t="s">
        <v>806</v>
      </c>
      <c r="E20">
        <f>IF(Tabla_Licencias_Medicas[[#This Row],[Id_anterior]]=1,ROW()-1,SUM(ROW()-1,Tabla_Licencias_Medicas[[#This Row],[Id_anterior]]))</f>
        <v>934</v>
      </c>
      <c r="F2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LICENCIAS_MEDICAS_PARAMETROS_TIPO_CONTRATO</v>
      </c>
      <c r="G20" s="2" t="str">
        <f>CLEAN(PROPER(Tabla_Licencias_Medicas[[#This Row],[Nombre Opción]]))</f>
        <v>Tipo De Contrato</v>
      </c>
      <c r="H20" s="2" t="s">
        <v>1735</v>
      </c>
      <c r="I20" s="2" t="str">
        <f>_xlfn.XLOOKUP(Tabla_Licencias_Medicas[[#This Row],[id_padre]],Tabla_Licencias_Medicas[Id],Tabla_Licencias_Medicas[Codigo_Tecnico],"",0,1)</f>
        <v>LICENCIAS_MEDICAS_PARAMETROS</v>
      </c>
      <c r="J2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/licencias-medicas/parametros/tipo-contrato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tipo-contrato</v>
      </c>
      <c r="L20" s="2" t="s">
        <v>1405</v>
      </c>
      <c r="M20" s="2" t="s">
        <v>1801</v>
      </c>
      <c r="N20" s="4" t="s">
        <v>360</v>
      </c>
      <c r="O20" s="4" t="s">
        <v>360</v>
      </c>
      <c r="Q20" s="4"/>
      <c r="R20" s="4"/>
      <c r="S20" s="4" t="s">
        <v>360</v>
      </c>
      <c r="W20" s="4" t="s">
        <v>360</v>
      </c>
      <c r="X20" s="2" t="str">
        <f>IF(Tabla_Licencias_Medicas[[#This Row],[id_padre]]=Tabla_Licencias_Medicas[[#This Row],[Id]],"NOK","OK")</f>
        <v>OK</v>
      </c>
    </row>
    <row r="21" spans="1:24" x14ac:dyDescent="0.5">
      <c r="A21" s="2">
        <f>MAX(Tabla_Decretos[Id])</f>
        <v>915</v>
      </c>
      <c r="B21">
        <v>917</v>
      </c>
      <c r="C21" s="5">
        <f>IF(Tabla_Licencias_Medicas[[#This Row],[id_padre]]="",0,_xlfn.XLOOKUP(Tabla_Licencias_Medicas[[#This Row],[id_padre]],Tabla_Licencias_Medicas[Id],Tabla_Licencias_Medicas[Nivel],0,0,1)+1)</f>
        <v>2</v>
      </c>
      <c r="D21" s="2" t="s">
        <v>807</v>
      </c>
      <c r="E21">
        <f>IF(Tabla_Licencias_Medicas[[#This Row],[Id_anterior]]=1,ROW()-1,SUM(ROW()-1,Tabla_Licencias_Medicas[[#This Row],[Id_anterior]]))</f>
        <v>935</v>
      </c>
      <c r="F2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LICENCIAS_MEDICAS_PARAMETROS_TIPO_DOCUMENTO</v>
      </c>
      <c r="G21" s="2" t="str">
        <f>CLEAN(PROPER(Tabla_Licencias_Medicas[[#This Row],[Nombre Opción]]))</f>
        <v>Tipo De Documento</v>
      </c>
      <c r="H21" s="2" t="s">
        <v>1735</v>
      </c>
      <c r="I21" s="2" t="str">
        <f>_xlfn.XLOOKUP(Tabla_Licencias_Medicas[[#This Row],[id_padre]],Tabla_Licencias_Medicas[Id],Tabla_Licencias_Medicas[Codigo_Tecnico],"",0,1)</f>
        <v>LICENCIAS_MEDICAS_PARAMETROS</v>
      </c>
      <c r="J2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/licencias-medicas/parametros/tipo-documento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tipo-documento</v>
      </c>
      <c r="L21" s="2" t="s">
        <v>1343</v>
      </c>
      <c r="M21" s="2" t="s">
        <v>1801</v>
      </c>
      <c r="N21" s="4" t="s">
        <v>360</v>
      </c>
      <c r="O21" s="4" t="s">
        <v>360</v>
      </c>
      <c r="Q21" s="4"/>
      <c r="R21" s="4"/>
      <c r="S21" s="4" t="s">
        <v>360</v>
      </c>
      <c r="W21" s="4" t="s">
        <v>360</v>
      </c>
      <c r="X21" s="2" t="str">
        <f>IF(Tabla_Licencias_Medicas[[#This Row],[id_padre]]=Tabla_Licencias_Medicas[[#This Row],[Id]],"NOK","OK")</f>
        <v>OK</v>
      </c>
    </row>
    <row r="22" spans="1:24" x14ac:dyDescent="0.5">
      <c r="A22" s="2">
        <f>MAX(Tabla_Decretos[Id])</f>
        <v>915</v>
      </c>
      <c r="B22">
        <v>917</v>
      </c>
      <c r="C22" s="5">
        <f>IF(Tabla_Licencias_Medicas[[#This Row],[id_padre]]="",0,_xlfn.XLOOKUP(Tabla_Licencias_Medicas[[#This Row],[id_padre]],Tabla_Licencias_Medicas[Id],Tabla_Licencias_Medicas[Nivel],0,0,1)+1)</f>
        <v>2</v>
      </c>
      <c r="D22" s="2" t="s">
        <v>808</v>
      </c>
      <c r="E22">
        <f>IF(Tabla_Licencias_Medicas[[#This Row],[Id_anterior]]=1,ROW()-1,SUM(ROW()-1,Tabla_Licencias_Medicas[[#This Row],[Id_anterior]]))</f>
        <v>936</v>
      </c>
      <c r="F2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LICENCIAS_MEDICAS_PARAMETROS_TIPO_LICENCIA</v>
      </c>
      <c r="G22" s="2" t="str">
        <f>CLEAN(PROPER(Tabla_Licencias_Medicas[[#This Row],[Nombre Opción]]))</f>
        <v>Tipo De Licencia</v>
      </c>
      <c r="H22" s="2" t="s">
        <v>1735</v>
      </c>
      <c r="I22" s="2" t="str">
        <f>_xlfn.XLOOKUP(Tabla_Licencias_Medicas[[#This Row],[id_padre]],Tabla_Licencias_Medicas[Id],Tabla_Licencias_Medicas[Codigo_Tecnico],"",0,1)</f>
        <v>LICENCIAS_MEDICAS_PARAMETROS</v>
      </c>
      <c r="J2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/licencias-medicas/parametros/tipo-licencia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tipo-licencia</v>
      </c>
      <c r="L22" s="2" t="s">
        <v>1407</v>
      </c>
      <c r="M22" s="2" t="s">
        <v>1801</v>
      </c>
      <c r="N22" s="4" t="s">
        <v>360</v>
      </c>
      <c r="O22" s="4" t="s">
        <v>360</v>
      </c>
      <c r="Q22" s="4"/>
      <c r="R22" s="4"/>
      <c r="S22" s="4" t="s">
        <v>360</v>
      </c>
      <c r="W22" s="4" t="s">
        <v>360</v>
      </c>
      <c r="X22" s="2" t="str">
        <f>IF(Tabla_Licencias_Medicas[[#This Row],[id_padre]]=Tabla_Licencias_Medicas[[#This Row],[Id]],"NOK","OK")</f>
        <v>OK</v>
      </c>
    </row>
    <row r="23" spans="1:24" x14ac:dyDescent="0.5">
      <c r="A23" s="2">
        <f>MAX(Tabla_Decretos[Id])</f>
        <v>915</v>
      </c>
      <c r="B23">
        <v>917</v>
      </c>
      <c r="C23" s="5">
        <f>IF(Tabla_Licencias_Medicas[[#This Row],[id_padre]]="",0,_xlfn.XLOOKUP(Tabla_Licencias_Medicas[[#This Row],[id_padre]],Tabla_Licencias_Medicas[Id],Tabla_Licencias_Medicas[Nivel],0,0,1)+1)</f>
        <v>2</v>
      </c>
      <c r="D23" s="2" t="s">
        <v>809</v>
      </c>
      <c r="E23">
        <f>IF(Tabla_Licencias_Medicas[[#This Row],[Id_anterior]]=1,ROW()-1,SUM(ROW()-1,Tabla_Licencias_Medicas[[#This Row],[Id_anterior]]))</f>
        <v>937</v>
      </c>
      <c r="F2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LICENCIAS_MEDICAS_PARAMETROS_TIPO_ORGANISMO</v>
      </c>
      <c r="G23" s="2" t="str">
        <f>CLEAN(PROPER(Tabla_Licencias_Medicas[[#This Row],[Nombre Opción]]))</f>
        <v>Tipo De Organismo</v>
      </c>
      <c r="H23" s="2" t="s">
        <v>1735</v>
      </c>
      <c r="I23" s="2" t="str">
        <f>_xlfn.XLOOKUP(Tabla_Licencias_Medicas[[#This Row],[id_padre]],Tabla_Licencias_Medicas[Id],Tabla_Licencias_Medicas[Codigo_Tecnico],"",0,1)</f>
        <v>LICENCIAS_MEDICAS_PARAMETROS</v>
      </c>
      <c r="J2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/licencias-medicas/parametros/tipo-organismo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tipo-organismo</v>
      </c>
      <c r="L23" s="2" t="s">
        <v>1401</v>
      </c>
      <c r="M23" s="2" t="s">
        <v>1801</v>
      </c>
      <c r="N23" s="4" t="s">
        <v>360</v>
      </c>
      <c r="O23" s="4" t="s">
        <v>360</v>
      </c>
      <c r="Q23" s="4"/>
      <c r="R23" s="4"/>
      <c r="S23" s="4" t="s">
        <v>360</v>
      </c>
      <c r="W23" s="4" t="s">
        <v>360</v>
      </c>
      <c r="X23" s="2" t="str">
        <f>IF(Tabla_Licencias_Medicas[[#This Row],[id_padre]]=Tabla_Licencias_Medicas[[#This Row],[Id]],"NOK","OK")</f>
        <v>OK</v>
      </c>
    </row>
    <row r="24" spans="1:24" x14ac:dyDescent="0.5">
      <c r="A24" s="2">
        <f>MAX(Tabla_Decretos[Id])</f>
        <v>915</v>
      </c>
      <c r="B24">
        <v>917</v>
      </c>
      <c r="C24" s="5">
        <f>IF(Tabla_Licencias_Medicas[[#This Row],[id_padre]]="",0,_xlfn.XLOOKUP(Tabla_Licencias_Medicas[[#This Row],[id_padre]],Tabla_Licencias_Medicas[Id],Tabla_Licencias_Medicas[Nivel],0,0,1)+1)</f>
        <v>2</v>
      </c>
      <c r="D24" s="2" t="s">
        <v>810</v>
      </c>
      <c r="E24">
        <f>IF(Tabla_Licencias_Medicas[[#This Row],[Id_anterior]]=1,ROW()-1,SUM(ROW()-1,Tabla_Licencias_Medicas[[#This Row],[Id_anterior]]))</f>
        <v>938</v>
      </c>
      <c r="F2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LICENCIAS_MEDICAS_PARAMETROS_TIPO_PAGOS</v>
      </c>
      <c r="G24" s="2" t="str">
        <f>CLEAN(PROPER(Tabla_Licencias_Medicas[[#This Row],[Nombre Opción]]))</f>
        <v>Tipo De Pagos</v>
      </c>
      <c r="H24" s="2" t="s">
        <v>1735</v>
      </c>
      <c r="I24" s="2" t="str">
        <f>_xlfn.XLOOKUP(Tabla_Licencias_Medicas[[#This Row],[id_padre]],Tabla_Licencias_Medicas[Id],Tabla_Licencias_Medicas[Codigo_Tecnico],"",0,1)</f>
        <v>LICENCIAS_MEDICAS_PARAMETROS</v>
      </c>
      <c r="J2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/licencias-medicas/parametros/tipo-pagos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tipo-pagos</v>
      </c>
      <c r="L24" s="2" t="s">
        <v>1417</v>
      </c>
      <c r="M24" s="2" t="s">
        <v>1801</v>
      </c>
      <c r="N24" s="4" t="s">
        <v>360</v>
      </c>
      <c r="O24" s="4" t="s">
        <v>360</v>
      </c>
      <c r="Q24" s="4"/>
      <c r="R24" s="4"/>
      <c r="S24" s="4" t="s">
        <v>360</v>
      </c>
      <c r="W24" s="4" t="s">
        <v>360</v>
      </c>
      <c r="X24" s="2" t="str">
        <f>IF(Tabla_Licencias_Medicas[[#This Row],[id_padre]]=Tabla_Licencias_Medicas[[#This Row],[Id]],"NOK","OK")</f>
        <v>OK</v>
      </c>
    </row>
    <row r="25" spans="1:24" x14ac:dyDescent="0.5">
      <c r="A25" s="2">
        <f>MAX(Tabla_Decretos[Id])</f>
        <v>915</v>
      </c>
      <c r="B25">
        <v>917</v>
      </c>
      <c r="C25" s="5">
        <f>IF(Tabla_Licencias_Medicas[[#This Row],[id_padre]]="",0,_xlfn.XLOOKUP(Tabla_Licencias_Medicas[[#This Row],[id_padre]],Tabla_Licencias_Medicas[Id],Tabla_Licencias_Medicas[Nivel],0,0,1)+1)</f>
        <v>2</v>
      </c>
      <c r="D25" s="2" t="s">
        <v>811</v>
      </c>
      <c r="E25">
        <f>IF(Tabla_Licencias_Medicas[[#This Row],[Id_anterior]]=1,ROW()-1,SUM(ROW()-1,Tabla_Licencias_Medicas[[#This Row],[Id_anterior]]))</f>
        <v>939</v>
      </c>
      <c r="F2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LICENCIAS_MEDICAS_PARAMETROS_TIPO_REPOSO</v>
      </c>
      <c r="G25" s="2" t="str">
        <f>CLEAN(PROPER(Tabla_Licencias_Medicas[[#This Row],[Nombre Opción]]))</f>
        <v>Tipo De Reposo</v>
      </c>
      <c r="H25" s="2" t="s">
        <v>1735</v>
      </c>
      <c r="I25" s="2" t="str">
        <f>_xlfn.XLOOKUP(Tabla_Licencias_Medicas[[#This Row],[id_padre]],Tabla_Licencias_Medicas[Id],Tabla_Licencias_Medicas[Codigo_Tecnico],"",0,1)</f>
        <v>LICENCIAS_MEDICAS_PARAMETROS</v>
      </c>
      <c r="J2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/licencias-medicas/parametros/tipo-reposo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tipo-reposo</v>
      </c>
      <c r="L25" s="2" t="s">
        <v>1586</v>
      </c>
      <c r="M25" s="2" t="s">
        <v>1801</v>
      </c>
      <c r="N25" s="4" t="s">
        <v>360</v>
      </c>
      <c r="O25" s="4" t="s">
        <v>360</v>
      </c>
      <c r="Q25" s="4"/>
      <c r="R25" s="4"/>
      <c r="S25" s="4" t="s">
        <v>360</v>
      </c>
      <c r="W25" s="4" t="s">
        <v>360</v>
      </c>
      <c r="X25" s="2" t="str">
        <f>IF(Tabla_Licencias_Medicas[[#This Row],[id_padre]]=Tabla_Licencias_Medicas[[#This Row],[Id]],"NOK","OK")</f>
        <v>OK</v>
      </c>
    </row>
    <row r="26" spans="1:24" x14ac:dyDescent="0.5">
      <c r="A26" s="2">
        <f>MAX(Tabla_Decretos[Id])</f>
        <v>915</v>
      </c>
      <c r="B26">
        <v>917</v>
      </c>
      <c r="C26" s="5">
        <f>IF(Tabla_Licencias_Medicas[[#This Row],[id_padre]]="",0,_xlfn.XLOOKUP(Tabla_Licencias_Medicas[[#This Row],[id_padre]],Tabla_Licencias_Medicas[Id],Tabla_Licencias_Medicas[Nivel],0,0,1)+1)</f>
        <v>2</v>
      </c>
      <c r="D26" s="2" t="s">
        <v>812</v>
      </c>
      <c r="E26">
        <f>IF(Tabla_Licencias_Medicas[[#This Row],[Id_anterior]]=1,ROW()-1,SUM(ROW()-1,Tabla_Licencias_Medicas[[#This Row],[Id_anterior]]))</f>
        <v>940</v>
      </c>
      <c r="F2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LICENCIAS_MEDICAS_PARAMETROS_UNIDAD_SUPERIOR</v>
      </c>
      <c r="G26" s="2" t="str">
        <f>CLEAN(PROPER(Tabla_Licencias_Medicas[[#This Row],[Nombre Opción]]))</f>
        <v>Unidad Superior</v>
      </c>
      <c r="H26" s="2" t="s">
        <v>1735</v>
      </c>
      <c r="I26" s="2" t="str">
        <f>_xlfn.XLOOKUP(Tabla_Licencias_Medicas[[#This Row],[id_padre]],Tabla_Licencias_Medicas[Id],Tabla_Licencias_Medicas[Codigo_Tecnico],"",0,1)</f>
        <v>LICENCIAS_MEDICAS_PARAMETROS</v>
      </c>
      <c r="J2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/licencias-medicas/parametros/unidad-superior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unidad-superior</v>
      </c>
      <c r="L26" s="2" t="s">
        <v>1367</v>
      </c>
      <c r="M26" s="2" t="s">
        <v>1801</v>
      </c>
      <c r="N26" s="4" t="s">
        <v>360</v>
      </c>
      <c r="O26" s="4" t="s">
        <v>360</v>
      </c>
      <c r="Q26" s="4"/>
      <c r="R26" s="4"/>
      <c r="S26" s="4" t="s">
        <v>360</v>
      </c>
      <c r="W26" s="4" t="s">
        <v>360</v>
      </c>
      <c r="X26" s="2" t="str">
        <f>IF(Tabla_Licencias_Medicas[[#This Row],[id_padre]]=Tabla_Licencias_Medicas[[#This Row],[Id]],"NOK","OK")</f>
        <v>OK</v>
      </c>
    </row>
    <row r="27" spans="1:24" x14ac:dyDescent="0.5">
      <c r="A27" s="2">
        <f>MAX(Tabla_Decretos[Id])</f>
        <v>915</v>
      </c>
      <c r="B27">
        <v>917</v>
      </c>
      <c r="C27" s="5">
        <f>IF(Tabla_Licencias_Medicas[[#This Row],[id_padre]]="",0,_xlfn.XLOOKUP(Tabla_Licencias_Medicas[[#This Row],[id_padre]],Tabla_Licencias_Medicas[Id],Tabla_Licencias_Medicas[Nivel],0,0,1)+1)</f>
        <v>2</v>
      </c>
      <c r="D27" s="2" t="s">
        <v>813</v>
      </c>
      <c r="E27">
        <f>IF(Tabla_Licencias_Medicas[[#This Row],[Id_anterior]]=1,ROW()-1,SUM(ROW()-1,Tabla_Licencias_Medicas[[#This Row],[Id_anterior]]))</f>
        <v>941</v>
      </c>
      <c r="F2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LICENCIAS_MEDICAS_PARAMETROS_UNIDAD_DEPENDENCIA</v>
      </c>
      <c r="G27" s="2" t="str">
        <f>CLEAN(PROPER(Tabla_Licencias_Medicas[[#This Row],[Nombre Opción]]))</f>
        <v>Unidad Dependencia</v>
      </c>
      <c r="H27" s="2" t="s">
        <v>1735</v>
      </c>
      <c r="I27" s="2" t="str">
        <f>_xlfn.XLOOKUP(Tabla_Licencias_Medicas[[#This Row],[id_padre]],Tabla_Licencias_Medicas[Id],Tabla_Licencias_Medicas[Codigo_Tecnico],"",0,1)</f>
        <v>LICENCIAS_MEDICAS_PARAMETROS</v>
      </c>
      <c r="J2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/licencias-medicas/parametros/unidad-dependencia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unidad-dependencia</v>
      </c>
      <c r="L27" s="2" t="s">
        <v>1389</v>
      </c>
      <c r="M27" s="2" t="s">
        <v>1801</v>
      </c>
      <c r="N27" s="4" t="s">
        <v>360</v>
      </c>
      <c r="O27" s="4" t="s">
        <v>360</v>
      </c>
      <c r="Q27" s="4"/>
      <c r="R27" s="4"/>
      <c r="S27" s="4" t="s">
        <v>360</v>
      </c>
      <c r="W27" s="4" t="s">
        <v>360</v>
      </c>
      <c r="X27" s="2" t="str">
        <f>IF(Tabla_Licencias_Medicas[[#This Row],[id_padre]]=Tabla_Licencias_Medicas[[#This Row],[Id]],"NOK","OK")</f>
        <v>OK</v>
      </c>
    </row>
    <row r="28" spans="1:24" x14ac:dyDescent="0.5">
      <c r="A28" s="2">
        <f>MAX(Tabla_Decretos[Id])</f>
        <v>915</v>
      </c>
      <c r="B28">
        <v>917</v>
      </c>
      <c r="C28" s="5">
        <f>IF(Tabla_Licencias_Medicas[[#This Row],[id_padre]]="",0,_xlfn.XLOOKUP(Tabla_Licencias_Medicas[[#This Row],[id_padre]],Tabla_Licencias_Medicas[Id],Tabla_Licencias_Medicas[Nivel],0,0,1)+1)</f>
        <v>2</v>
      </c>
      <c r="D28" s="2" t="s">
        <v>814</v>
      </c>
      <c r="E28">
        <f>IF(Tabla_Licencias_Medicas[[#This Row],[Id_anterior]]=1,ROW()-1,SUM(ROW()-1,Tabla_Licencias_Medicas[[#This Row],[Id_anterior]]))</f>
        <v>942</v>
      </c>
      <c r="F2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LICENCIAS_MEDICAS_PARAMETROS_CUENTAS_CONTABLES</v>
      </c>
      <c r="G28" s="2" t="str">
        <f>CLEAN(PROPER(Tabla_Licencias_Medicas[[#This Row],[Nombre Opción]]))</f>
        <v>Cuentas Contables</v>
      </c>
      <c r="H28" s="2" t="s">
        <v>1735</v>
      </c>
      <c r="I28" s="2" t="str">
        <f>_xlfn.XLOOKUP(Tabla_Licencias_Medicas[[#This Row],[id_padre]],Tabla_Licencias_Medicas[Id],Tabla_Licencias_Medicas[Codigo_Tecnico],"",0,1)</f>
        <v>LICENCIAS_MEDICAS_PARAMETROS</v>
      </c>
      <c r="J2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/licencias-medicas/parametros/cuentas-contables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cuentas-contables</v>
      </c>
      <c r="L28" s="2" t="s">
        <v>1395</v>
      </c>
      <c r="M28" s="2" t="s">
        <v>1801</v>
      </c>
      <c r="N28" s="4" t="s">
        <v>360</v>
      </c>
      <c r="O28" s="4"/>
      <c r="Q28" s="4"/>
      <c r="R28" s="4"/>
      <c r="U28" s="4" t="s">
        <v>360</v>
      </c>
      <c r="W28" s="4" t="s">
        <v>360</v>
      </c>
      <c r="X28" s="2" t="str">
        <f>IF(Tabla_Licencias_Medicas[[#This Row],[id_padre]]=Tabla_Licencias_Medicas[[#This Row],[Id]],"NOK","OK")</f>
        <v>OK</v>
      </c>
    </row>
    <row r="29" spans="1:24" hidden="1" x14ac:dyDescent="0.5">
      <c r="A29" s="2">
        <f>MAX(Tabla_Decretos[Id])</f>
        <v>915</v>
      </c>
      <c r="B29">
        <v>918</v>
      </c>
      <c r="C29" s="5">
        <f>IF(Tabla_Licencias_Medicas[[#This Row],[id_padre]]="",0,_xlfn.XLOOKUP(Tabla_Licencias_Medicas[[#This Row],[id_padre]],Tabla_Licencias_Medicas[Id],Tabla_Licencias_Medicas[Nivel],0,0,1)+1)</f>
        <v>2</v>
      </c>
      <c r="D29" s="2" t="s">
        <v>26</v>
      </c>
      <c r="E29">
        <f>IF(Tabla_Licencias_Medicas[[#This Row],[Id_anterior]]=1,ROW()-1,SUM(ROW()-1,Tabla_Licencias_Medicas[[#This Row],[Id_anterior]]))</f>
        <v>943</v>
      </c>
      <c r="F2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LICENCIAS_MEDICAS_PROCESOS_UNIDAD</v>
      </c>
      <c r="G29" s="2" t="str">
        <f>CLEAN(PROPER(Tabla_Licencias_Medicas[[#This Row],[Nombre Opción]]))</f>
        <v>Unidad</v>
      </c>
      <c r="H29" s="2" t="s">
        <v>1735</v>
      </c>
      <c r="I29" s="2" t="str">
        <f>_xlfn.XLOOKUP(Tabla_Licencias_Medicas[[#This Row],[id_padre]],Tabla_Licencias_Medicas[Id],Tabla_Licencias_Medicas[Codigo_Tecnico],"",0,1)</f>
        <v>LICENCIAS_MEDICAS_PROCESOS</v>
      </c>
      <c r="J2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/licencias-medicas/procesos/unidad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</v>
      </c>
      <c r="L29" s="2" t="s">
        <v>1341</v>
      </c>
      <c r="M29" s="2" t="s">
        <v>1801</v>
      </c>
      <c r="N29" s="4" t="s">
        <v>360</v>
      </c>
      <c r="O29" s="4" t="s">
        <v>360</v>
      </c>
      <c r="P29" s="4" t="s">
        <v>360</v>
      </c>
      <c r="Q29" s="4" t="s">
        <v>360</v>
      </c>
      <c r="R29" s="4" t="s">
        <v>360</v>
      </c>
      <c r="S29" s="4" t="s">
        <v>360</v>
      </c>
      <c r="V29" s="4" t="s">
        <v>360</v>
      </c>
      <c r="W29" s="4" t="s">
        <v>360</v>
      </c>
      <c r="X29" s="2" t="str">
        <f>IF(Tabla_Licencias_Medicas[[#This Row],[id_padre]]=Tabla_Licencias_Medicas[[#This Row],[Id]],"NOK","OK")</f>
        <v>OK</v>
      </c>
    </row>
    <row r="30" spans="1:24" hidden="1" x14ac:dyDescent="0.5">
      <c r="A30" s="2">
        <f>MAX(Tabla_Decretos[Id])</f>
        <v>915</v>
      </c>
      <c r="B30">
        <v>943</v>
      </c>
      <c r="C30" s="5">
        <f>IF(Tabla_Licencias_Medicas[[#This Row],[id_padre]]="",0,_xlfn.XLOOKUP(Tabla_Licencias_Medicas[[#This Row],[id_padre]],Tabla_Licencias_Medicas[Id],Tabla_Licencias_Medicas[Nivel],0,0,1)+1)</f>
        <v>3</v>
      </c>
      <c r="D30" s="2" t="s">
        <v>815</v>
      </c>
      <c r="E30">
        <f>IF(Tabla_Licencias_Medicas[[#This Row],[Id_anterior]]=1,ROW()-1,SUM(ROW()-1,Tabla_Licencias_Medicas[[#This Row],[Id_anterior]]))</f>
        <v>944</v>
      </c>
      <c r="F3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LICENCIAS_MEDICAS_PROCESOS_UNIDAD_LICENCIA_MEDICA</v>
      </c>
      <c r="G30" s="2" t="str">
        <f>CLEAN(PROPER(Tabla_Licencias_Medicas[[#This Row],[Nombre Opción]]))</f>
        <v>Licencia Medica</v>
      </c>
      <c r="H30" s="2" t="s">
        <v>1735</v>
      </c>
      <c r="I30" s="2" t="str">
        <f>_xlfn.XLOOKUP(Tabla_Licencias_Medicas[[#This Row],[id_padre]],Tabla_Licencias_Medicas[Id],Tabla_Licencias_Medicas[Codigo_Tecnico],"",0,1)</f>
        <v>LICENCIAS_MEDICAS_PROCESOS_UNIDAD</v>
      </c>
      <c r="J3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/licencias-medicas/procesos/unidad/licencia-medica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licencia-medica</v>
      </c>
      <c r="L30" s="2" t="s">
        <v>1587</v>
      </c>
      <c r="M30" s="2" t="s">
        <v>1801</v>
      </c>
      <c r="N30" s="4" t="s">
        <v>360</v>
      </c>
      <c r="O30" s="4" t="s">
        <v>360</v>
      </c>
      <c r="P30" s="4" t="s">
        <v>360</v>
      </c>
      <c r="Q30" s="4" t="s">
        <v>360</v>
      </c>
      <c r="R30" s="4" t="s">
        <v>360</v>
      </c>
      <c r="S30" s="4" t="s">
        <v>360</v>
      </c>
      <c r="V30" s="4" t="s">
        <v>360</v>
      </c>
      <c r="W30" s="4" t="s">
        <v>360</v>
      </c>
      <c r="X30" s="2" t="str">
        <f>IF(Tabla_Licencias_Medicas[[#This Row],[id_padre]]=Tabla_Licencias_Medicas[[#This Row],[Id]],"NOK","OK")</f>
        <v>OK</v>
      </c>
    </row>
    <row r="31" spans="1:24" hidden="1" x14ac:dyDescent="0.5">
      <c r="A31" s="2">
        <f>MAX(Tabla_Decretos[Id])</f>
        <v>915</v>
      </c>
      <c r="B31">
        <v>943</v>
      </c>
      <c r="C31" s="5">
        <f>IF(Tabla_Licencias_Medicas[[#This Row],[id_padre]]="",0,_xlfn.XLOOKUP(Tabla_Licencias_Medicas[[#This Row],[id_padre]],Tabla_Licencias_Medicas[Id],Tabla_Licencias_Medicas[Nivel],0,0,1)+1)</f>
        <v>3</v>
      </c>
      <c r="D31" s="2" t="s">
        <v>816</v>
      </c>
      <c r="E31">
        <f>IF(Tabla_Licencias_Medicas[[#This Row],[Id_anterior]]=1,ROW()-1,SUM(ROW()-1,Tabla_Licencias_Medicas[[#This Row],[Id_anterior]]))</f>
        <v>945</v>
      </c>
      <c r="F3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LICENCIAS_MEDICAS_PROCESOS_UNIDAD_TRAMITACION_LICENCIA_MEDICA</v>
      </c>
      <c r="G31" s="2" t="str">
        <f>CLEAN(PROPER(Tabla_Licencias_Medicas[[#This Row],[Nombre Opción]]))</f>
        <v>Tramitacion Licencia Medica</v>
      </c>
      <c r="H31" s="2" t="s">
        <v>1735</v>
      </c>
      <c r="I31" s="2" t="str">
        <f>_xlfn.XLOOKUP(Tabla_Licencias_Medicas[[#This Row],[id_padre]],Tabla_Licencias_Medicas[Id],Tabla_Licencias_Medicas[Codigo_Tecnico],"",0,1)</f>
        <v>LICENCIAS_MEDICAS_PROCESOS_UNIDAD</v>
      </c>
      <c r="J3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/licencias-medicas/procesos/unidad/tramitacion-licencia-medica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tramitacion-licencia-medica</v>
      </c>
      <c r="L31" s="2" t="s">
        <v>1396</v>
      </c>
      <c r="M31" s="2" t="s">
        <v>1801</v>
      </c>
      <c r="N31" s="4" t="s">
        <v>360</v>
      </c>
      <c r="O31" s="4" t="s">
        <v>360</v>
      </c>
      <c r="P31" s="4" t="s">
        <v>360</v>
      </c>
      <c r="Q31" s="4" t="s">
        <v>360</v>
      </c>
      <c r="R31" s="4" t="s">
        <v>360</v>
      </c>
      <c r="S31" s="4" t="s">
        <v>360</v>
      </c>
      <c r="V31" s="4" t="s">
        <v>360</v>
      </c>
      <c r="W31" s="4" t="s">
        <v>360</v>
      </c>
      <c r="X31" s="2" t="str">
        <f>IF(Tabla_Licencias_Medicas[[#This Row],[id_padre]]=Tabla_Licencias_Medicas[[#This Row],[Id]],"NOK","OK")</f>
        <v>OK</v>
      </c>
    </row>
    <row r="32" spans="1:24" hidden="1" x14ac:dyDescent="0.5">
      <c r="A32" s="2">
        <f>MAX(Tabla_Decretos[Id])</f>
        <v>915</v>
      </c>
      <c r="B32">
        <v>943</v>
      </c>
      <c r="C32" s="5">
        <f>IF(Tabla_Licencias_Medicas[[#This Row],[id_padre]]="",0,_xlfn.XLOOKUP(Tabla_Licencias_Medicas[[#This Row],[id_padre]],Tabla_Licencias_Medicas[Id],Tabla_Licencias_Medicas[Nivel],0,0,1)+1)</f>
        <v>3</v>
      </c>
      <c r="D32" s="2" t="s">
        <v>817</v>
      </c>
      <c r="E32">
        <f>IF(Tabla_Licencias_Medicas[[#This Row],[Id_anterior]]=1,ROW()-1,SUM(ROW()-1,Tabla_Licencias_Medicas[[#This Row],[Id_anterior]]))</f>
        <v>946</v>
      </c>
      <c r="F3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LICENCIAS_MEDICAS_PROCESOS_UNIDAD_ANULACION_LICENCIA_MEDICA</v>
      </c>
      <c r="G32" s="2" t="str">
        <f>CLEAN(PROPER(Tabla_Licencias_Medicas[[#This Row],[Nombre Opción]]))</f>
        <v>Anulacion Licencia Medica</v>
      </c>
      <c r="H32" s="2" t="s">
        <v>1735</v>
      </c>
      <c r="I32" s="2" t="str">
        <f>_xlfn.XLOOKUP(Tabla_Licencias_Medicas[[#This Row],[id_padre]],Tabla_Licencias_Medicas[Id],Tabla_Licencias_Medicas[Codigo_Tecnico],"",0,1)</f>
        <v>LICENCIAS_MEDICAS_PROCESOS_UNIDAD</v>
      </c>
      <c r="J3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/licencias-medicas/procesos/unidad/anulacion-licencia-medica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anulacion-licencia-medica</v>
      </c>
      <c r="L32" s="2" t="s">
        <v>1346</v>
      </c>
      <c r="M32" s="2" t="s">
        <v>1801</v>
      </c>
      <c r="N32" s="4" t="s">
        <v>360</v>
      </c>
      <c r="O32" s="4" t="s">
        <v>360</v>
      </c>
      <c r="P32" s="4" t="s">
        <v>360</v>
      </c>
      <c r="Q32" s="4" t="s">
        <v>360</v>
      </c>
      <c r="R32" s="4" t="s">
        <v>360</v>
      </c>
      <c r="S32" s="4" t="s">
        <v>360</v>
      </c>
      <c r="V32" s="4" t="s">
        <v>360</v>
      </c>
      <c r="W32" s="4" t="s">
        <v>360</v>
      </c>
      <c r="X32" s="2" t="str">
        <f>IF(Tabla_Licencias_Medicas[[#This Row],[id_padre]]=Tabla_Licencias_Medicas[[#This Row],[Id]],"NOK","OK")</f>
        <v>OK</v>
      </c>
    </row>
    <row r="33" spans="1:24" hidden="1" x14ac:dyDescent="0.5">
      <c r="A33" s="2">
        <f>MAX(Tabla_Decretos[Id])</f>
        <v>915</v>
      </c>
      <c r="B33">
        <v>943</v>
      </c>
      <c r="C33" s="5">
        <f>IF(Tabla_Licencias_Medicas[[#This Row],[id_padre]]="",0,_xlfn.XLOOKUP(Tabla_Licencias_Medicas[[#This Row],[id_padre]],Tabla_Licencias_Medicas[Id],Tabla_Licencias_Medicas[Nivel],0,0,1)+1)</f>
        <v>3</v>
      </c>
      <c r="D33" s="2" t="s">
        <v>818</v>
      </c>
      <c r="E33">
        <f>IF(Tabla_Licencias_Medicas[[#This Row],[Id_anterior]]=1,ROW()-1,SUM(ROW()-1,Tabla_Licencias_Medicas[[#This Row],[Id_anterior]]))</f>
        <v>947</v>
      </c>
      <c r="F3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LICENCIAS_MEDICAS_PROCESOS_UNIDAD_POST_NATAL_PARENTAL</v>
      </c>
      <c r="G33" s="2" t="str">
        <f>CLEAN(PROPER(Tabla_Licencias_Medicas[[#This Row],[Nombre Opción]]))</f>
        <v>Post Natal Parental</v>
      </c>
      <c r="H33" s="2" t="s">
        <v>1735</v>
      </c>
      <c r="I33" s="2" t="str">
        <f>_xlfn.XLOOKUP(Tabla_Licencias_Medicas[[#This Row],[id_padre]],Tabla_Licencias_Medicas[Id],Tabla_Licencias_Medicas[Codigo_Tecnico],"",0,1)</f>
        <v>LICENCIAS_MEDICAS_PROCESOS_UNIDAD</v>
      </c>
      <c r="J3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/licencias-medicas/procesos/unidad/post-natal-parental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post-natal-parental</v>
      </c>
      <c r="L33" s="2" t="s">
        <v>1588</v>
      </c>
      <c r="M33" s="2" t="s">
        <v>1801</v>
      </c>
      <c r="N33" s="4" t="s">
        <v>360</v>
      </c>
      <c r="O33" s="4" t="s">
        <v>360</v>
      </c>
      <c r="P33" s="4" t="s">
        <v>360</v>
      </c>
      <c r="Q33" s="4" t="s">
        <v>360</v>
      </c>
      <c r="R33" s="4" t="s">
        <v>360</v>
      </c>
      <c r="S33" s="4" t="s">
        <v>360</v>
      </c>
      <c r="V33" s="4" t="s">
        <v>360</v>
      </c>
      <c r="W33" s="4" t="s">
        <v>360</v>
      </c>
      <c r="X33" s="2" t="str">
        <f>IF(Tabla_Licencias_Medicas[[#This Row],[id_padre]]=Tabla_Licencias_Medicas[[#This Row],[Id]],"NOK","OK")</f>
        <v>OK</v>
      </c>
    </row>
    <row r="34" spans="1:24" hidden="1" x14ac:dyDescent="0.5">
      <c r="A34" s="2">
        <f>MAX(Tabla_Decretos[Id])</f>
        <v>915</v>
      </c>
      <c r="B34">
        <v>943</v>
      </c>
      <c r="C34" s="5">
        <f>IF(Tabla_Licencias_Medicas[[#This Row],[id_padre]]="",0,_xlfn.XLOOKUP(Tabla_Licencias_Medicas[[#This Row],[id_padre]],Tabla_Licencias_Medicas[Id],Tabla_Licencias_Medicas[Nivel],0,0,1)+1)</f>
        <v>3</v>
      </c>
      <c r="D34" s="2" t="s">
        <v>819</v>
      </c>
      <c r="E34">
        <f>IF(Tabla_Licencias_Medicas[[#This Row],[Id_anterior]]=1,ROW()-1,SUM(ROW()-1,Tabla_Licencias_Medicas[[#This Row],[Id_anterior]]))</f>
        <v>948</v>
      </c>
      <c r="F3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LICENCIAS_MEDICAS_PROCESOS_UNIDAD_CESE_PERMISO_POST_NATAL_PARENTAL</v>
      </c>
      <c r="G34" s="2" t="str">
        <f>CLEAN(PROPER(Tabla_Licencias_Medicas[[#This Row],[Nombre Opción]]))</f>
        <v>Cese Permiso Post Natal Parental</v>
      </c>
      <c r="H34" s="2" t="s">
        <v>1735</v>
      </c>
      <c r="I34" s="2" t="str">
        <f>_xlfn.XLOOKUP(Tabla_Licencias_Medicas[[#This Row],[id_padre]],Tabla_Licencias_Medicas[Id],Tabla_Licencias_Medicas[Codigo_Tecnico],"",0,1)</f>
        <v>LICENCIAS_MEDICAS_PROCESOS_UNIDAD</v>
      </c>
      <c r="J3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/licencias-medicas/procesos/unidad/cese-permiso-post-natal-parental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cese-permiso-post-natal-parental</v>
      </c>
      <c r="L34" s="2" t="s">
        <v>1368</v>
      </c>
      <c r="M34" s="2" t="s">
        <v>1801</v>
      </c>
      <c r="N34" s="4" t="s">
        <v>360</v>
      </c>
      <c r="O34" s="4" t="s">
        <v>360</v>
      </c>
      <c r="P34" s="4" t="s">
        <v>360</v>
      </c>
      <c r="Q34" s="4" t="s">
        <v>360</v>
      </c>
      <c r="R34" s="4" t="s">
        <v>360</v>
      </c>
      <c r="S34" s="4" t="s">
        <v>360</v>
      </c>
      <c r="V34" s="4" t="s">
        <v>360</v>
      </c>
      <c r="W34" s="4" t="s">
        <v>360</v>
      </c>
      <c r="X34" s="2" t="str">
        <f>IF(Tabla_Licencias_Medicas[[#This Row],[id_padre]]=Tabla_Licencias_Medicas[[#This Row],[Id]],"NOK","OK")</f>
        <v>OK</v>
      </c>
    </row>
    <row r="35" spans="1:24" hidden="1" x14ac:dyDescent="0.5">
      <c r="A35" s="2">
        <f>MAX(Tabla_Decretos[Id])</f>
        <v>915</v>
      </c>
      <c r="B35">
        <v>943</v>
      </c>
      <c r="C35" s="5">
        <f>IF(Tabla_Licencias_Medicas[[#This Row],[id_padre]]="",0,_xlfn.XLOOKUP(Tabla_Licencias_Medicas[[#This Row],[id_padre]],Tabla_Licencias_Medicas[Id],Tabla_Licencias_Medicas[Nivel],0,0,1)+1)</f>
        <v>3</v>
      </c>
      <c r="D35" s="2" t="s">
        <v>820</v>
      </c>
      <c r="E35">
        <f>IF(Tabla_Licencias_Medicas[[#This Row],[Id_anterior]]=1,ROW()-1,SUM(ROW()-1,Tabla_Licencias_Medicas[[#This Row],[Id_anterior]]))</f>
        <v>949</v>
      </c>
      <c r="F3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LICENCIAS_MEDICAS_PROCESOS_UNIDAD_RESOLUCION_LICENCIA_MEDICA</v>
      </c>
      <c r="G35" s="2" t="str">
        <f>CLEAN(PROPER(Tabla_Licencias_Medicas[[#This Row],[Nombre Opción]]))</f>
        <v>Resolucion Licencia Medica</v>
      </c>
      <c r="H35" s="2" t="s">
        <v>1735</v>
      </c>
      <c r="I35" s="2" t="str">
        <f>_xlfn.XLOOKUP(Tabla_Licencias_Medicas[[#This Row],[id_padre]],Tabla_Licencias_Medicas[Id],Tabla_Licencias_Medicas[Codigo_Tecnico],"",0,1)</f>
        <v>LICENCIAS_MEDICAS_PROCESOS_UNIDAD</v>
      </c>
      <c r="J3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/licencias-medicas/procesos/unidad/resolucion-licencia-medica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resolucion-licencia-medica</v>
      </c>
      <c r="L35" s="2" t="s">
        <v>1457</v>
      </c>
      <c r="M35" s="2" t="s">
        <v>1801</v>
      </c>
      <c r="N35" s="4" t="s">
        <v>360</v>
      </c>
      <c r="O35" s="4"/>
      <c r="Q35" s="4"/>
      <c r="R35" s="4"/>
      <c r="W35" s="4" t="s">
        <v>360</v>
      </c>
      <c r="X35" s="2" t="str">
        <f>IF(Tabla_Licencias_Medicas[[#This Row],[id_padre]]=Tabla_Licencias_Medicas[[#This Row],[Id]],"NOK","OK")</f>
        <v>OK</v>
      </c>
    </row>
    <row r="36" spans="1:24" hidden="1" x14ac:dyDescent="0.5">
      <c r="A36" s="2">
        <f>MAX(Tabla_Decretos[Id])</f>
        <v>915</v>
      </c>
      <c r="B36">
        <v>918</v>
      </c>
      <c r="C36" s="5">
        <f>IF(Tabla_Licencias_Medicas[[#This Row],[id_padre]]="",0,_xlfn.XLOOKUP(Tabla_Licencias_Medicas[[#This Row],[id_padre]],Tabla_Licencias_Medicas[Id],Tabla_Licencias_Medicas[Nivel],0,0,1)+1)</f>
        <v>2</v>
      </c>
      <c r="D36" s="2" t="s">
        <v>821</v>
      </c>
      <c r="E36">
        <f>IF(Tabla_Licencias_Medicas[[#This Row],[Id_anterior]]=1,ROW()-1,SUM(ROW()-1,Tabla_Licencias_Medicas[[#This Row],[Id_anterior]]))</f>
        <v>950</v>
      </c>
      <c r="F3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</v>
      </c>
      <c r="G36" s="2" t="str">
        <f>CLEAN(PROPER(Tabla_Licencias_Medicas[[#This Row],[Nombre Opción]]))</f>
        <v>Comando De Personal</v>
      </c>
      <c r="H36" s="2" t="s">
        <v>1735</v>
      </c>
      <c r="I36" s="2" t="str">
        <f>_xlfn.XLOOKUP(Tabla_Licencias_Medicas[[#This Row],[id_padre]],Tabla_Licencias_Medicas[Id],Tabla_Licencias_Medicas[Codigo_Tecnico],"",0,1)</f>
        <v>LICENCIAS_MEDICAS_PROCESOS</v>
      </c>
      <c r="J3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comando-personal</v>
      </c>
      <c r="L36" s="2" t="s">
        <v>1589</v>
      </c>
      <c r="M36" s="2" t="s">
        <v>1801</v>
      </c>
      <c r="N36" s="4" t="s">
        <v>360</v>
      </c>
      <c r="O36" s="4" t="s">
        <v>360</v>
      </c>
      <c r="Q36" s="4" t="s">
        <v>360</v>
      </c>
      <c r="R36" s="4"/>
      <c r="S36" s="4" t="s">
        <v>360</v>
      </c>
      <c r="W36" s="4" t="s">
        <v>360</v>
      </c>
      <c r="X36" s="2" t="str">
        <f>IF(Tabla_Licencias_Medicas[[#This Row],[id_padre]]=Tabla_Licencias_Medicas[[#This Row],[Id]],"NOK","OK")</f>
        <v>OK</v>
      </c>
    </row>
    <row r="37" spans="1:24" hidden="1" x14ac:dyDescent="0.5">
      <c r="A37" s="2">
        <f>MAX(Tabla_Decretos[Id])</f>
        <v>915</v>
      </c>
      <c r="B37">
        <v>950</v>
      </c>
      <c r="C37" s="5">
        <f>IF(Tabla_Licencias_Medicas[[#This Row],[id_padre]]="",0,_xlfn.XLOOKUP(Tabla_Licencias_Medicas[[#This Row],[id_padre]],Tabla_Licencias_Medicas[Id],Tabla_Licencias_Medicas[Nivel],0,0,1)+1)</f>
        <v>3</v>
      </c>
      <c r="D37" s="2" t="s">
        <v>822</v>
      </c>
      <c r="E37">
        <f>IF(Tabla_Licencias_Medicas[[#This Row],[Id_anterior]]=1,ROW()-1,SUM(ROW()-1,Tabla_Licencias_Medicas[[#This Row],[Id_anterior]]))</f>
        <v>951</v>
      </c>
      <c r="F3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LICENCIAS_MEDICAS_PROCESOS_COMANDO_PERSONAL_VALIDACION_LICENCIAS_MEDICAS</v>
      </c>
      <c r="G37" s="2" t="str">
        <f>CLEAN(PROPER(Tabla_Licencias_Medicas[[#This Row],[Nombre Opción]]))</f>
        <v>Validacion Licencias Medicas</v>
      </c>
      <c r="H37" s="2" t="s">
        <v>1735</v>
      </c>
      <c r="I37" s="2" t="str">
        <f>_xlfn.XLOOKUP(Tabla_Licencias_Medicas[[#This Row],[id_padre]],Tabla_Licencias_Medicas[Id],Tabla_Licencias_Medicas[Codigo_Tecnico],"",0,1)</f>
        <v>LICENCIAS_MEDICAS_PROCESOS_COMANDO_PERSONAL</v>
      </c>
      <c r="J3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/licencias-medicas/procesos/comando-personal/validacion-licencias-medicas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validacion-licencias-medicas</v>
      </c>
      <c r="L37" s="2" t="s">
        <v>1386</v>
      </c>
      <c r="M37" s="2" t="s">
        <v>1801</v>
      </c>
      <c r="N37" s="4" t="s">
        <v>360</v>
      </c>
      <c r="O37" s="4" t="s">
        <v>360</v>
      </c>
      <c r="Q37" s="4" t="s">
        <v>360</v>
      </c>
      <c r="R37" s="4"/>
      <c r="S37" s="4" t="s">
        <v>360</v>
      </c>
      <c r="W37" s="4" t="s">
        <v>360</v>
      </c>
      <c r="X37" s="2" t="str">
        <f>IF(Tabla_Licencias_Medicas[[#This Row],[id_padre]]=Tabla_Licencias_Medicas[[#This Row],[Id]],"NOK","OK")</f>
        <v>OK</v>
      </c>
    </row>
    <row r="38" spans="1:24" hidden="1" x14ac:dyDescent="0.5">
      <c r="A38" s="2">
        <f>MAX(Tabla_Decretos[Id])</f>
        <v>915</v>
      </c>
      <c r="B38">
        <v>950</v>
      </c>
      <c r="C38" s="5">
        <f>IF(Tabla_Licencias_Medicas[[#This Row],[id_padre]]="",0,_xlfn.XLOOKUP(Tabla_Licencias_Medicas[[#This Row],[id_padre]],Tabla_Licencias_Medicas[Id],Tabla_Licencias_Medicas[Nivel],0,0,1)+1)</f>
        <v>3</v>
      </c>
      <c r="D38" s="2" t="s">
        <v>823</v>
      </c>
      <c r="E38">
        <f>IF(Tabla_Licencias_Medicas[[#This Row],[Id_anterior]]=1,ROW()-1,SUM(ROW()-1,Tabla_Licencias_Medicas[[#This Row],[Id_anterior]]))</f>
        <v>952</v>
      </c>
      <c r="F3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LICENCIAS_MEDICAS_PROCESOS_COMANDO_PERSONAL_MANTENCION_LICENCIA_MEDICA</v>
      </c>
      <c r="G38" s="2" t="str">
        <f>CLEAN(PROPER(Tabla_Licencias_Medicas[[#This Row],[Nombre Opción]]))</f>
        <v>Mantencion Licencia Medica</v>
      </c>
      <c r="H38" s="2" t="s">
        <v>1735</v>
      </c>
      <c r="I38" s="2" t="str">
        <f>_xlfn.XLOOKUP(Tabla_Licencias_Medicas[[#This Row],[id_padre]],Tabla_Licencias_Medicas[Id],Tabla_Licencias_Medicas[Codigo_Tecnico],"",0,1)</f>
        <v>LICENCIAS_MEDICAS_PROCESOS_COMANDO_PERSONAL</v>
      </c>
      <c r="J3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/licencias-medicas/procesos/comando-personal/mantencion-licencia-medica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mantencion-licencia-medica</v>
      </c>
      <c r="L38" s="2" t="s">
        <v>1352</v>
      </c>
      <c r="M38" s="2" t="s">
        <v>1801</v>
      </c>
      <c r="N38" s="4" t="s">
        <v>360</v>
      </c>
      <c r="O38" s="4" t="s">
        <v>360</v>
      </c>
      <c r="Q38" s="4" t="s">
        <v>360</v>
      </c>
      <c r="R38" s="4"/>
      <c r="S38" s="4" t="s">
        <v>360</v>
      </c>
      <c r="W38" s="4" t="s">
        <v>360</v>
      </c>
      <c r="X38" s="2" t="str">
        <f>IF(Tabla_Licencias_Medicas[[#This Row],[id_padre]]=Tabla_Licencias_Medicas[[#This Row],[Id]],"NOK","OK")</f>
        <v>OK</v>
      </c>
    </row>
    <row r="39" spans="1:24" hidden="1" x14ac:dyDescent="0.5">
      <c r="A39" s="2">
        <f>MAX(Tabla_Decretos[Id])</f>
        <v>915</v>
      </c>
      <c r="B39">
        <v>950</v>
      </c>
      <c r="C39" s="5">
        <f>IF(Tabla_Licencias_Medicas[[#This Row],[id_padre]]="",0,_xlfn.XLOOKUP(Tabla_Licencias_Medicas[[#This Row],[id_padre]],Tabla_Licencias_Medicas[Id],Tabla_Licencias_Medicas[Nivel],0,0,1)+1)</f>
        <v>3</v>
      </c>
      <c r="D39" s="2" t="s">
        <v>817</v>
      </c>
      <c r="E39">
        <f>IF(Tabla_Licencias_Medicas[[#This Row],[Id_anterior]]=1,ROW()-1,SUM(ROW()-1,Tabla_Licencias_Medicas[[#This Row],[Id_anterior]]))</f>
        <v>953</v>
      </c>
      <c r="F3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LICENCIAS_MEDICAS_PROCESOS_COMANDO_PERSONAL_ANULACION_LICENCIA_MEDICA</v>
      </c>
      <c r="G39" s="2" t="str">
        <f>CLEAN(PROPER(Tabla_Licencias_Medicas[[#This Row],[Nombre Opción]]))</f>
        <v>Anulacion Licencia Medica</v>
      </c>
      <c r="H39" s="2" t="s">
        <v>1735</v>
      </c>
      <c r="I39" s="2" t="str">
        <f>_xlfn.XLOOKUP(Tabla_Licencias_Medicas[[#This Row],[id_padre]],Tabla_Licencias_Medicas[Id],Tabla_Licencias_Medicas[Codigo_Tecnico],"",0,1)</f>
        <v>LICENCIAS_MEDICAS_PROCESOS_COMANDO_PERSONAL</v>
      </c>
      <c r="J3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/licencias-medicas/procesos/comando-personal/anulacion-licencia-medica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anulacion-licencia-medica</v>
      </c>
      <c r="L39" s="2" t="s">
        <v>1390</v>
      </c>
      <c r="M39" s="2" t="s">
        <v>1801</v>
      </c>
      <c r="N39" s="4" t="s">
        <v>360</v>
      </c>
      <c r="O39" s="4" t="s">
        <v>360</v>
      </c>
      <c r="Q39" s="4" t="s">
        <v>360</v>
      </c>
      <c r="R39" s="4"/>
      <c r="S39" s="4" t="s">
        <v>360</v>
      </c>
      <c r="W39" s="4" t="s">
        <v>360</v>
      </c>
      <c r="X39" s="2" t="str">
        <f>IF(Tabla_Licencias_Medicas[[#This Row],[id_padre]]=Tabla_Licencias_Medicas[[#This Row],[Id]],"NOK","OK")</f>
        <v>OK</v>
      </c>
    </row>
    <row r="40" spans="1:24" hidden="1" x14ac:dyDescent="0.5">
      <c r="A40" s="2">
        <f>MAX(Tabla_Decretos[Id])</f>
        <v>915</v>
      </c>
      <c r="B40">
        <v>950</v>
      </c>
      <c r="C40" s="5">
        <f>IF(Tabla_Licencias_Medicas[[#This Row],[id_padre]]="",0,_xlfn.XLOOKUP(Tabla_Licencias_Medicas[[#This Row],[id_padre]],Tabla_Licencias_Medicas[Id],Tabla_Licencias_Medicas[Nivel],0,0,1)+1)</f>
        <v>3</v>
      </c>
      <c r="D40" s="2" t="s">
        <v>824</v>
      </c>
      <c r="E40">
        <f>IF(Tabla_Licencias_Medicas[[#This Row],[Id_anterior]]=1,ROW()-1,SUM(ROW()-1,Tabla_Licencias_Medicas[[#This Row],[Id_anterior]]))</f>
        <v>954</v>
      </c>
      <c r="F4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LICENCIAS_MEDICAS_PROCESOS_COMANDO_PERSONAL_REACTIVAR_LICENCIA_MEDICA</v>
      </c>
      <c r="G40" s="2" t="str">
        <f>CLEAN(PROPER(Tabla_Licencias_Medicas[[#This Row],[Nombre Opción]]))</f>
        <v>Reactivar Licencia Medica</v>
      </c>
      <c r="H40" s="2" t="s">
        <v>1735</v>
      </c>
      <c r="I40" s="2" t="str">
        <f>_xlfn.XLOOKUP(Tabla_Licencias_Medicas[[#This Row],[id_padre]],Tabla_Licencias_Medicas[Id],Tabla_Licencias_Medicas[Codigo_Tecnico],"",0,1)</f>
        <v>LICENCIAS_MEDICAS_PROCESOS_COMANDO_PERSONAL</v>
      </c>
      <c r="J4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/licencias-medicas/procesos/comando-personal/reactivar-licencia-medica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reactivar-licencia-medica</v>
      </c>
      <c r="L40" s="2" t="s">
        <v>1590</v>
      </c>
      <c r="M40" s="2" t="s">
        <v>1801</v>
      </c>
      <c r="N40" s="4" t="s">
        <v>360</v>
      </c>
      <c r="O40" s="4" t="s">
        <v>360</v>
      </c>
      <c r="Q40" s="4"/>
      <c r="R40" s="4"/>
      <c r="S40" s="4" t="s">
        <v>360</v>
      </c>
      <c r="W40" s="4" t="s">
        <v>360</v>
      </c>
      <c r="X40" s="2" t="str">
        <f>IF(Tabla_Licencias_Medicas[[#This Row],[id_padre]]=Tabla_Licencias_Medicas[[#This Row],[Id]],"NOK","OK")</f>
        <v>OK</v>
      </c>
    </row>
    <row r="41" spans="1:24" hidden="1" x14ac:dyDescent="0.5">
      <c r="A41" s="2">
        <f>MAX(Tabla_Decretos[Id])</f>
        <v>915</v>
      </c>
      <c r="B41">
        <v>950</v>
      </c>
      <c r="C41" s="5">
        <f>IF(Tabla_Licencias_Medicas[[#This Row],[id_padre]]="",0,_xlfn.XLOOKUP(Tabla_Licencias_Medicas[[#This Row],[id_padre]],Tabla_Licencias_Medicas[Id],Tabla_Licencias_Medicas[Nivel],0,0,1)+1)</f>
        <v>3</v>
      </c>
      <c r="D41" s="2" t="s">
        <v>825</v>
      </c>
      <c r="E41">
        <f>IF(Tabla_Licencias_Medicas[[#This Row],[Id_anterior]]=1,ROW()-1,SUM(ROW()-1,Tabla_Licencias_Medicas[[#This Row],[Id_anterior]]))</f>
        <v>955</v>
      </c>
      <c r="F4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LICENCIAS_MEDICAS_PROCESOS_COMANDO_PERSONAL_REGISTRA_GESTION_LICENCIA_MEDICA</v>
      </c>
      <c r="G41" s="2" t="str">
        <f>CLEAN(PROPER(Tabla_Licencias_Medicas[[#This Row],[Nombre Opción]]))</f>
        <v>Registra Gestion Licencia Medica</v>
      </c>
      <c r="H41" s="2" t="s">
        <v>1735</v>
      </c>
      <c r="I41" s="2" t="str">
        <f>_xlfn.XLOOKUP(Tabla_Licencias_Medicas[[#This Row],[id_padre]],Tabla_Licencias_Medicas[Id],Tabla_Licencias_Medicas[Codigo_Tecnico],"",0,1)</f>
        <v>LICENCIAS_MEDICAS_PROCESOS_COMANDO_PERSONAL</v>
      </c>
      <c r="J4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/licencias-medicas/procesos/comando-personal/registra-gestion-licencia-medica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registra-gestion-licencia-medica</v>
      </c>
      <c r="L41" s="2" t="s">
        <v>1591</v>
      </c>
      <c r="M41" s="2" t="s">
        <v>1801</v>
      </c>
      <c r="N41" s="4" t="s">
        <v>360</v>
      </c>
      <c r="O41" s="4" t="s">
        <v>360</v>
      </c>
      <c r="Q41" s="4"/>
      <c r="R41" s="4"/>
      <c r="S41" s="4" t="s">
        <v>360</v>
      </c>
      <c r="W41" s="4" t="s">
        <v>360</v>
      </c>
      <c r="X41" s="2" t="str">
        <f>IF(Tabla_Licencias_Medicas[[#This Row],[id_padre]]=Tabla_Licencias_Medicas[[#This Row],[Id]],"NOK","OK")</f>
        <v>OK</v>
      </c>
    </row>
    <row r="42" spans="1:24" hidden="1" x14ac:dyDescent="0.5">
      <c r="A42" s="2">
        <f>MAX(Tabla_Decretos[Id])</f>
        <v>915</v>
      </c>
      <c r="B42">
        <v>950</v>
      </c>
      <c r="C42" s="5">
        <f>IF(Tabla_Licencias_Medicas[[#This Row],[id_padre]]="",0,_xlfn.XLOOKUP(Tabla_Licencias_Medicas[[#This Row],[id_padre]],Tabla_Licencias_Medicas[Id],Tabla_Licencias_Medicas[Nivel],0,0,1)+1)</f>
        <v>3</v>
      </c>
      <c r="D42" s="2" t="s">
        <v>826</v>
      </c>
      <c r="E42">
        <f>IF(Tabla_Licencias_Medicas[[#This Row],[Id_anterior]]=1,ROW()-1,SUM(ROW()-1,Tabla_Licencias_Medicas[[#This Row],[Id_anterior]]))</f>
        <v>956</v>
      </c>
      <c r="F4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LICENCIAS_MEDICAS_PROCESOS_COMANDO_PERSONAL_VALIDACION_PERMISO_POST_NATAL_PARENTALES</v>
      </c>
      <c r="G42" s="2" t="str">
        <f>CLEAN(PROPER(Tabla_Licencias_Medicas[[#This Row],[Nombre Opción]]))</f>
        <v>Validacion Permiso Post Natal Parentales</v>
      </c>
      <c r="H42" s="2" t="s">
        <v>1735</v>
      </c>
      <c r="I42" s="2" t="str">
        <f>_xlfn.XLOOKUP(Tabla_Licencias_Medicas[[#This Row],[id_padre]],Tabla_Licencias_Medicas[Id],Tabla_Licencias_Medicas[Codigo_Tecnico],"",0,1)</f>
        <v>LICENCIAS_MEDICAS_PROCESOS_COMANDO_PERSONAL</v>
      </c>
      <c r="J4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/licencias-medicas/procesos/comando-personal/validacion-permiso-post-natal-parentales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validacion-permiso-post-natal-parentales</v>
      </c>
      <c r="L42" s="2" t="s">
        <v>1534</v>
      </c>
      <c r="M42" s="2" t="s">
        <v>1801</v>
      </c>
      <c r="N42" s="4" t="s">
        <v>360</v>
      </c>
      <c r="O42" s="4" t="s">
        <v>360</v>
      </c>
      <c r="Q42" s="4" t="s">
        <v>360</v>
      </c>
      <c r="R42" s="4"/>
      <c r="S42" s="4" t="s">
        <v>360</v>
      </c>
      <c r="W42" s="4" t="s">
        <v>360</v>
      </c>
      <c r="X42" s="2" t="str">
        <f>IF(Tabla_Licencias_Medicas[[#This Row],[id_padre]]=Tabla_Licencias_Medicas[[#This Row],[Id]],"NOK","OK")</f>
        <v>OK</v>
      </c>
    </row>
    <row r="43" spans="1:24" hidden="1" x14ac:dyDescent="0.5">
      <c r="A43" s="2">
        <f>MAX(Tabla_Decretos[Id])</f>
        <v>915</v>
      </c>
      <c r="B43">
        <v>950</v>
      </c>
      <c r="C43" s="5">
        <f>IF(Tabla_Licencias_Medicas[[#This Row],[id_padre]]="",0,_xlfn.XLOOKUP(Tabla_Licencias_Medicas[[#This Row],[id_padre]],Tabla_Licencias_Medicas[Id],Tabla_Licencias_Medicas[Nivel],0,0,1)+1)</f>
        <v>3</v>
      </c>
      <c r="D43" s="2" t="s">
        <v>827</v>
      </c>
      <c r="E43">
        <f>IF(Tabla_Licencias_Medicas[[#This Row],[Id_anterior]]=1,ROW()-1,SUM(ROW()-1,Tabla_Licencias_Medicas[[#This Row],[Id_anterior]]))</f>
        <v>957</v>
      </c>
      <c r="F4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LICENCIAS_MEDICAS_PROCESOS_COMANDO_PERSONAL_MANTENCION_PERMISO_POST_NATAL_PARENTALES</v>
      </c>
      <c r="G43" s="2" t="str">
        <f>CLEAN(PROPER(Tabla_Licencias_Medicas[[#This Row],[Nombre Opción]]))</f>
        <v>Mantencion Permiso Post Natal Parentales</v>
      </c>
      <c r="H43" s="2" t="s">
        <v>1735</v>
      </c>
      <c r="I43" s="2" t="str">
        <f>_xlfn.XLOOKUP(Tabla_Licencias_Medicas[[#This Row],[id_padre]],Tabla_Licencias_Medicas[Id],Tabla_Licencias_Medicas[Codigo_Tecnico],"",0,1)</f>
        <v>LICENCIAS_MEDICAS_PROCESOS_COMANDO_PERSONAL</v>
      </c>
      <c r="J4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/licencias-medicas/procesos/comando-personal/mantencion-permiso-post-natal-parentales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mantencion-permiso-post-natal-parentales</v>
      </c>
      <c r="L43" s="2" t="s">
        <v>1472</v>
      </c>
      <c r="M43" s="2" t="s">
        <v>1801</v>
      </c>
      <c r="N43" s="4" t="s">
        <v>360</v>
      </c>
      <c r="O43" s="4" t="s">
        <v>360</v>
      </c>
      <c r="Q43" s="4" t="s">
        <v>360</v>
      </c>
      <c r="R43" s="4"/>
      <c r="S43" s="4" t="s">
        <v>360</v>
      </c>
      <c r="W43" s="4" t="s">
        <v>360</v>
      </c>
      <c r="X43" s="2" t="str">
        <f>IF(Tabla_Licencias_Medicas[[#This Row],[id_padre]]=Tabla_Licencias_Medicas[[#This Row],[Id]],"NOK","OK")</f>
        <v>OK</v>
      </c>
    </row>
    <row r="44" spans="1:24" hidden="1" x14ac:dyDescent="0.5">
      <c r="A44" s="2">
        <f>MAX(Tabla_Decretos[Id])</f>
        <v>915</v>
      </c>
      <c r="B44">
        <v>950</v>
      </c>
      <c r="C44" s="5">
        <f>IF(Tabla_Licencias_Medicas[[#This Row],[id_padre]]="",0,_xlfn.XLOOKUP(Tabla_Licencias_Medicas[[#This Row],[id_padre]],Tabla_Licencias_Medicas[Id],Tabla_Licencias_Medicas[Nivel],0,0,1)+1)</f>
        <v>3</v>
      </c>
      <c r="D44" s="2" t="s">
        <v>828</v>
      </c>
      <c r="E44">
        <f>IF(Tabla_Licencias_Medicas[[#This Row],[Id_anterior]]=1,ROW()-1,SUM(ROW()-1,Tabla_Licencias_Medicas[[#This Row],[Id_anterior]]))</f>
        <v>958</v>
      </c>
      <c r="F4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LICENCIAS_MEDICAS_PROCESOS_COMANDO_PERSONAL_RESOLUCION_APELACION_LICENCIA_MEDICA</v>
      </c>
      <c r="G44" s="2" t="str">
        <f>CLEAN(PROPER(Tabla_Licencias_Medicas[[#This Row],[Nombre Opción]]))</f>
        <v>Resolucion / Apelacion Licencia Medica</v>
      </c>
      <c r="H44" s="2" t="s">
        <v>1735</v>
      </c>
      <c r="I44" s="2" t="str">
        <f>_xlfn.XLOOKUP(Tabla_Licencias_Medicas[[#This Row],[id_padre]],Tabla_Licencias_Medicas[Id],Tabla_Licencias_Medicas[Codigo_Tecnico],"",0,1)</f>
        <v>LICENCIAS_MEDICAS_PROCESOS_COMANDO_PERSONAL</v>
      </c>
      <c r="J4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/licencias-medicas/procesos/comando-personal/resolucion-apelacion-licencia-medica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resolucion-apelacion-licencia-medica</v>
      </c>
      <c r="L44" s="2" t="s">
        <v>1431</v>
      </c>
      <c r="M44" s="2" t="s">
        <v>1801</v>
      </c>
      <c r="N44" s="4" t="s">
        <v>360</v>
      </c>
      <c r="O44" s="4" t="s">
        <v>360</v>
      </c>
      <c r="Q44" s="4" t="s">
        <v>360</v>
      </c>
      <c r="R44" s="4"/>
      <c r="S44" s="4" t="s">
        <v>360</v>
      </c>
      <c r="W44" s="4" t="s">
        <v>360</v>
      </c>
      <c r="X44" s="2" t="str">
        <f>IF(Tabla_Licencias_Medicas[[#This Row],[id_padre]]=Tabla_Licencias_Medicas[[#This Row],[Id]],"NOK","OK")</f>
        <v>OK</v>
      </c>
    </row>
    <row r="45" spans="1:24" hidden="1" x14ac:dyDescent="0.5">
      <c r="A45" s="2">
        <f>MAX(Tabla_Decretos[Id])</f>
        <v>915</v>
      </c>
      <c r="B45">
        <v>950</v>
      </c>
      <c r="C45" s="5">
        <f>IF(Tabla_Licencias_Medicas[[#This Row],[id_padre]]="",0,_xlfn.XLOOKUP(Tabla_Licencias_Medicas[[#This Row],[id_padre]],Tabla_Licencias_Medicas[Id],Tabla_Licencias_Medicas[Nivel],0,0,1)+1)</f>
        <v>3</v>
      </c>
      <c r="D45" s="2" t="s">
        <v>829</v>
      </c>
      <c r="E45">
        <f>IF(Tabla_Licencias_Medicas[[#This Row],[Id_anterior]]=1,ROW()-1,SUM(ROW()-1,Tabla_Licencias_Medicas[[#This Row],[Id_anterior]]))</f>
        <v>959</v>
      </c>
      <c r="F4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LICENCIAS_MEDICAS_PROCESOS_COMANDO_PERSONAL_RESOLUCION_PERMISO_POST_NATAL_PARENTAL</v>
      </c>
      <c r="G45" s="2" t="str">
        <f>CLEAN(PROPER(Tabla_Licencias_Medicas[[#This Row],[Nombre Opción]]))</f>
        <v>Resolucion Permiso Post Natal Parental</v>
      </c>
      <c r="H45" s="2" t="s">
        <v>1735</v>
      </c>
      <c r="I45" s="2" t="str">
        <f>_xlfn.XLOOKUP(Tabla_Licencias_Medicas[[#This Row],[id_padre]],Tabla_Licencias_Medicas[Id],Tabla_Licencias_Medicas[Codigo_Tecnico],"",0,1)</f>
        <v>LICENCIAS_MEDICAS_PROCESOS_COMANDO_PERSONAL</v>
      </c>
      <c r="J4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/licencias-medicas/procesos/comando-personal/resolucion-permiso-post-natal-parental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resolucion-permiso-post-natal-parental</v>
      </c>
      <c r="L45" s="2" t="s">
        <v>1457</v>
      </c>
      <c r="M45" s="2" t="s">
        <v>1801</v>
      </c>
      <c r="N45" s="4" t="s">
        <v>360</v>
      </c>
      <c r="O45" s="4" t="s">
        <v>360</v>
      </c>
      <c r="Q45" s="4" t="s">
        <v>360</v>
      </c>
      <c r="R45" s="4"/>
      <c r="S45" s="4" t="s">
        <v>360</v>
      </c>
      <c r="W45" s="4" t="s">
        <v>360</v>
      </c>
      <c r="X45" s="2" t="str">
        <f>IF(Tabla_Licencias_Medicas[[#This Row],[id_padre]]=Tabla_Licencias_Medicas[[#This Row],[Id]],"NOK","OK")</f>
        <v>OK</v>
      </c>
    </row>
    <row r="46" spans="1:24" hidden="1" x14ac:dyDescent="0.5">
      <c r="A46" s="2">
        <f>MAX(Tabla_Decretos[Id])</f>
        <v>915</v>
      </c>
      <c r="B46">
        <v>950</v>
      </c>
      <c r="C46" s="5">
        <f>IF(Tabla_Licencias_Medicas[[#This Row],[id_padre]]="",0,_xlfn.XLOOKUP(Tabla_Licencias_Medicas[[#This Row],[id_padre]],Tabla_Licencias_Medicas[Id],Tabla_Licencias_Medicas[Nivel],0,0,1)+1)</f>
        <v>3</v>
      </c>
      <c r="D46" s="2" t="s">
        <v>830</v>
      </c>
      <c r="E46">
        <f>IF(Tabla_Licencias_Medicas[[#This Row],[Id_anterior]]=1,ROW()-1,SUM(ROW()-1,Tabla_Licencias_Medicas[[#This Row],[Id_anterior]]))</f>
        <v>960</v>
      </c>
      <c r="F4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LICENCIAS_MEDICAS_PROCESOS_COMANDO_PERSONAL_REACTIVAR_PERMISO_POST_NATAL_PARENTAL</v>
      </c>
      <c r="G46" s="2" t="str">
        <f>CLEAN(PROPER(Tabla_Licencias_Medicas[[#This Row],[Nombre Opción]]))</f>
        <v>Reactivar Permiso Post Natal Parental</v>
      </c>
      <c r="H46" s="2" t="s">
        <v>1735</v>
      </c>
      <c r="I46" s="2" t="str">
        <f>_xlfn.XLOOKUP(Tabla_Licencias_Medicas[[#This Row],[id_padre]],Tabla_Licencias_Medicas[Id],Tabla_Licencias_Medicas[Codigo_Tecnico],"",0,1)</f>
        <v>LICENCIAS_MEDICAS_PROCESOS_COMANDO_PERSONAL</v>
      </c>
      <c r="J4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/licencias-medicas/procesos/comando-personal/reactivar-permiso-post-natal-parental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reactivar-permiso-post-natal-parental</v>
      </c>
      <c r="L46" s="2" t="s">
        <v>1592</v>
      </c>
      <c r="M46" s="2" t="s">
        <v>1801</v>
      </c>
      <c r="N46" s="4" t="s">
        <v>360</v>
      </c>
      <c r="O46" s="4" t="s">
        <v>360</v>
      </c>
      <c r="Q46" s="4"/>
      <c r="R46" s="4"/>
      <c r="S46" s="4" t="s">
        <v>360</v>
      </c>
      <c r="W46" s="4" t="s">
        <v>360</v>
      </c>
      <c r="X46" s="2" t="str">
        <f>IF(Tabla_Licencias_Medicas[[#This Row],[id_padre]]=Tabla_Licencias_Medicas[[#This Row],[Id]],"NOK","OK")</f>
        <v>OK</v>
      </c>
    </row>
    <row r="47" spans="1:24" hidden="1" x14ac:dyDescent="0.5">
      <c r="A47" s="2">
        <f>MAX(Tabla_Decretos[Id])</f>
        <v>915</v>
      </c>
      <c r="B47">
        <v>950</v>
      </c>
      <c r="C47" s="5">
        <f>IF(Tabla_Licencias_Medicas[[#This Row],[id_padre]]="",0,_xlfn.XLOOKUP(Tabla_Licencias_Medicas[[#This Row],[id_padre]],Tabla_Licencias_Medicas[Id],Tabla_Licencias_Medicas[Nivel],0,0,1)+1)</f>
        <v>3</v>
      </c>
      <c r="D47" s="2" t="s">
        <v>831</v>
      </c>
      <c r="E47">
        <f>IF(Tabla_Licencias_Medicas[[#This Row],[Id_anterior]]=1,ROW()-1,SUM(ROW()-1,Tabla_Licencias_Medicas[[#This Row],[Id_anterior]]))</f>
        <v>961</v>
      </c>
      <c r="F4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LICENCIAS_MEDICAS_PROCESOS_COMANDO_PERSONAL_COBRANZA_SUBSIDIOS</v>
      </c>
      <c r="G47" s="2" t="str">
        <f>CLEAN(PROPER(Tabla_Licencias_Medicas[[#This Row],[Nombre Opción]]))</f>
        <v>Cobranza De Subsidios</v>
      </c>
      <c r="H47" s="2" t="s">
        <v>1735</v>
      </c>
      <c r="I47" s="2" t="str">
        <f>_xlfn.XLOOKUP(Tabla_Licencias_Medicas[[#This Row],[id_padre]],Tabla_Licencias_Medicas[Id],Tabla_Licencias_Medicas[Codigo_Tecnico],"",0,1)</f>
        <v>LICENCIAS_MEDICAS_PROCESOS_COMANDO_PERSONAL</v>
      </c>
      <c r="J4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/licencias-medicas/procesos/comando-personal/cobranza-subsidios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cobranza-subsidios</v>
      </c>
      <c r="L47" s="2" t="s">
        <v>1415</v>
      </c>
      <c r="M47" s="2" t="s">
        <v>1801</v>
      </c>
      <c r="N47" s="4" t="s">
        <v>360</v>
      </c>
      <c r="O47" s="4" t="s">
        <v>360</v>
      </c>
      <c r="Q47" s="4" t="s">
        <v>360</v>
      </c>
      <c r="R47" s="4"/>
      <c r="S47" s="4" t="s">
        <v>360</v>
      </c>
      <c r="W47" s="4" t="s">
        <v>360</v>
      </c>
      <c r="X47" s="2" t="str">
        <f>IF(Tabla_Licencias_Medicas[[#This Row],[id_padre]]=Tabla_Licencias_Medicas[[#This Row],[Id]],"NOK","OK")</f>
        <v>OK</v>
      </c>
    </row>
    <row r="48" spans="1:24" hidden="1" x14ac:dyDescent="0.5">
      <c r="A48" s="2">
        <f>MAX(Tabla_Decretos[Id])</f>
        <v>915</v>
      </c>
      <c r="B48">
        <v>950</v>
      </c>
      <c r="C48" s="5">
        <f>IF(Tabla_Licencias_Medicas[[#This Row],[id_padre]]="",0,_xlfn.XLOOKUP(Tabla_Licencias_Medicas[[#This Row],[id_padre]],Tabla_Licencias_Medicas[Id],Tabla_Licencias_Medicas[Nivel],0,0,1)+1)</f>
        <v>3</v>
      </c>
      <c r="D48" s="2" t="s">
        <v>832</v>
      </c>
      <c r="E48">
        <f>IF(Tabla_Licencias_Medicas[[#This Row],[Id_anterior]]=1,ROW()-1,SUM(ROW()-1,Tabla_Licencias_Medicas[[#This Row],[Id_anterior]]))</f>
        <v>962</v>
      </c>
      <c r="F4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LICENCIAS_MEDICAS_PROCESOS_COMANDO_PERSONAL_MANTENCION_COBRANZAS</v>
      </c>
      <c r="G48" s="2" t="str">
        <f>CLEAN(PROPER(Tabla_Licencias_Medicas[[#This Row],[Nombre Opción]]))</f>
        <v>Mantencion De Cobranzas</v>
      </c>
      <c r="H48" s="2" t="s">
        <v>1735</v>
      </c>
      <c r="I48" s="2" t="str">
        <f>_xlfn.XLOOKUP(Tabla_Licencias_Medicas[[#This Row],[id_padre]],Tabla_Licencias_Medicas[Id],Tabla_Licencias_Medicas[Codigo_Tecnico],"",0,1)</f>
        <v>LICENCIAS_MEDICAS_PROCESOS_COMANDO_PERSONAL</v>
      </c>
      <c r="J4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/licencias-medicas/procesos/comando-personal/mantencion-cobranzas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mantencion-cobranzas</v>
      </c>
      <c r="L48" s="2" t="s">
        <v>1449</v>
      </c>
      <c r="M48" s="2" t="s">
        <v>1801</v>
      </c>
      <c r="N48" s="4" t="s">
        <v>360</v>
      </c>
      <c r="O48" s="4" t="s">
        <v>360</v>
      </c>
      <c r="Q48" s="4" t="s">
        <v>360</v>
      </c>
      <c r="R48" s="4"/>
      <c r="S48" s="4" t="s">
        <v>360</v>
      </c>
      <c r="W48" s="4" t="s">
        <v>360</v>
      </c>
      <c r="X48" s="2" t="str">
        <f>IF(Tabla_Licencias_Medicas[[#This Row],[id_padre]]=Tabla_Licencias_Medicas[[#This Row],[Id]],"NOK","OK")</f>
        <v>OK</v>
      </c>
    </row>
    <row r="49" spans="1:24" hidden="1" x14ac:dyDescent="0.5">
      <c r="A49" s="2">
        <f>MAX(Tabla_Decretos[Id])</f>
        <v>915</v>
      </c>
      <c r="B49">
        <v>950</v>
      </c>
      <c r="C49" s="5">
        <f>IF(Tabla_Licencias_Medicas[[#This Row],[id_padre]]="",0,_xlfn.XLOOKUP(Tabla_Licencias_Medicas[[#This Row],[id_padre]],Tabla_Licencias_Medicas[Id],Tabla_Licencias_Medicas[Nivel],0,0,1)+1)</f>
        <v>3</v>
      </c>
      <c r="D49" s="2" t="s">
        <v>834</v>
      </c>
      <c r="E49">
        <f>IF(Tabla_Licencias_Medicas[[#This Row],[Id_anterior]]=1,ROW()-1,SUM(ROW()-1,Tabla_Licencias_Medicas[[#This Row],[Id_anterior]]))</f>
        <v>963</v>
      </c>
      <c r="F4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LICENCIAS_MEDICAS_PROCESOS_COMANDO_PERSONAL_RECOBRANZAS</v>
      </c>
      <c r="G49" s="2" t="str">
        <f>CLEAN(PROPER(Tabla_Licencias_Medicas[[#This Row],[Nombre Opción]]))</f>
        <v>Recobranzas</v>
      </c>
      <c r="H49" s="2" t="s">
        <v>1735</v>
      </c>
      <c r="I49" s="2" t="str">
        <f>_xlfn.XLOOKUP(Tabla_Licencias_Medicas[[#This Row],[id_padre]],Tabla_Licencias_Medicas[Id],Tabla_Licencias_Medicas[Codigo_Tecnico],"",0,1)</f>
        <v>LICENCIAS_MEDICAS_PROCESOS_COMANDO_PERSONAL</v>
      </c>
      <c r="J4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/licencias-medicas/procesos/comando-personal/recobranzas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recobranzas</v>
      </c>
      <c r="L49" s="2" t="s">
        <v>1362</v>
      </c>
      <c r="M49" s="2" t="s">
        <v>1801</v>
      </c>
      <c r="N49" s="4" t="s">
        <v>360</v>
      </c>
      <c r="O49" s="4" t="s">
        <v>360</v>
      </c>
      <c r="Q49" s="4" t="s">
        <v>360</v>
      </c>
      <c r="R49" s="4"/>
      <c r="S49" s="4" t="s">
        <v>360</v>
      </c>
      <c r="W49" s="4" t="s">
        <v>360</v>
      </c>
      <c r="X49" s="2" t="str">
        <f>IF(Tabla_Licencias_Medicas[[#This Row],[id_padre]]=Tabla_Licencias_Medicas[[#This Row],[Id]],"NOK","OK")</f>
        <v>OK</v>
      </c>
    </row>
    <row r="50" spans="1:24" hidden="1" x14ac:dyDescent="0.5">
      <c r="A50" s="2">
        <f>MAX(Tabla_Decretos[Id])</f>
        <v>915</v>
      </c>
      <c r="B50">
        <v>963</v>
      </c>
      <c r="C50" s="5">
        <f>IF(Tabla_Licencias_Medicas[[#This Row],[id_padre]]="",0,_xlfn.XLOOKUP(Tabla_Licencias_Medicas[[#This Row],[id_padre]],Tabla_Licencias_Medicas[Id],Tabla_Licencias_Medicas[Nivel],0,0,1)+1)</f>
        <v>4</v>
      </c>
      <c r="D50" s="2" t="s">
        <v>835</v>
      </c>
      <c r="E50">
        <f>IF(Tabla_Licencias_Medicas[[#This Row],[Id_anterior]]=1,ROW()-1,SUM(ROW()-1,Tabla_Licencias_Medicas[[#This Row],[Id_anterior]]))</f>
        <v>964</v>
      </c>
      <c r="F5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LICENCIAS_MEDICAS_PROCESOS_COMANDO_PERSONAL_RECOBRANZAS_RECOBRANZAS_SUBSIDIOS</v>
      </c>
      <c r="G50" s="2" t="str">
        <f>CLEAN(PROPER(Tabla_Licencias_Medicas[[#This Row],[Nombre Opción]]))</f>
        <v>Recobranzas De Subsidios</v>
      </c>
      <c r="H50" s="2" t="s">
        <v>1735</v>
      </c>
      <c r="I50" s="2" t="str">
        <f>_xlfn.XLOOKUP(Tabla_Licencias_Medicas[[#This Row],[id_padre]],Tabla_Licencias_Medicas[Id],Tabla_Licencias_Medicas[Codigo_Tecnico],"",0,1)</f>
        <v>LICENCIAS_MEDICAS_PROCESOS_COMANDO_PERSONAL_RECOBRANZAS</v>
      </c>
      <c r="J5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/licencias-medicas/procesos/comando-personal/recobranzas/recobranzas-subsidios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recobranzas-subsidios</v>
      </c>
      <c r="L50" s="2" t="s">
        <v>1344</v>
      </c>
      <c r="M50" s="2" t="s">
        <v>1801</v>
      </c>
      <c r="N50" s="4" t="s">
        <v>360</v>
      </c>
      <c r="O50" s="4" t="s">
        <v>360</v>
      </c>
      <c r="Q50" s="4" t="s">
        <v>360</v>
      </c>
      <c r="R50" s="4"/>
      <c r="S50" s="4" t="s">
        <v>360</v>
      </c>
      <c r="W50" s="4" t="s">
        <v>360</v>
      </c>
      <c r="X50" s="2" t="str">
        <f>IF(Tabla_Licencias_Medicas[[#This Row],[id_padre]]=Tabla_Licencias_Medicas[[#This Row],[Id]],"NOK","OK")</f>
        <v>OK</v>
      </c>
    </row>
    <row r="51" spans="1:24" hidden="1" x14ac:dyDescent="0.5">
      <c r="A51" s="2">
        <f>MAX(Tabla_Decretos[Id])</f>
        <v>915</v>
      </c>
      <c r="B51">
        <v>963</v>
      </c>
      <c r="C51" s="5">
        <f>IF(Tabla_Licencias_Medicas[[#This Row],[id_padre]]="",0,_xlfn.XLOOKUP(Tabla_Licencias_Medicas[[#This Row],[id_padre]],Tabla_Licencias_Medicas[Id],Tabla_Licencias_Medicas[Nivel],0,0,1)+1)</f>
        <v>4</v>
      </c>
      <c r="D51" s="2" t="s">
        <v>836</v>
      </c>
      <c r="E51">
        <f>IF(Tabla_Licencias_Medicas[[#This Row],[Id_anterior]]=1,ROW()-1,SUM(ROW()-1,Tabla_Licencias_Medicas[[#This Row],[Id_anterior]]))</f>
        <v>965</v>
      </c>
      <c r="F5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LICENCIAS_MEDICAS_PROCESOS_COMANDO_PERSONAL_RECOBRANZAS_RECOBRANZAS_PARENTALES</v>
      </c>
      <c r="G51" s="2" t="str">
        <f>CLEAN(PROPER(Tabla_Licencias_Medicas[[#This Row],[Nombre Opción]]))</f>
        <v>Recobranzas De Parentales</v>
      </c>
      <c r="H51" s="2" t="s">
        <v>1735</v>
      </c>
      <c r="I51" s="2" t="str">
        <f>_xlfn.XLOOKUP(Tabla_Licencias_Medicas[[#This Row],[id_padre]],Tabla_Licencias_Medicas[Id],Tabla_Licencias_Medicas[Codigo_Tecnico],"",0,1)</f>
        <v>LICENCIAS_MEDICAS_PROCESOS_COMANDO_PERSONAL_RECOBRANZAS</v>
      </c>
      <c r="J5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/licencias-medicas/procesos/comando-personal/recobranzas/recobranzas-parentales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recobranzas-parentales</v>
      </c>
      <c r="L51" s="2" t="s">
        <v>1588</v>
      </c>
      <c r="M51" s="2" t="s">
        <v>1801</v>
      </c>
      <c r="N51" s="4" t="s">
        <v>360</v>
      </c>
      <c r="O51" s="4" t="s">
        <v>360</v>
      </c>
      <c r="Q51" s="4" t="s">
        <v>360</v>
      </c>
      <c r="R51" s="4"/>
      <c r="S51" s="4" t="s">
        <v>360</v>
      </c>
      <c r="W51" s="4" t="s">
        <v>360</v>
      </c>
      <c r="X51" s="2" t="str">
        <f>IF(Tabla_Licencias_Medicas[[#This Row],[id_padre]]=Tabla_Licencias_Medicas[[#This Row],[Id]],"NOK","OK")</f>
        <v>OK</v>
      </c>
    </row>
    <row r="52" spans="1:24" hidden="1" x14ac:dyDescent="0.5">
      <c r="A52" s="2">
        <f>MAX(Tabla_Decretos[Id])</f>
        <v>915</v>
      </c>
      <c r="B52">
        <v>950</v>
      </c>
      <c r="C52" s="5">
        <f>IF(Tabla_Licencias_Medicas[[#This Row],[id_padre]]="",0,_xlfn.XLOOKUP(Tabla_Licencias_Medicas[[#This Row],[id_padre]],Tabla_Licencias_Medicas[Id],Tabla_Licencias_Medicas[Nivel],0,0,1)+1)</f>
        <v>3</v>
      </c>
      <c r="D52" s="2" t="s">
        <v>833</v>
      </c>
      <c r="E52">
        <f>IF(Tabla_Licencias_Medicas[[#This Row],[Id_anterior]]=1,ROW()-1,SUM(ROW()-1,Tabla_Licencias_Medicas[[#This Row],[Id_anterior]]))</f>
        <v>966</v>
      </c>
      <c r="F5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LICENCIAS_MEDICAS_PROCESOS_COMANDO_PERSONAL_INGRESO_PAGOS</v>
      </c>
      <c r="G52" s="2" t="str">
        <f>CLEAN(PROPER(Tabla_Licencias_Medicas[[#This Row],[Nombre Opción]]))</f>
        <v>Ingreso De Pagos</v>
      </c>
      <c r="H52" s="2" t="s">
        <v>1735</v>
      </c>
      <c r="I52" s="2" t="str">
        <f>_xlfn.XLOOKUP(Tabla_Licencias_Medicas[[#This Row],[id_padre]],Tabla_Licencias_Medicas[Id],Tabla_Licencias_Medicas[Codigo_Tecnico],"",0,1)</f>
        <v>LICENCIAS_MEDICAS_PROCESOS_COMANDO_PERSONAL</v>
      </c>
      <c r="J5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/licencias-medicas/procesos/comando-personal/ingreso-pagos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ingreso-pagos</v>
      </c>
      <c r="L52" s="2" t="s">
        <v>1353</v>
      </c>
      <c r="M52" s="2" t="s">
        <v>1801</v>
      </c>
      <c r="N52" s="4" t="s">
        <v>360</v>
      </c>
      <c r="O52" s="4" t="s">
        <v>360</v>
      </c>
      <c r="Q52" s="4" t="s">
        <v>360</v>
      </c>
      <c r="R52" s="4"/>
      <c r="S52" s="4" t="s">
        <v>360</v>
      </c>
      <c r="W52" s="4" t="s">
        <v>360</v>
      </c>
      <c r="X52" s="2" t="str">
        <f>IF(Tabla_Licencias_Medicas[[#This Row],[id_padre]]=Tabla_Licencias_Medicas[[#This Row],[Id]],"NOK","OK")</f>
        <v>OK</v>
      </c>
    </row>
    <row r="53" spans="1:24" hidden="1" x14ac:dyDescent="0.5">
      <c r="A53" s="2">
        <f>MAX(Tabla_Decretos[Id])</f>
        <v>915</v>
      </c>
      <c r="B53">
        <v>950</v>
      </c>
      <c r="C53" s="5">
        <f>IF(Tabla_Licencias_Medicas[[#This Row],[id_padre]]="",0,_xlfn.XLOOKUP(Tabla_Licencias_Medicas[[#This Row],[id_padre]],Tabla_Licencias_Medicas[Id],Tabla_Licencias_Medicas[Nivel],0,0,1)+1)</f>
        <v>3</v>
      </c>
      <c r="D53" s="2" t="s">
        <v>837</v>
      </c>
      <c r="E53">
        <f>IF(Tabla_Licencias_Medicas[[#This Row],[Id_anterior]]=1,ROW()-1,SUM(ROW()-1,Tabla_Licencias_Medicas[[#This Row],[Id_anterior]]))</f>
        <v>967</v>
      </c>
      <c r="F5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LICENCIAS_MEDICAS_PROCESOS_COMANDO_PERSONAL_MANTENCION_PAGOS</v>
      </c>
      <c r="G53" s="2" t="str">
        <f>CLEAN(PROPER(Tabla_Licencias_Medicas[[#This Row],[Nombre Opción]]))</f>
        <v>Mantencion De Pagos</v>
      </c>
      <c r="H53" s="2" t="s">
        <v>1735</v>
      </c>
      <c r="I53" s="2" t="str">
        <f>_xlfn.XLOOKUP(Tabla_Licencias_Medicas[[#This Row],[id_padre]],Tabla_Licencias_Medicas[Id],Tabla_Licencias_Medicas[Codigo_Tecnico],"",0,1)</f>
        <v>LICENCIAS_MEDICAS_PROCESOS_COMANDO_PERSONAL</v>
      </c>
      <c r="J5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/licencias-medicas/procesos/comando-personal/mantencion-pagos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mantencion-pagos</v>
      </c>
      <c r="L53" s="2" t="s">
        <v>1330</v>
      </c>
      <c r="M53" s="2" t="s">
        <v>1801</v>
      </c>
      <c r="N53" s="4" t="s">
        <v>360</v>
      </c>
      <c r="O53" s="4" t="s">
        <v>360</v>
      </c>
      <c r="Q53" s="4" t="s">
        <v>360</v>
      </c>
      <c r="R53" s="4"/>
      <c r="S53" s="4" t="s">
        <v>360</v>
      </c>
      <c r="W53" s="4" t="s">
        <v>360</v>
      </c>
      <c r="X53" s="2" t="str">
        <f>IF(Tabla_Licencias_Medicas[[#This Row],[id_padre]]=Tabla_Licencias_Medicas[[#This Row],[Id]],"NOK","OK")</f>
        <v>OK</v>
      </c>
    </row>
    <row r="54" spans="1:24" hidden="1" x14ac:dyDescent="0.5">
      <c r="A54" s="2">
        <f>MAX(Tabla_Decretos[Id])</f>
        <v>915</v>
      </c>
      <c r="B54">
        <v>950</v>
      </c>
      <c r="C54" s="5">
        <f>IF(Tabla_Licencias_Medicas[[#This Row],[id_padre]]="",0,_xlfn.XLOOKUP(Tabla_Licencias_Medicas[[#This Row],[id_padre]],Tabla_Licencias_Medicas[Id],Tabla_Licencias_Medicas[Nivel],0,0,1)+1)</f>
        <v>3</v>
      </c>
      <c r="D54" s="2" t="s">
        <v>838</v>
      </c>
      <c r="E54">
        <f>IF(Tabla_Licencias_Medicas[[#This Row],[Id_anterior]]=1,ROW()-1,SUM(ROW()-1,Tabla_Licencias_Medicas[[#This Row],[Id_anterior]]))</f>
        <v>968</v>
      </c>
      <c r="F5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LICENCIAS_MEDICAS_PROCESOS_COMANDO_PERSONAL_DESCUENTOS_FUNCIONARIOS</v>
      </c>
      <c r="G54" s="2" t="str">
        <f>CLEAN(PROPER(Tabla_Licencias_Medicas[[#This Row],[Nombre Opción]]))</f>
        <v>Descuentos A Funcionarios</v>
      </c>
      <c r="H54" s="2" t="s">
        <v>1735</v>
      </c>
      <c r="I54" s="2" t="str">
        <f>_xlfn.XLOOKUP(Tabla_Licencias_Medicas[[#This Row],[id_padre]],Tabla_Licencias_Medicas[Id],Tabla_Licencias_Medicas[Codigo_Tecnico],"",0,1)</f>
        <v>LICENCIAS_MEDICAS_PROCESOS_COMANDO_PERSONAL</v>
      </c>
      <c r="J5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/licencias-medicas/procesos/comando-personal/descuentos-funcionarios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descuentos-funcionarios</v>
      </c>
      <c r="L54" s="2" t="s">
        <v>1345</v>
      </c>
      <c r="M54" s="2" t="s">
        <v>1801</v>
      </c>
      <c r="N54" s="4" t="s">
        <v>360</v>
      </c>
      <c r="O54" s="4" t="s">
        <v>360</v>
      </c>
      <c r="Q54" s="4" t="s">
        <v>360</v>
      </c>
      <c r="R54" s="4"/>
      <c r="S54" s="4" t="s">
        <v>360</v>
      </c>
      <c r="W54" s="4" t="s">
        <v>360</v>
      </c>
      <c r="X54" s="2" t="str">
        <f>IF(Tabla_Licencias_Medicas[[#This Row],[id_padre]]=Tabla_Licencias_Medicas[[#This Row],[Id]],"NOK","OK")</f>
        <v>OK</v>
      </c>
    </row>
    <row r="55" spans="1:24" hidden="1" x14ac:dyDescent="0.5">
      <c r="A55" s="2">
        <f>MAX(Tabla_Decretos[Id])</f>
        <v>915</v>
      </c>
      <c r="B55">
        <v>950</v>
      </c>
      <c r="C55" s="5">
        <f>IF(Tabla_Licencias_Medicas[[#This Row],[id_padre]]="",0,_xlfn.XLOOKUP(Tabla_Licencias_Medicas[[#This Row],[id_padre]],Tabla_Licencias_Medicas[Id],Tabla_Licencias_Medicas[Nivel],0,0,1)+1)</f>
        <v>3</v>
      </c>
      <c r="D55" s="2" t="s">
        <v>839</v>
      </c>
      <c r="E55">
        <f>IF(Tabla_Licencias_Medicas[[#This Row],[Id_anterior]]=1,ROW()-1,SUM(ROW()-1,Tabla_Licencias_Medicas[[#This Row],[Id_anterior]]))</f>
        <v>969</v>
      </c>
      <c r="F5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LICENCIAS_MEDICAS_PROCESOS_COMANDO_PERSONAL_DESCUENTOS_EFECTUADOS_REINTEGROS</v>
      </c>
      <c r="G55" s="2" t="str">
        <f>CLEAN(PROPER(Tabla_Licencias_Medicas[[#This Row],[Nombre Opción]]))</f>
        <v>Descuentos Efectuados / Reintegros</v>
      </c>
      <c r="H55" s="2" t="s">
        <v>1735</v>
      </c>
      <c r="I55" s="2" t="str">
        <f>_xlfn.XLOOKUP(Tabla_Licencias_Medicas[[#This Row],[id_padre]],Tabla_Licencias_Medicas[Id],Tabla_Licencias_Medicas[Codigo_Tecnico],"",0,1)</f>
        <v>LICENCIAS_MEDICAS_PROCESOS_COMANDO_PERSONAL</v>
      </c>
      <c r="J5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/licencias-medicas/procesos/comando-personal/descuentos-efectuados-reintegros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descuentos-efectuados-reintegros</v>
      </c>
      <c r="L55" s="2" t="s">
        <v>1385</v>
      </c>
      <c r="M55" s="2" t="s">
        <v>1801</v>
      </c>
      <c r="N55" s="4" t="s">
        <v>360</v>
      </c>
      <c r="O55" s="4" t="s">
        <v>360</v>
      </c>
      <c r="Q55" s="4" t="s">
        <v>360</v>
      </c>
      <c r="R55" s="4"/>
      <c r="S55" s="4" t="s">
        <v>360</v>
      </c>
      <c r="W55" s="4" t="s">
        <v>360</v>
      </c>
      <c r="X55" s="2" t="str">
        <f>IF(Tabla_Licencias_Medicas[[#This Row],[id_padre]]=Tabla_Licencias_Medicas[[#This Row],[Id]],"NOK","OK")</f>
        <v>OK</v>
      </c>
    </row>
    <row r="56" spans="1:24" hidden="1" x14ac:dyDescent="0.5">
      <c r="A56" s="2">
        <f>MAX(Tabla_Decretos[Id])</f>
        <v>915</v>
      </c>
      <c r="B56">
        <v>950</v>
      </c>
      <c r="C56" s="5">
        <f>IF(Tabla_Licencias_Medicas[[#This Row],[id_padre]]="",0,_xlfn.XLOOKUP(Tabla_Licencias_Medicas[[#This Row],[id_padre]],Tabla_Licencias_Medicas[Id],Tabla_Licencias_Medicas[Nivel],0,0,1)+1)</f>
        <v>3</v>
      </c>
      <c r="D56" s="2" t="s">
        <v>840</v>
      </c>
      <c r="E56">
        <f>IF(Tabla_Licencias_Medicas[[#This Row],[Id_anterior]]=1,ROW()-1,SUM(ROW()-1,Tabla_Licencias_Medicas[[#This Row],[Id_anterior]]))</f>
        <v>970</v>
      </c>
      <c r="F5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LICENCIAS_MEDICAS_PROCESOS_COMANDO_PERSONAL_GENERACION_ASIENTOS</v>
      </c>
      <c r="G56" s="2" t="str">
        <f>CLEAN(PROPER(Tabla_Licencias_Medicas[[#This Row],[Nombre Opción]]))</f>
        <v>Generacion De Asientos</v>
      </c>
      <c r="H56" s="2" t="s">
        <v>1735</v>
      </c>
      <c r="I56" s="2" t="str">
        <f>_xlfn.XLOOKUP(Tabla_Licencias_Medicas[[#This Row],[id_padre]],Tabla_Licencias_Medicas[Id],Tabla_Licencias_Medicas[Codigo_Tecnico],"",0,1)</f>
        <v>LICENCIAS_MEDICAS_PROCESOS_COMANDO_PERSONAL</v>
      </c>
      <c r="J5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/licencias-medicas/procesos/comando-personal/generacion-asientos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generacion-asientos</v>
      </c>
      <c r="L56" s="2" t="s">
        <v>1364</v>
      </c>
      <c r="M56" s="2" t="s">
        <v>1801</v>
      </c>
      <c r="N56" s="4" t="s">
        <v>360</v>
      </c>
      <c r="O56" s="4" t="s">
        <v>360</v>
      </c>
      <c r="Q56" s="4"/>
      <c r="R56" s="4"/>
      <c r="S56" s="4" t="s">
        <v>360</v>
      </c>
      <c r="W56" s="4" t="s">
        <v>360</v>
      </c>
      <c r="X56" s="2" t="str">
        <f>IF(Tabla_Licencias_Medicas[[#This Row],[id_padre]]=Tabla_Licencias_Medicas[[#This Row],[Id]],"NOK","OK")</f>
        <v>OK</v>
      </c>
    </row>
    <row r="57" spans="1:24" hidden="1" x14ac:dyDescent="0.5">
      <c r="A57" s="2">
        <f>MAX(Tabla_Decretos[Id])</f>
        <v>915</v>
      </c>
      <c r="B57">
        <v>919</v>
      </c>
      <c r="C57" s="5">
        <f>IF(Tabla_Licencias_Medicas[[#This Row],[id_padre]]="",0,_xlfn.XLOOKUP(Tabla_Licencias_Medicas[[#This Row],[id_padre]],Tabla_Licencias_Medicas[Id],Tabla_Licencias_Medicas[Nivel],0,0,1)+1)</f>
        <v>2</v>
      </c>
      <c r="D57" s="2" t="s">
        <v>841</v>
      </c>
      <c r="E57">
        <f>IF(Tabla_Licencias_Medicas[[#This Row],[Id_anterior]]=1,ROW()-1,SUM(ROW()-1,Tabla_Licencias_Medicas[[#This Row],[Id_anterior]]))</f>
        <v>971</v>
      </c>
      <c r="F5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LICENCIAS_MEDICAS_CONSULTAS_LICENCIA_MEDICA_ESPECIFICA</v>
      </c>
      <c r="G57" s="2" t="str">
        <f>CLEAN(PROPER(Tabla_Licencias_Medicas[[#This Row],[Nombre Opción]]))</f>
        <v>Licencia Medica Especifica</v>
      </c>
      <c r="H57" s="2" t="s">
        <v>1735</v>
      </c>
      <c r="I57" s="2" t="str">
        <f>_xlfn.XLOOKUP(Tabla_Licencias_Medicas[[#This Row],[id_padre]],Tabla_Licencias_Medicas[Id],Tabla_Licencias_Medicas[Codigo_Tecnico],"",0,1)</f>
        <v>LICENCIAS_MEDICAS_CONSULTAS</v>
      </c>
      <c r="J5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/licencias-medicas/consultas/licencia-medica-especifica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licencia-medica-especifica</v>
      </c>
      <c r="L57" s="2" t="s">
        <v>1339</v>
      </c>
      <c r="M57" s="2" t="s">
        <v>1801</v>
      </c>
      <c r="N57" s="4" t="s">
        <v>360</v>
      </c>
      <c r="O57" s="4" t="s">
        <v>360</v>
      </c>
      <c r="P57" s="4" t="s">
        <v>360</v>
      </c>
      <c r="Q57" s="4" t="s">
        <v>360</v>
      </c>
      <c r="R57" s="4" t="s">
        <v>360</v>
      </c>
      <c r="S57" s="4" t="s">
        <v>360</v>
      </c>
      <c r="T57" s="4" t="s">
        <v>360</v>
      </c>
      <c r="V57" s="4" t="s">
        <v>360</v>
      </c>
      <c r="W57" s="4" t="s">
        <v>360</v>
      </c>
      <c r="X57" s="2" t="str">
        <f>IF(Tabla_Licencias_Medicas[[#This Row],[id_padre]]=Tabla_Licencias_Medicas[[#This Row],[Id]],"NOK","OK")</f>
        <v>OK</v>
      </c>
    </row>
    <row r="58" spans="1:24" hidden="1" x14ac:dyDescent="0.5">
      <c r="A58" s="2">
        <f>MAX(Tabla_Decretos[Id])</f>
        <v>915</v>
      </c>
      <c r="B58">
        <v>919</v>
      </c>
      <c r="C58" s="5">
        <f>IF(Tabla_Licencias_Medicas[[#This Row],[id_padre]]="",0,_xlfn.XLOOKUP(Tabla_Licencias_Medicas[[#This Row],[id_padre]],Tabla_Licencias_Medicas[Id],Tabla_Licencias_Medicas[Nivel],0,0,1)+1)</f>
        <v>2</v>
      </c>
      <c r="D58" s="2" t="s">
        <v>842</v>
      </c>
      <c r="E58">
        <f>IF(Tabla_Licencias_Medicas[[#This Row],[Id_anterior]]=1,ROW()-1,SUM(ROW()-1,Tabla_Licencias_Medicas[[#This Row],[Id_anterior]]))</f>
        <v>972</v>
      </c>
      <c r="F5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LICENCIAS_MEDICAS_CONSULTAS_LICENCIA_MEDICA_ESPECIFICA_ANULADA</v>
      </c>
      <c r="G58" s="2" t="str">
        <f>CLEAN(PROPER(Tabla_Licencias_Medicas[[#This Row],[Nombre Opción]]))</f>
        <v>Licencia Medica Especifica Anulada</v>
      </c>
      <c r="H58" s="2" t="s">
        <v>1735</v>
      </c>
      <c r="I58" s="2" t="str">
        <f>_xlfn.XLOOKUP(Tabla_Licencias_Medicas[[#This Row],[id_padre]],Tabla_Licencias_Medicas[Id],Tabla_Licencias_Medicas[Codigo_Tecnico],"",0,1)</f>
        <v>LICENCIAS_MEDICAS_CONSULTAS</v>
      </c>
      <c r="J5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/licencias-medicas/consultas/licencia-medica-especifica-anulada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licencia-medica-especifica-anulada</v>
      </c>
      <c r="L58" s="2" t="s">
        <v>1593</v>
      </c>
      <c r="M58" s="2" t="s">
        <v>1801</v>
      </c>
      <c r="N58" s="4" t="s">
        <v>360</v>
      </c>
      <c r="O58" s="4" t="s">
        <v>360</v>
      </c>
      <c r="P58" s="4" t="s">
        <v>360</v>
      </c>
      <c r="Q58" s="4" t="s">
        <v>360</v>
      </c>
      <c r="R58" s="4" t="s">
        <v>360</v>
      </c>
      <c r="S58" s="4" t="s">
        <v>360</v>
      </c>
      <c r="T58" s="4" t="s">
        <v>360</v>
      </c>
      <c r="V58" s="4" t="s">
        <v>360</v>
      </c>
      <c r="W58" s="4" t="s">
        <v>360</v>
      </c>
      <c r="X58" s="2" t="str">
        <f>IF(Tabla_Licencias_Medicas[[#This Row],[id_padre]]=Tabla_Licencias_Medicas[[#This Row],[Id]],"NOK","OK")</f>
        <v>OK</v>
      </c>
    </row>
    <row r="59" spans="1:24" hidden="1" x14ac:dyDescent="0.5">
      <c r="A59" s="2">
        <f>MAX(Tabla_Decretos[Id])</f>
        <v>915</v>
      </c>
      <c r="B59">
        <v>919</v>
      </c>
      <c r="C59" s="5">
        <f>IF(Tabla_Licencias_Medicas[[#This Row],[id_padre]]="",0,_xlfn.XLOOKUP(Tabla_Licencias_Medicas[[#This Row],[id_padre]],Tabla_Licencias_Medicas[Id],Tabla_Licencias_Medicas[Nivel],0,0,1)+1)</f>
        <v>2</v>
      </c>
      <c r="D59" s="2" t="s">
        <v>843</v>
      </c>
      <c r="E59">
        <f>IF(Tabla_Licencias_Medicas[[#This Row],[Id_anterior]]=1,ROW()-1,SUM(ROW()-1,Tabla_Licencias_Medicas[[#This Row],[Id_anterior]]))</f>
        <v>973</v>
      </c>
      <c r="F5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LICENCIAS_MEDICAS_CONSULTAS_PERMISOS_POST_NATALES_POR_VENCER</v>
      </c>
      <c r="G59" s="2" t="str">
        <f>CLEAN(PROPER(Tabla_Licencias_Medicas[[#This Row],[Nombre Opción]]))</f>
        <v>Permisos Post Natales Por Vencer</v>
      </c>
      <c r="H59" s="2" t="s">
        <v>1735</v>
      </c>
      <c r="I59" s="2" t="str">
        <f>_xlfn.XLOOKUP(Tabla_Licencias_Medicas[[#This Row],[id_padre]],Tabla_Licencias_Medicas[Id],Tabla_Licencias_Medicas[Codigo_Tecnico],"",0,1)</f>
        <v>LICENCIAS_MEDICAS_CONSULTAS</v>
      </c>
      <c r="J5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/licencias-medicas/consultas/permisos-post-natales-por-vencer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permisos-post-natales-por-vencer</v>
      </c>
      <c r="L59" s="2" t="s">
        <v>1384</v>
      </c>
      <c r="M59" s="2" t="s">
        <v>1801</v>
      </c>
      <c r="N59" s="4" t="s">
        <v>360</v>
      </c>
      <c r="O59" s="4" t="s">
        <v>360</v>
      </c>
      <c r="P59" s="4" t="s">
        <v>360</v>
      </c>
      <c r="Q59" s="4" t="s">
        <v>360</v>
      </c>
      <c r="R59" s="4" t="s">
        <v>360</v>
      </c>
      <c r="S59" s="4" t="s">
        <v>360</v>
      </c>
      <c r="T59" s="4" t="s">
        <v>360</v>
      </c>
      <c r="W59" s="4" t="s">
        <v>360</v>
      </c>
      <c r="X59" s="2" t="str">
        <f>IF(Tabla_Licencias_Medicas[[#This Row],[id_padre]]=Tabla_Licencias_Medicas[[#This Row],[Id]],"NOK","OK")</f>
        <v>OK</v>
      </c>
    </row>
    <row r="60" spans="1:24" hidden="1" x14ac:dyDescent="0.5">
      <c r="A60" s="2">
        <f>MAX(Tabla_Decretos[Id])</f>
        <v>915</v>
      </c>
      <c r="B60">
        <v>919</v>
      </c>
      <c r="C60" s="5">
        <f>IF(Tabla_Licencias_Medicas[[#This Row],[id_padre]]="",0,_xlfn.XLOOKUP(Tabla_Licencias_Medicas[[#This Row],[id_padre]],Tabla_Licencias_Medicas[Id],Tabla_Licencias_Medicas[Nivel],0,0,1)+1)</f>
        <v>2</v>
      </c>
      <c r="D60" s="2" t="s">
        <v>844</v>
      </c>
      <c r="E60">
        <f>IF(Tabla_Licencias_Medicas[[#This Row],[Id_anterior]]=1,ROW()-1,SUM(ROW()-1,Tabla_Licencias_Medicas[[#This Row],[Id_anterior]]))</f>
        <v>974</v>
      </c>
      <c r="F6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LICENCIAS_MEDICAS_CONSULTAS_PERMISO_POST_NATAL_PARENTAL_ESPECIFICO</v>
      </c>
      <c r="G60" s="2" t="str">
        <f>CLEAN(PROPER(Tabla_Licencias_Medicas[[#This Row],[Nombre Opción]]))</f>
        <v>Permiso Post Natal Parental Especifico</v>
      </c>
      <c r="H60" s="2" t="s">
        <v>1735</v>
      </c>
      <c r="I60" s="2" t="str">
        <f>_xlfn.XLOOKUP(Tabla_Licencias_Medicas[[#This Row],[id_padre]],Tabla_Licencias_Medicas[Id],Tabla_Licencias_Medicas[Codigo_Tecnico],"",0,1)</f>
        <v>LICENCIAS_MEDICAS_CONSULTAS</v>
      </c>
      <c r="J6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/licencias-medicas/consultas/permiso-post-natal-parental-especifico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permiso-post-natal-parental-especifico</v>
      </c>
      <c r="L60" s="2" t="s">
        <v>1523</v>
      </c>
      <c r="M60" s="2" t="s">
        <v>1801</v>
      </c>
      <c r="N60" s="4" t="s">
        <v>360</v>
      </c>
      <c r="O60" s="4" t="s">
        <v>360</v>
      </c>
      <c r="P60" s="4" t="s">
        <v>360</v>
      </c>
      <c r="Q60" s="4" t="s">
        <v>360</v>
      </c>
      <c r="R60" s="4" t="s">
        <v>360</v>
      </c>
      <c r="S60" s="4" t="s">
        <v>360</v>
      </c>
      <c r="T60" s="4" t="s">
        <v>360</v>
      </c>
      <c r="W60" s="4" t="s">
        <v>360</v>
      </c>
      <c r="X60" s="2" t="str">
        <f>IF(Tabla_Licencias_Medicas[[#This Row],[id_padre]]=Tabla_Licencias_Medicas[[#This Row],[Id]],"NOK","OK")</f>
        <v>OK</v>
      </c>
    </row>
    <row r="61" spans="1:24" hidden="1" x14ac:dyDescent="0.5">
      <c r="A61" s="2">
        <f>MAX(Tabla_Decretos[Id])</f>
        <v>915</v>
      </c>
      <c r="B61">
        <v>919</v>
      </c>
      <c r="C61" s="5">
        <f>IF(Tabla_Licencias_Medicas[[#This Row],[id_padre]]="",0,_xlfn.XLOOKUP(Tabla_Licencias_Medicas[[#This Row],[id_padre]],Tabla_Licencias_Medicas[Id],Tabla_Licencias_Medicas[Nivel],0,0,1)+1)</f>
        <v>2</v>
      </c>
      <c r="D61" s="2" t="s">
        <v>845</v>
      </c>
      <c r="E61">
        <f>IF(Tabla_Licencias_Medicas[[#This Row],[Id_anterior]]=1,ROW()-1,SUM(ROW()-1,Tabla_Licencias_Medicas[[#This Row],[Id_anterior]]))</f>
        <v>975</v>
      </c>
      <c r="F6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LICENCIAS_MEDICAS_CONSULTAS_LICENCIAS</v>
      </c>
      <c r="G61" s="2" t="str">
        <f>CLEAN(PROPER(Tabla_Licencias_Medicas[[#This Row],[Nombre Opción]]))</f>
        <v>Licencias</v>
      </c>
      <c r="H61" s="2" t="s">
        <v>1735</v>
      </c>
      <c r="I61" s="2" t="str">
        <f>_xlfn.XLOOKUP(Tabla_Licencias_Medicas[[#This Row],[id_padre]],Tabla_Licencias_Medicas[Id],Tabla_Licencias_Medicas[Codigo_Tecnico],"",0,1)</f>
        <v>LICENCIAS_MEDICAS_CONSULTAS</v>
      </c>
      <c r="J6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/licencias-medicas/consultas/licencias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licencias</v>
      </c>
      <c r="L61" s="2" t="s">
        <v>1581</v>
      </c>
      <c r="M61" s="2" t="s">
        <v>1801</v>
      </c>
      <c r="N61" s="4" t="s">
        <v>360</v>
      </c>
      <c r="O61" s="4" t="s">
        <v>360</v>
      </c>
      <c r="P61" s="4" t="s">
        <v>360</v>
      </c>
      <c r="Q61" s="4" t="s">
        <v>360</v>
      </c>
      <c r="R61" s="4" t="s">
        <v>360</v>
      </c>
      <c r="S61" s="4" t="s">
        <v>360</v>
      </c>
      <c r="T61" s="4" t="s">
        <v>360</v>
      </c>
      <c r="W61" s="4" t="s">
        <v>360</v>
      </c>
      <c r="X61" s="2" t="str">
        <f>IF(Tabla_Licencias_Medicas[[#This Row],[id_padre]]=Tabla_Licencias_Medicas[[#This Row],[Id]],"NOK","OK")</f>
        <v>OK</v>
      </c>
    </row>
    <row r="62" spans="1:24" hidden="1" x14ac:dyDescent="0.5">
      <c r="A62" s="2">
        <f>MAX(Tabla_Decretos[Id])</f>
        <v>915</v>
      </c>
      <c r="B62">
        <v>975</v>
      </c>
      <c r="C62" s="5">
        <f>IF(Tabla_Licencias_Medicas[[#This Row],[id_padre]]="",0,_xlfn.XLOOKUP(Tabla_Licencias_Medicas[[#This Row],[id_padre]],Tabla_Licencias_Medicas[Id],Tabla_Licencias_Medicas[Nivel],0,0,1)+1)</f>
        <v>3</v>
      </c>
      <c r="D62" s="2" t="s">
        <v>846</v>
      </c>
      <c r="E62">
        <f>IF(Tabla_Licencias_Medicas[[#This Row],[Id_anterior]]=1,ROW()-1,SUM(ROW()-1,Tabla_Licencias_Medicas[[#This Row],[Id_anterior]]))</f>
        <v>976</v>
      </c>
      <c r="F6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LICENCIAS_MEDICAS_CONSULTAS_LICENCIAS_PERMISOS_POR_FUNCIONARIO</v>
      </c>
      <c r="G62" s="2" t="str">
        <f>CLEAN(PROPER(Tabla_Licencias_Medicas[[#This Row],[Nombre Opción]]))</f>
        <v>Permisos Por Funcionario</v>
      </c>
      <c r="H62" s="2" t="s">
        <v>1735</v>
      </c>
      <c r="I62" s="2" t="str">
        <f>_xlfn.XLOOKUP(Tabla_Licencias_Medicas[[#This Row],[id_padre]],Tabla_Licencias_Medicas[Id],Tabla_Licencias_Medicas[Codigo_Tecnico],"",0,1)</f>
        <v>LICENCIAS_MEDICAS_CONSULTAS_LICENCIAS</v>
      </c>
      <c r="J6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/licencias-medicas/consultas/licencias/permisos-por-funcionario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permisos-por-funcionario</v>
      </c>
      <c r="L62" s="2" t="s">
        <v>1594</v>
      </c>
      <c r="M62" s="2" t="s">
        <v>1801</v>
      </c>
      <c r="N62" s="4" t="s">
        <v>360</v>
      </c>
      <c r="O62" s="4" t="s">
        <v>360</v>
      </c>
      <c r="P62" s="4" t="s">
        <v>360</v>
      </c>
      <c r="Q62" s="4" t="s">
        <v>360</v>
      </c>
      <c r="R62" s="4" t="s">
        <v>360</v>
      </c>
      <c r="S62" s="4" t="s">
        <v>360</v>
      </c>
      <c r="T62" s="4" t="s">
        <v>360</v>
      </c>
      <c r="W62" s="4" t="s">
        <v>360</v>
      </c>
      <c r="X62" s="2" t="str">
        <f>IF(Tabla_Licencias_Medicas[[#This Row],[id_padre]]=Tabla_Licencias_Medicas[[#This Row],[Id]],"NOK","OK")</f>
        <v>OK</v>
      </c>
    </row>
    <row r="63" spans="1:24" hidden="1" x14ac:dyDescent="0.5">
      <c r="A63" s="2">
        <f>MAX(Tabla_Decretos[Id])</f>
        <v>915</v>
      </c>
      <c r="B63">
        <v>975</v>
      </c>
      <c r="C63" s="5">
        <f>IF(Tabla_Licencias_Medicas[[#This Row],[id_padre]]="",0,_xlfn.XLOOKUP(Tabla_Licencias_Medicas[[#This Row],[id_padre]],Tabla_Licencias_Medicas[Id],Tabla_Licencias_Medicas[Nivel],0,0,1)+1)</f>
        <v>3</v>
      </c>
      <c r="D63" s="2" t="s">
        <v>847</v>
      </c>
      <c r="E63">
        <f>IF(Tabla_Licencias_Medicas[[#This Row],[Id_anterior]]=1,ROW()-1,SUM(ROW()-1,Tabla_Licencias_Medicas[[#This Row],[Id_anterior]]))</f>
        <v>977</v>
      </c>
      <c r="F6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LICENCIAS_MEDICAS_CONSULTAS_LICENCIAS_PERMISOS_POR_ESTADO</v>
      </c>
      <c r="G63" s="2" t="str">
        <f>CLEAN(PROPER(Tabla_Licencias_Medicas[[#This Row],[Nombre Opción]]))</f>
        <v>Permisos Por Estado</v>
      </c>
      <c r="H63" s="2" t="s">
        <v>1735</v>
      </c>
      <c r="I63" s="2" t="str">
        <f>_xlfn.XLOOKUP(Tabla_Licencias_Medicas[[#This Row],[id_padre]],Tabla_Licencias_Medicas[Id],Tabla_Licencias_Medicas[Codigo_Tecnico],"",0,1)</f>
        <v>LICENCIAS_MEDICAS_CONSULTAS_LICENCIAS</v>
      </c>
      <c r="J6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/licencias-medicas/consultas/licencias/permisos-por-estado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permisos-por-estado</v>
      </c>
      <c r="L63" s="2" t="s">
        <v>1424</v>
      </c>
      <c r="M63" s="2" t="s">
        <v>1801</v>
      </c>
      <c r="N63" s="4" t="s">
        <v>360</v>
      </c>
      <c r="O63" s="4" t="s">
        <v>360</v>
      </c>
      <c r="P63" s="4" t="s">
        <v>360</v>
      </c>
      <c r="Q63" s="4" t="s">
        <v>360</v>
      </c>
      <c r="R63" s="4" t="s">
        <v>360</v>
      </c>
      <c r="S63" s="4" t="s">
        <v>360</v>
      </c>
      <c r="T63" s="4" t="s">
        <v>360</v>
      </c>
      <c r="W63" s="4" t="s">
        <v>360</v>
      </c>
      <c r="X63" s="2" t="str">
        <f>IF(Tabla_Licencias_Medicas[[#This Row],[id_padre]]=Tabla_Licencias_Medicas[[#This Row],[Id]],"NOK","OK")</f>
        <v>OK</v>
      </c>
    </row>
    <row r="64" spans="1:24" hidden="1" x14ac:dyDescent="0.5">
      <c r="A64" s="2">
        <f>MAX(Tabla_Decretos[Id])</f>
        <v>915</v>
      </c>
      <c r="B64">
        <v>975</v>
      </c>
      <c r="C64" s="5">
        <f>IF(Tabla_Licencias_Medicas[[#This Row],[id_padre]]="",0,_xlfn.XLOOKUP(Tabla_Licencias_Medicas[[#This Row],[id_padre]],Tabla_Licencias_Medicas[Id],Tabla_Licencias_Medicas[Nivel],0,0,1)+1)</f>
        <v>3</v>
      </c>
      <c r="D64" s="2" t="s">
        <v>848</v>
      </c>
      <c r="E64">
        <f>IF(Tabla_Licencias_Medicas[[#This Row],[Id_anterior]]=1,ROW()-1,SUM(ROW()-1,Tabla_Licencias_Medicas[[#This Row],[Id_anterior]]))</f>
        <v>978</v>
      </c>
      <c r="F6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LICENCIAS_MEDICAS_CONSULTAS_LICENCIAS_PERMISOS_POR_SISTEMA_SALUD</v>
      </c>
      <c r="G64" s="2" t="str">
        <f>CLEAN(PROPER(Tabla_Licencias_Medicas[[#This Row],[Nombre Opción]]))</f>
        <v>Permisos Por Sistema De Salud</v>
      </c>
      <c r="H64" s="2" t="s">
        <v>1735</v>
      </c>
      <c r="I64" s="2" t="str">
        <f>_xlfn.XLOOKUP(Tabla_Licencias_Medicas[[#This Row],[id_padre]],Tabla_Licencias_Medicas[Id],Tabla_Licencias_Medicas[Codigo_Tecnico],"",0,1)</f>
        <v>LICENCIAS_MEDICAS_CONSULTAS_LICENCIAS</v>
      </c>
      <c r="J6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/licencias-medicas/consultas/licencias/permisos-por-sistema-salud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permisos-por-sistema-salud</v>
      </c>
      <c r="L64" s="2" t="s">
        <v>1585</v>
      </c>
      <c r="M64" s="2" t="s">
        <v>1801</v>
      </c>
      <c r="N64" s="4" t="s">
        <v>360</v>
      </c>
      <c r="O64" s="4" t="s">
        <v>360</v>
      </c>
      <c r="P64" s="4" t="s">
        <v>360</v>
      </c>
      <c r="Q64" s="4" t="s">
        <v>360</v>
      </c>
      <c r="R64" s="4" t="s">
        <v>360</v>
      </c>
      <c r="S64" s="4" t="s">
        <v>360</v>
      </c>
      <c r="T64" s="4" t="s">
        <v>360</v>
      </c>
      <c r="W64" s="4" t="s">
        <v>360</v>
      </c>
      <c r="X64" s="2" t="str">
        <f>IF(Tabla_Licencias_Medicas[[#This Row],[id_padre]]=Tabla_Licencias_Medicas[[#This Row],[Id]],"NOK","OK")</f>
        <v>OK</v>
      </c>
    </row>
    <row r="65" spans="1:24" hidden="1" x14ac:dyDescent="0.5">
      <c r="A65" s="2">
        <f>MAX(Tabla_Decretos[Id])</f>
        <v>915</v>
      </c>
      <c r="B65">
        <v>975</v>
      </c>
      <c r="C65" s="5">
        <f>IF(Tabla_Licencias_Medicas[[#This Row],[id_padre]]="",0,_xlfn.XLOOKUP(Tabla_Licencias_Medicas[[#This Row],[id_padre]],Tabla_Licencias_Medicas[Id],Tabla_Licencias_Medicas[Nivel],0,0,1)+1)</f>
        <v>3</v>
      </c>
      <c r="D65" s="2" t="s">
        <v>849</v>
      </c>
      <c r="E65">
        <f>IF(Tabla_Licencias_Medicas[[#This Row],[Id_anterior]]=1,ROW()-1,SUM(ROW()-1,Tabla_Licencias_Medicas[[#This Row],[Id_anterior]]))</f>
        <v>979</v>
      </c>
      <c r="F6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LICENCIAS_MEDICAS_CONSULTAS_LICENCIAS_PERMISOS_POR_TIPO_CONTRATO</v>
      </c>
      <c r="G65" s="2" t="str">
        <f>CLEAN(PROPER(Tabla_Licencias_Medicas[[#This Row],[Nombre Opción]]))</f>
        <v>Permisos Por Tipo De Contrato</v>
      </c>
      <c r="H65" s="2" t="s">
        <v>1735</v>
      </c>
      <c r="I65" s="2" t="str">
        <f>_xlfn.XLOOKUP(Tabla_Licencias_Medicas[[#This Row],[id_padre]],Tabla_Licencias_Medicas[Id],Tabla_Licencias_Medicas[Codigo_Tecnico],"",0,1)</f>
        <v>LICENCIAS_MEDICAS_CONSULTAS_LICENCIAS</v>
      </c>
      <c r="J6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/licencias-medicas/consultas/licencias/permisos-por-tipo-contrato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permisos-por-tipo-contrato</v>
      </c>
      <c r="L65" s="2" t="s">
        <v>1343</v>
      </c>
      <c r="M65" s="2" t="s">
        <v>1801</v>
      </c>
      <c r="N65" s="4" t="s">
        <v>360</v>
      </c>
      <c r="O65" s="4" t="s">
        <v>360</v>
      </c>
      <c r="P65" s="4" t="s">
        <v>360</v>
      </c>
      <c r="Q65" s="4" t="s">
        <v>360</v>
      </c>
      <c r="R65" s="4" t="s">
        <v>360</v>
      </c>
      <c r="S65" s="4" t="s">
        <v>360</v>
      </c>
      <c r="T65" s="4" t="s">
        <v>360</v>
      </c>
      <c r="W65" s="4" t="s">
        <v>360</v>
      </c>
      <c r="X65" s="2" t="str">
        <f>IF(Tabla_Licencias_Medicas[[#This Row],[id_padre]]=Tabla_Licencias_Medicas[[#This Row],[Id]],"NOK","OK")</f>
        <v>OK</v>
      </c>
    </row>
    <row r="66" spans="1:24" hidden="1" x14ac:dyDescent="0.5">
      <c r="A66" s="2">
        <f>MAX(Tabla_Decretos[Id])</f>
        <v>915</v>
      </c>
      <c r="B66">
        <v>975</v>
      </c>
      <c r="C66" s="5">
        <f>IF(Tabla_Licencias_Medicas[[#This Row],[id_padre]]="",0,_xlfn.XLOOKUP(Tabla_Licencias_Medicas[[#This Row],[id_padre]],Tabla_Licencias_Medicas[Id],Tabla_Licencias_Medicas[Nivel],0,0,1)+1)</f>
        <v>3</v>
      </c>
      <c r="D66" s="2" t="s">
        <v>850</v>
      </c>
      <c r="E66">
        <f>IF(Tabla_Licencias_Medicas[[#This Row],[Id_anterior]]=1,ROW()-1,SUM(ROW()-1,Tabla_Licencias_Medicas[[#This Row],[Id_anterior]]))</f>
        <v>980</v>
      </c>
      <c r="F6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LICENCIAS_MEDICAS_CONSULTAS_LICENCIAS_PERMISOS_POR_TIPO_LICENCIA</v>
      </c>
      <c r="G66" s="2" t="str">
        <f>CLEAN(PROPER(Tabla_Licencias_Medicas[[#This Row],[Nombre Opción]]))</f>
        <v>Permisos Por Tipo De Licencia</v>
      </c>
      <c r="H66" s="2" t="s">
        <v>1735</v>
      </c>
      <c r="I66" s="2" t="str">
        <f>_xlfn.XLOOKUP(Tabla_Licencias_Medicas[[#This Row],[id_padre]],Tabla_Licencias_Medicas[Id],Tabla_Licencias_Medicas[Codigo_Tecnico],"",0,1)</f>
        <v>LICENCIAS_MEDICAS_CONSULTAS_LICENCIAS</v>
      </c>
      <c r="J6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/licencias-medicas/consultas/licencias/permisos-por-tipo-licencia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permisos-por-tipo-licencia</v>
      </c>
      <c r="L66" s="2" t="s">
        <v>1407</v>
      </c>
      <c r="M66" s="2" t="s">
        <v>1801</v>
      </c>
      <c r="N66" s="4" t="s">
        <v>360</v>
      </c>
      <c r="O66" s="4" t="s">
        <v>360</v>
      </c>
      <c r="P66" s="4" t="s">
        <v>360</v>
      </c>
      <c r="Q66" s="4" t="s">
        <v>360</v>
      </c>
      <c r="R66" s="4" t="s">
        <v>360</v>
      </c>
      <c r="S66" s="4" t="s">
        <v>360</v>
      </c>
      <c r="T66" s="4" t="s">
        <v>360</v>
      </c>
      <c r="W66" s="4" t="s">
        <v>360</v>
      </c>
      <c r="X66" s="2" t="str">
        <f>IF(Tabla_Licencias_Medicas[[#This Row],[id_padre]]=Tabla_Licencias_Medicas[[#This Row],[Id]],"NOK","OK")</f>
        <v>OK</v>
      </c>
    </row>
    <row r="67" spans="1:24" hidden="1" x14ac:dyDescent="0.5">
      <c r="A67" s="2">
        <f>MAX(Tabla_Decretos[Id])</f>
        <v>915</v>
      </c>
      <c r="B67">
        <v>975</v>
      </c>
      <c r="C67" s="5">
        <f>IF(Tabla_Licencias_Medicas[[#This Row],[id_padre]]="",0,_xlfn.XLOOKUP(Tabla_Licencias_Medicas[[#This Row],[id_padre]],Tabla_Licencias_Medicas[Id],Tabla_Licencias_Medicas[Nivel],0,0,1)+1)</f>
        <v>3</v>
      </c>
      <c r="D67" s="2" t="s">
        <v>851</v>
      </c>
      <c r="E67">
        <f>IF(Tabla_Licencias_Medicas[[#This Row],[Id_anterior]]=1,ROW()-1,SUM(ROW()-1,Tabla_Licencias_Medicas[[#This Row],[Id_anterior]]))</f>
        <v>981</v>
      </c>
      <c r="F6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LICENCIAS_MEDICAS_CONSULTAS_LICENCIAS_PERMISOS__POR_UNIDAD</v>
      </c>
      <c r="G67" s="2" t="str">
        <f>CLEAN(PROPER(Tabla_Licencias_Medicas[[#This Row],[Nombre Opción]]))</f>
        <v>Permisos  Por Unidad</v>
      </c>
      <c r="H67" s="2" t="s">
        <v>1735</v>
      </c>
      <c r="I67" s="2" t="str">
        <f>_xlfn.XLOOKUP(Tabla_Licencias_Medicas[[#This Row],[id_padre]],Tabla_Licencias_Medicas[Id],Tabla_Licencias_Medicas[Codigo_Tecnico],"",0,1)</f>
        <v>LICENCIAS_MEDICAS_CONSULTAS_LICENCIAS</v>
      </c>
      <c r="J6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/licencias-medicas/consultas/licencias/permisos--por-unidad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permisos--por-unidad</v>
      </c>
      <c r="L67" s="2" t="s">
        <v>1341</v>
      </c>
      <c r="M67" s="2" t="s">
        <v>1801</v>
      </c>
      <c r="N67" s="4" t="s">
        <v>360</v>
      </c>
      <c r="O67" s="4" t="s">
        <v>360</v>
      </c>
      <c r="P67" s="4" t="s">
        <v>360</v>
      </c>
      <c r="Q67" s="4" t="s">
        <v>360</v>
      </c>
      <c r="R67" s="4" t="s">
        <v>360</v>
      </c>
      <c r="S67" s="4" t="s">
        <v>360</v>
      </c>
      <c r="T67" s="4" t="s">
        <v>360</v>
      </c>
      <c r="W67" s="4" t="s">
        <v>360</v>
      </c>
      <c r="X67" s="2" t="str">
        <f>IF(Tabla_Licencias_Medicas[[#This Row],[id_padre]]=Tabla_Licencias_Medicas[[#This Row],[Id]],"NOK","OK")</f>
        <v>OK</v>
      </c>
    </row>
    <row r="68" spans="1:24" hidden="1" x14ac:dyDescent="0.5">
      <c r="A68" s="2">
        <f>MAX(Tabla_Decretos[Id])</f>
        <v>915</v>
      </c>
      <c r="B68">
        <v>975</v>
      </c>
      <c r="C68" s="5">
        <f>IF(Tabla_Licencias_Medicas[[#This Row],[id_padre]]="",0,_xlfn.XLOOKUP(Tabla_Licencias_Medicas[[#This Row],[id_padre]],Tabla_Licencias_Medicas[Id],Tabla_Licencias_Medicas[Nivel],0,0,1)+1)</f>
        <v>3</v>
      </c>
      <c r="D68" s="2" t="s">
        <v>854</v>
      </c>
      <c r="E68">
        <f>IF(Tabla_Licencias_Medicas[[#This Row],[Id_anterior]]=1,ROW()-1,SUM(ROW()-1,Tabla_Licencias_Medicas[[#This Row],[Id_anterior]]))</f>
        <v>982</v>
      </c>
      <c r="F6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LICENCIAS_MEDICAS_CONSULTAS_LICENCIAS_PERMISOS_POR_UNIDAD_DEPENDENCIA</v>
      </c>
      <c r="G68" s="2" t="str">
        <f>CLEAN(PROPER(Tabla_Licencias_Medicas[[#This Row],[Nombre Opción]]))</f>
        <v>Permisos Por Unidad Dependencia</v>
      </c>
      <c r="H68" s="2" t="s">
        <v>1735</v>
      </c>
      <c r="I68" s="2" t="str">
        <f>_xlfn.XLOOKUP(Tabla_Licencias_Medicas[[#This Row],[id_padre]],Tabla_Licencias_Medicas[Id],Tabla_Licencias_Medicas[Codigo_Tecnico],"",0,1)</f>
        <v>LICENCIAS_MEDICAS_CONSULTAS_LICENCIAS</v>
      </c>
      <c r="J6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/licencias-medicas/consultas/licencias/permisos-por-unidad-dependencia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permisos-por-unidad-dependencia</v>
      </c>
      <c r="L68" s="2" t="s">
        <v>1389</v>
      </c>
      <c r="M68" s="2" t="s">
        <v>1801</v>
      </c>
      <c r="N68" s="4" t="s">
        <v>360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T68" s="4" t="s">
        <v>360</v>
      </c>
      <c r="V68" s="4" t="s">
        <v>360</v>
      </c>
      <c r="W68" s="4" t="s">
        <v>360</v>
      </c>
      <c r="X68" s="2" t="str">
        <f>IF(Tabla_Licencias_Medicas[[#This Row],[id_padre]]=Tabla_Licencias_Medicas[[#This Row],[Id]],"NOK","OK")</f>
        <v>OK</v>
      </c>
    </row>
    <row r="69" spans="1:24" hidden="1" x14ac:dyDescent="0.5">
      <c r="A69" s="2">
        <f>MAX(Tabla_Decretos[Id])</f>
        <v>915</v>
      </c>
      <c r="B69">
        <v>919</v>
      </c>
      <c r="C69" s="5">
        <f>IF(Tabla_Licencias_Medicas[[#This Row],[id_padre]]="",0,_xlfn.XLOOKUP(Tabla_Licencias_Medicas[[#This Row],[id_padre]],Tabla_Licencias_Medicas[Id],Tabla_Licencias_Medicas[Nivel],0,0,1)+1)</f>
        <v>2</v>
      </c>
      <c r="D69" s="2" t="s">
        <v>852</v>
      </c>
      <c r="E69">
        <f>IF(Tabla_Licencias_Medicas[[#This Row],[Id_anterior]]=1,ROW()-1,SUM(ROW()-1,Tabla_Licencias_Medicas[[#This Row],[Id_anterior]]))</f>
        <v>983</v>
      </c>
      <c r="F6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LICENCIAS_MEDICAS_CONSULTAS_BITACORA_ESPECIFICA</v>
      </c>
      <c r="G69" s="2" t="str">
        <f>CLEAN(PROPER(Tabla_Licencias_Medicas[[#This Row],[Nombre Opción]]))</f>
        <v>Bitácora Especifica</v>
      </c>
      <c r="H69" s="2" t="s">
        <v>1735</v>
      </c>
      <c r="I69" s="2" t="str">
        <f>_xlfn.XLOOKUP(Tabla_Licencias_Medicas[[#This Row],[id_padre]],Tabla_Licencias_Medicas[Id],Tabla_Licencias_Medicas[Codigo_Tecnico],"",0,1)</f>
        <v>LICENCIAS_MEDICAS_CONSULTAS</v>
      </c>
      <c r="J6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/licencias-medicas/consultas/bitacora-especifica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bitacora-especifica</v>
      </c>
      <c r="L69" s="2" t="s">
        <v>1432</v>
      </c>
      <c r="M69" s="2" t="s">
        <v>1801</v>
      </c>
      <c r="N69" s="4" t="s">
        <v>360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T69" s="4" t="s">
        <v>360</v>
      </c>
      <c r="V69" s="4" t="s">
        <v>360</v>
      </c>
      <c r="W69" s="4" t="s">
        <v>360</v>
      </c>
      <c r="X69" s="2" t="str">
        <f>IF(Tabla_Licencias_Medicas[[#This Row],[id_padre]]=Tabla_Licencias_Medicas[[#This Row],[Id]],"NOK","OK")</f>
        <v>OK</v>
      </c>
    </row>
    <row r="70" spans="1:24" hidden="1" x14ac:dyDescent="0.5">
      <c r="A70" s="2">
        <f>MAX(Tabla_Decretos[Id])</f>
        <v>915</v>
      </c>
      <c r="B70">
        <v>919</v>
      </c>
      <c r="C70" s="5">
        <f>IF(Tabla_Licencias_Medicas[[#This Row],[id_padre]]="",0,_xlfn.XLOOKUP(Tabla_Licencias_Medicas[[#This Row],[id_padre]],Tabla_Licencias_Medicas[Id],Tabla_Licencias_Medicas[Nivel],0,0,1)+1)</f>
        <v>2</v>
      </c>
      <c r="D70" s="2" t="s">
        <v>853</v>
      </c>
      <c r="E70">
        <f>IF(Tabla_Licencias_Medicas[[#This Row],[Id_anterior]]=1,ROW()-1,SUM(ROW()-1,Tabla_Licencias_Medicas[[#This Row],[Id_anterior]]))</f>
        <v>984</v>
      </c>
      <c r="F7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LICENCIAS_MEDICAS_CONSULTAS_DETALLE_TRAMITACION_ESPECIFICA</v>
      </c>
      <c r="G70" s="2" t="str">
        <f>CLEAN(PROPER(Tabla_Licencias_Medicas[[#This Row],[Nombre Opción]]))</f>
        <v>Detalle De Tramitación Especifica</v>
      </c>
      <c r="H70" s="2" t="s">
        <v>1735</v>
      </c>
      <c r="I70" s="2" t="str">
        <f>_xlfn.XLOOKUP(Tabla_Licencias_Medicas[[#This Row],[id_padre]],Tabla_Licencias_Medicas[Id],Tabla_Licencias_Medicas[Codigo_Tecnico],"",0,1)</f>
        <v>LICENCIAS_MEDICAS_CONSULTAS</v>
      </c>
      <c r="J7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/licencias-medicas/consultas/detalle-tramitacion-especifica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detalle-tramitacion-especifica</v>
      </c>
      <c r="L70" s="2" t="s">
        <v>1370</v>
      </c>
      <c r="M70" s="2" t="s">
        <v>1801</v>
      </c>
      <c r="N70" s="4" t="s">
        <v>360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T70" s="4" t="s">
        <v>360</v>
      </c>
      <c r="V70" s="4" t="s">
        <v>360</v>
      </c>
      <c r="W70" s="4" t="s">
        <v>360</v>
      </c>
      <c r="X70" s="2" t="str">
        <f>IF(Tabla_Licencias_Medicas[[#This Row],[id_padre]]=Tabla_Licencias_Medicas[[#This Row],[Id]],"NOK","OK")</f>
        <v>OK</v>
      </c>
    </row>
    <row r="71" spans="1:24" hidden="1" x14ac:dyDescent="0.5">
      <c r="A71" s="2">
        <f>MAX(Tabla_Decretos[Id])</f>
        <v>915</v>
      </c>
      <c r="B71">
        <v>919</v>
      </c>
      <c r="C71" s="5">
        <f>IF(Tabla_Licencias_Medicas[[#This Row],[id_padre]]="",0,_xlfn.XLOOKUP(Tabla_Licencias_Medicas[[#This Row],[id_padre]],Tabla_Licencias_Medicas[Id],Tabla_Licencias_Medicas[Nivel],0,0,1)+1)</f>
        <v>2</v>
      </c>
      <c r="D71" s="2" t="s">
        <v>855</v>
      </c>
      <c r="E71">
        <f>IF(Tabla_Licencias_Medicas[[#This Row],[Id_anterior]]=1,ROW()-1,SUM(ROW()-1,Tabla_Licencias_Medicas[[#This Row],[Id_anterior]]))</f>
        <v>985</v>
      </c>
      <c r="F7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LICENCIAS_MEDICAS_CONSULTAS_DETALLE_DESCUENTOS</v>
      </c>
      <c r="G71" s="2" t="str">
        <f>CLEAN(PROPER(Tabla_Licencias_Medicas[[#This Row],[Nombre Opción]]))</f>
        <v>Detalle De Descuentos</v>
      </c>
      <c r="H71" s="2" t="s">
        <v>1735</v>
      </c>
      <c r="I71" s="2" t="str">
        <f>_xlfn.XLOOKUP(Tabla_Licencias_Medicas[[#This Row],[id_padre]],Tabla_Licencias_Medicas[Id],Tabla_Licencias_Medicas[Codigo_Tecnico],"",0,1)</f>
        <v>LICENCIAS_MEDICAS_CONSULTAS</v>
      </c>
      <c r="J7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/licencias-medicas/consultas/detalle-descuentos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detalle-descuentos</v>
      </c>
      <c r="L71" s="2" t="s">
        <v>1345</v>
      </c>
      <c r="M71" s="2" t="s">
        <v>1801</v>
      </c>
      <c r="N71" s="4" t="s">
        <v>360</v>
      </c>
      <c r="O71" s="4" t="s">
        <v>360</v>
      </c>
      <c r="Q71" s="4" t="s">
        <v>360</v>
      </c>
      <c r="R71" s="4"/>
      <c r="U71" s="4" t="s">
        <v>360</v>
      </c>
      <c r="W71" s="4" t="s">
        <v>360</v>
      </c>
      <c r="X71" s="2" t="str">
        <f>IF(Tabla_Licencias_Medicas[[#This Row],[id_padre]]=Tabla_Licencias_Medicas[[#This Row],[Id]],"NOK","OK")</f>
        <v>OK</v>
      </c>
    </row>
    <row r="72" spans="1:24" hidden="1" x14ac:dyDescent="0.5">
      <c r="A72" s="2">
        <f>MAX(Tabla_Decretos[Id])</f>
        <v>915</v>
      </c>
      <c r="B72">
        <v>919</v>
      </c>
      <c r="C72" s="5">
        <f>IF(Tabla_Licencias_Medicas[[#This Row],[id_padre]]="",0,_xlfn.XLOOKUP(Tabla_Licencias_Medicas[[#This Row],[id_padre]],Tabla_Licencias_Medicas[Id],Tabla_Licencias_Medicas[Nivel],0,0,1)+1)</f>
        <v>2</v>
      </c>
      <c r="D72" s="2" t="s">
        <v>856</v>
      </c>
      <c r="E72">
        <f>IF(Tabla_Licencias_Medicas[[#This Row],[Id_anterior]]=1,ROW()-1,SUM(ROW()-1,Tabla_Licencias_Medicas[[#This Row],[Id_anterior]]))</f>
        <v>986</v>
      </c>
      <c r="F7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LICENCIAS_MEDICAS_CONSULTAS_RELACION_DESCUENTOS</v>
      </c>
      <c r="G72" s="2" t="str">
        <f>CLEAN(PROPER(Tabla_Licencias_Medicas[[#This Row],[Nombre Opción]]))</f>
        <v>Relación De Descuentos</v>
      </c>
      <c r="H72" s="2" t="s">
        <v>1735</v>
      </c>
      <c r="I72" s="2" t="str">
        <f>_xlfn.XLOOKUP(Tabla_Licencias_Medicas[[#This Row],[id_padre]],Tabla_Licencias_Medicas[Id],Tabla_Licencias_Medicas[Codigo_Tecnico],"",0,1)</f>
        <v>LICENCIAS_MEDICAS_CONSULTAS</v>
      </c>
      <c r="J7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/licencias-medicas/consultas/relacion-descuentos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relacion-descuentos</v>
      </c>
      <c r="L72" s="2" t="s">
        <v>1369</v>
      </c>
      <c r="M72" s="2" t="s">
        <v>1801</v>
      </c>
      <c r="N72" s="4" t="s">
        <v>360</v>
      </c>
      <c r="O72" s="4" t="s">
        <v>360</v>
      </c>
      <c r="Q72" s="4" t="s">
        <v>360</v>
      </c>
      <c r="R72" s="4"/>
      <c r="U72" s="4" t="s">
        <v>360</v>
      </c>
      <c r="W72" s="4" t="s">
        <v>360</v>
      </c>
      <c r="X72" s="2" t="str">
        <f>IF(Tabla_Licencias_Medicas[[#This Row],[id_padre]]=Tabla_Licencias_Medicas[[#This Row],[Id]],"NOK","OK")</f>
        <v>OK</v>
      </c>
    </row>
    <row r="73" spans="1:24" hidden="1" x14ac:dyDescent="0.5">
      <c r="A73" s="2">
        <f>MAX(Tabla_Decretos[Id])</f>
        <v>915</v>
      </c>
      <c r="B73">
        <v>919</v>
      </c>
      <c r="C73" s="5">
        <f>IF(Tabla_Licencias_Medicas[[#This Row],[id_padre]]="",0,_xlfn.XLOOKUP(Tabla_Licencias_Medicas[[#This Row],[id_padre]],Tabla_Licencias_Medicas[Id],Tabla_Licencias_Medicas[Nivel],0,0,1)+1)</f>
        <v>2</v>
      </c>
      <c r="D73" s="2" t="s">
        <v>814</v>
      </c>
      <c r="E73">
        <f>IF(Tabla_Licencias_Medicas[[#This Row],[Id_anterior]]=1,ROW()-1,SUM(ROW()-1,Tabla_Licencias_Medicas[[#This Row],[Id_anterior]]))</f>
        <v>987</v>
      </c>
      <c r="F7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LICENCIAS_MEDICAS_CONSULTAS_CUENTAS_CONTABLES</v>
      </c>
      <c r="G73" s="2" t="str">
        <f>CLEAN(PROPER(Tabla_Licencias_Medicas[[#This Row],[Nombre Opción]]))</f>
        <v>Cuentas Contables</v>
      </c>
      <c r="H73" s="2" t="s">
        <v>1735</v>
      </c>
      <c r="I73" s="2" t="str">
        <f>_xlfn.XLOOKUP(Tabla_Licencias_Medicas[[#This Row],[id_padre]],Tabla_Licencias_Medicas[Id],Tabla_Licencias_Medicas[Codigo_Tecnico],"",0,1)</f>
        <v>LICENCIAS_MEDICAS_CONSULTAS</v>
      </c>
      <c r="J7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/licencias-medicas/consultas/cuentas-contables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cuentas-contables</v>
      </c>
      <c r="L73" s="2" t="s">
        <v>1395</v>
      </c>
      <c r="M73" s="2" t="s">
        <v>1801</v>
      </c>
      <c r="N73" s="4" t="s">
        <v>360</v>
      </c>
      <c r="O73" s="4" t="s">
        <v>360</v>
      </c>
      <c r="Q73" s="4" t="s">
        <v>360</v>
      </c>
      <c r="R73" s="4"/>
      <c r="U73" s="4" t="s">
        <v>360</v>
      </c>
      <c r="W73" s="4" t="s">
        <v>360</v>
      </c>
      <c r="X73" s="2" t="str">
        <f>IF(Tabla_Licencias_Medicas[[#This Row],[id_padre]]=Tabla_Licencias_Medicas[[#This Row],[Id]],"NOK","OK")</f>
        <v>OK</v>
      </c>
    </row>
    <row r="74" spans="1:24" hidden="1" x14ac:dyDescent="0.5">
      <c r="A74" s="2">
        <f>MAX(Tabla_Decretos[Id])</f>
        <v>915</v>
      </c>
      <c r="B74">
        <v>919</v>
      </c>
      <c r="C74" s="5">
        <f>IF(Tabla_Licencias_Medicas[[#This Row],[id_padre]]="",0,_xlfn.XLOOKUP(Tabla_Licencias_Medicas[[#This Row],[id_padre]],Tabla_Licencias_Medicas[Id],Tabla_Licencias_Medicas[Nivel],0,0,1)+1)</f>
        <v>2</v>
      </c>
      <c r="D74" s="2" t="s">
        <v>857</v>
      </c>
      <c r="E74">
        <f>IF(Tabla_Licencias_Medicas[[#This Row],[Id_anterior]]=1,ROW()-1,SUM(ROW()-1,Tabla_Licencias_Medicas[[#This Row],[Id_anterior]]))</f>
        <v>988</v>
      </c>
      <c r="F7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LICENCIAS_MEDICAS_CONSULTAS_RESUMEN_LICENCIAS_IMPAGAS</v>
      </c>
      <c r="G74" s="2" t="str">
        <f>CLEAN(PROPER(Tabla_Licencias_Medicas[[#This Row],[Nombre Opción]]))</f>
        <v>Resumen De Licencias Impagas</v>
      </c>
      <c r="H74" s="2" t="s">
        <v>1735</v>
      </c>
      <c r="I74" s="2" t="str">
        <f>_xlfn.XLOOKUP(Tabla_Licencias_Medicas[[#This Row],[id_padre]],Tabla_Licencias_Medicas[Id],Tabla_Licencias_Medicas[Codigo_Tecnico],"",0,1)</f>
        <v>LICENCIAS_MEDICAS_CONSULTAS</v>
      </c>
      <c r="J7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/licencias-medicas/consultas/resumen-licencias-impagas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resumen-licencias-impagas</v>
      </c>
      <c r="L74" s="2" t="s">
        <v>1475</v>
      </c>
      <c r="M74" s="2" t="s">
        <v>1801</v>
      </c>
      <c r="N74" s="4" t="s">
        <v>360</v>
      </c>
      <c r="O74" s="4" t="s">
        <v>360</v>
      </c>
      <c r="Q74" s="4" t="s">
        <v>360</v>
      </c>
      <c r="R74" s="4"/>
      <c r="U74" s="4" t="s">
        <v>360</v>
      </c>
      <c r="W74" s="4" t="s">
        <v>360</v>
      </c>
      <c r="X74" s="2" t="str">
        <f>IF(Tabla_Licencias_Medicas[[#This Row],[id_padre]]=Tabla_Licencias_Medicas[[#This Row],[Id]],"NOK","OK")</f>
        <v>OK</v>
      </c>
    </row>
    <row r="75" spans="1:24" hidden="1" x14ac:dyDescent="0.5">
      <c r="A75" s="2">
        <f>MAX(Tabla_Decretos[Id])</f>
        <v>915</v>
      </c>
      <c r="B75">
        <v>919</v>
      </c>
      <c r="C75" s="5">
        <f>IF(Tabla_Licencias_Medicas[[#This Row],[id_padre]]="",0,_xlfn.XLOOKUP(Tabla_Licencias_Medicas[[#This Row],[id_padre]],Tabla_Licencias_Medicas[Id],Tabla_Licencias_Medicas[Nivel],0,0,1)+1)</f>
        <v>2</v>
      </c>
      <c r="D75" s="2" t="s">
        <v>858</v>
      </c>
      <c r="E75">
        <f>IF(Tabla_Licencias_Medicas[[#This Row],[Id_anterior]]=1,ROW()-1,SUM(ROW()-1,Tabla_Licencias_Medicas[[#This Row],[Id_anterior]]))</f>
        <v>989</v>
      </c>
      <c r="F7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LICENCIAS_MEDICAS_CONSULTAS_RELACION_PAGOS</v>
      </c>
      <c r="G75" s="2" t="str">
        <f>CLEAN(PROPER(Tabla_Licencias_Medicas[[#This Row],[Nombre Opción]]))</f>
        <v>Relacion De Pagos</v>
      </c>
      <c r="H75" s="2" t="s">
        <v>1735</v>
      </c>
      <c r="I75" s="2" t="str">
        <f>_xlfn.XLOOKUP(Tabla_Licencias_Medicas[[#This Row],[id_padre]],Tabla_Licencias_Medicas[Id],Tabla_Licencias_Medicas[Codigo_Tecnico],"",0,1)</f>
        <v>LICENCIAS_MEDICAS_CONSULTAS</v>
      </c>
      <c r="J7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/licencias-medicas/consultas/relacion-pagos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relacion-pagos</v>
      </c>
      <c r="L75" s="2" t="s">
        <v>1392</v>
      </c>
      <c r="M75" s="2" t="s">
        <v>1801</v>
      </c>
      <c r="N75" s="4" t="s">
        <v>360</v>
      </c>
      <c r="O75" s="4" t="s">
        <v>360</v>
      </c>
      <c r="Q75" s="4" t="s">
        <v>360</v>
      </c>
      <c r="R75" s="4"/>
      <c r="U75" s="4" t="s">
        <v>360</v>
      </c>
      <c r="W75" s="4" t="s">
        <v>360</v>
      </c>
      <c r="X75" s="2" t="str">
        <f>IF(Tabla_Licencias_Medicas[[#This Row],[id_padre]]=Tabla_Licencias_Medicas[[#This Row],[Id]],"NOK","OK")</f>
        <v>OK</v>
      </c>
    </row>
    <row r="76" spans="1:24" hidden="1" x14ac:dyDescent="0.5">
      <c r="A76" s="2">
        <f>MAX(Tabla_Decretos[Id])</f>
        <v>915</v>
      </c>
      <c r="B76">
        <v>919</v>
      </c>
      <c r="C76" s="5">
        <f>IF(Tabla_Licencias_Medicas[[#This Row],[id_padre]]="",0,_xlfn.XLOOKUP(Tabla_Licencias_Medicas[[#This Row],[id_padre]],Tabla_Licencias_Medicas[Id],Tabla_Licencias_Medicas[Nivel],0,0,1)+1)</f>
        <v>2</v>
      </c>
      <c r="D76" s="2" t="s">
        <v>859</v>
      </c>
      <c r="E76">
        <f>IF(Tabla_Licencias_Medicas[[#This Row],[Id_anterior]]=1,ROW()-1,SUM(ROW()-1,Tabla_Licencias_Medicas[[#This Row],[Id_anterior]]))</f>
        <v>990</v>
      </c>
      <c r="F7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LICENCIAS_MEDICAS_CONSULTAS_DETALLE_PAGOS_SUBSIDIOS</v>
      </c>
      <c r="G76" s="2" t="str">
        <f>CLEAN(PROPER(Tabla_Licencias_Medicas[[#This Row],[Nombre Opción]]))</f>
        <v>Detalle De Pagos De Subsidios</v>
      </c>
      <c r="H76" s="2" t="s">
        <v>1735</v>
      </c>
      <c r="I76" s="2" t="str">
        <f>_xlfn.XLOOKUP(Tabla_Licencias_Medicas[[#This Row],[id_padre]],Tabla_Licencias_Medicas[Id],Tabla_Licencias_Medicas[Codigo_Tecnico],"",0,1)</f>
        <v>LICENCIAS_MEDICAS_CONSULTAS</v>
      </c>
      <c r="J7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/licencias-medicas/consultas/detalle-pagos-subsidios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detalle-pagos-subsidios</v>
      </c>
      <c r="L76" s="2" t="s">
        <v>1349</v>
      </c>
      <c r="M76" s="2" t="s">
        <v>1801</v>
      </c>
      <c r="N76" s="4" t="s">
        <v>360</v>
      </c>
      <c r="O76" s="4" t="s">
        <v>360</v>
      </c>
      <c r="Q76" s="4" t="s">
        <v>360</v>
      </c>
      <c r="R76" s="4"/>
      <c r="U76" s="4" t="s">
        <v>360</v>
      </c>
      <c r="W76" s="4" t="s">
        <v>360</v>
      </c>
      <c r="X76" s="2" t="str">
        <f>IF(Tabla_Licencias_Medicas[[#This Row],[id_padre]]=Tabla_Licencias_Medicas[[#This Row],[Id]],"NOK","OK")</f>
        <v>OK</v>
      </c>
    </row>
    <row r="77" spans="1:24" hidden="1" x14ac:dyDescent="0.5">
      <c r="A77" s="2">
        <f>MAX(Tabla_Decretos[Id])</f>
        <v>915</v>
      </c>
      <c r="B77">
        <v>920</v>
      </c>
      <c r="C77" s="5">
        <f>IF(Tabla_Licencias_Medicas[[#This Row],[id_padre]]="",0,_xlfn.XLOOKUP(Tabla_Licencias_Medicas[[#This Row],[id_padre]],Tabla_Licencias_Medicas[Id],Tabla_Licencias_Medicas[Nivel],0,0,1)+1)</f>
        <v>2</v>
      </c>
      <c r="D77" s="2" t="s">
        <v>860</v>
      </c>
      <c r="E77">
        <f>IF(Tabla_Licencias_Medicas[[#This Row],[Id_anterior]]=1,ROW()-1,SUM(ROW()-1,Tabla_Licencias_Medicas[[#This Row],[Id_anterior]]))</f>
        <v>991</v>
      </c>
      <c r="F7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LICENCIAS_MEDICAS_INFORMES_LICENCIA_MEDICA_</v>
      </c>
      <c r="G77" s="2" t="str">
        <f>CLEAN(PROPER(Tabla_Licencias_Medicas[[#This Row],[Nombre Opción]]))</f>
        <v xml:space="preserve">Licencia Medica </v>
      </c>
      <c r="H77" s="2" t="s">
        <v>1735</v>
      </c>
      <c r="I77" s="2" t="str">
        <f>_xlfn.XLOOKUP(Tabla_Licencias_Medicas[[#This Row],[id_padre]],Tabla_Licencias_Medicas[Id],Tabla_Licencias_Medicas[Codigo_Tecnico],"",0,1)</f>
        <v>LICENCIAS_MEDICAS_INFORMES</v>
      </c>
      <c r="J7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/licencias-medicas/informes/licencia-medica-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licencia-medica-</v>
      </c>
      <c r="L77" s="2" t="s">
        <v>1587</v>
      </c>
      <c r="M77" s="2" t="s">
        <v>1801</v>
      </c>
      <c r="N77" s="4" t="s">
        <v>360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T77" s="4" t="s">
        <v>360</v>
      </c>
      <c r="V77" s="4" t="s">
        <v>360</v>
      </c>
      <c r="W77" s="4" t="s">
        <v>360</v>
      </c>
      <c r="X77" s="2" t="str">
        <f>IF(Tabla_Licencias_Medicas[[#This Row],[id_padre]]=Tabla_Licencias_Medicas[[#This Row],[Id]],"NOK","OK")</f>
        <v>OK</v>
      </c>
    </row>
    <row r="78" spans="1:24" hidden="1" x14ac:dyDescent="0.5">
      <c r="A78" s="2">
        <f>MAX(Tabla_Decretos[Id])</f>
        <v>915</v>
      </c>
      <c r="B78">
        <v>920</v>
      </c>
      <c r="C78" s="5">
        <f>IF(Tabla_Licencias_Medicas[[#This Row],[id_padre]]="",0,_xlfn.XLOOKUP(Tabla_Licencias_Medicas[[#This Row],[id_padre]],Tabla_Licencias_Medicas[Id],Tabla_Licencias_Medicas[Nivel],0,0,1)+1)</f>
        <v>2</v>
      </c>
      <c r="D78" s="2" t="s">
        <v>820</v>
      </c>
      <c r="E78">
        <f>IF(Tabla_Licencias_Medicas[[#This Row],[Id_anterior]]=1,ROW()-1,SUM(ROW()-1,Tabla_Licencias_Medicas[[#This Row],[Id_anterior]]))</f>
        <v>992</v>
      </c>
      <c r="F7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LICENCIAS_MEDICAS_INFORMES_RESOLUCION_LICENCIA_MEDICA</v>
      </c>
      <c r="G78" s="2" t="str">
        <f>CLEAN(PROPER(Tabla_Licencias_Medicas[[#This Row],[Nombre Opción]]))</f>
        <v>Resolucion Licencia Medica</v>
      </c>
      <c r="H78" s="2" t="s">
        <v>1735</v>
      </c>
      <c r="I78" s="2" t="str">
        <f>_xlfn.XLOOKUP(Tabla_Licencias_Medicas[[#This Row],[id_padre]],Tabla_Licencias_Medicas[Id],Tabla_Licencias_Medicas[Codigo_Tecnico],"",0,1)</f>
        <v>LICENCIAS_MEDICAS_INFORMES</v>
      </c>
      <c r="J7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/licencias-medicas/informes/resolucion-licencia-medica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resolucion-licencia-medica</v>
      </c>
      <c r="L78" s="2" t="s">
        <v>1457</v>
      </c>
      <c r="M78" s="2" t="s">
        <v>1801</v>
      </c>
      <c r="N78" s="4" t="s">
        <v>360</v>
      </c>
      <c r="O78" s="4"/>
      <c r="Q78" s="4"/>
      <c r="R78" s="4"/>
      <c r="W78" s="4" t="s">
        <v>360</v>
      </c>
      <c r="X78" s="2" t="str">
        <f>IF(Tabla_Licencias_Medicas[[#This Row],[id_padre]]=Tabla_Licencias_Medicas[[#This Row],[Id]],"NOK","OK")</f>
        <v>OK</v>
      </c>
    </row>
    <row r="79" spans="1:24" hidden="1" x14ac:dyDescent="0.5">
      <c r="A79" s="2">
        <f>MAX(Tabla_Decretos[Id])</f>
        <v>915</v>
      </c>
      <c r="B79">
        <v>920</v>
      </c>
      <c r="C79" s="5">
        <f>IF(Tabla_Licencias_Medicas[[#This Row],[id_padre]]="",0,_xlfn.XLOOKUP(Tabla_Licencias_Medicas[[#This Row],[id_padre]],Tabla_Licencias_Medicas[Id],Tabla_Licencias_Medicas[Nivel],0,0,1)+1)</f>
        <v>2</v>
      </c>
      <c r="D79" s="2" t="s">
        <v>845</v>
      </c>
      <c r="E79">
        <f>IF(Tabla_Licencias_Medicas[[#This Row],[Id_anterior]]=1,ROW()-1,SUM(ROW()-1,Tabla_Licencias_Medicas[[#This Row],[Id_anterior]]))</f>
        <v>993</v>
      </c>
      <c r="F7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LICENCIAS_MEDICAS_INFORMES_LICENCIAS</v>
      </c>
      <c r="G79" s="2" t="str">
        <f>CLEAN(PROPER(Tabla_Licencias_Medicas[[#This Row],[Nombre Opción]]))</f>
        <v>Licencias</v>
      </c>
      <c r="H79" s="2" t="s">
        <v>1735</v>
      </c>
      <c r="I79" s="2" t="str">
        <f>_xlfn.XLOOKUP(Tabla_Licencias_Medicas[[#This Row],[id_padre]],Tabla_Licencias_Medicas[Id],Tabla_Licencias_Medicas[Codigo_Tecnico],"",0,1)</f>
        <v>LICENCIAS_MEDICAS_INFORMES</v>
      </c>
      <c r="J7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/licencias-medicas/informes/licencias</v>
      </c>
      <c r="K7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licencias</v>
      </c>
      <c r="L79" s="2" t="s">
        <v>1581</v>
      </c>
      <c r="M79" s="2" t="s">
        <v>1801</v>
      </c>
      <c r="N79" s="4" t="s">
        <v>360</v>
      </c>
      <c r="O79" s="4" t="s">
        <v>360</v>
      </c>
      <c r="P79" s="4" t="s">
        <v>360</v>
      </c>
      <c r="Q79" s="4" t="s">
        <v>360</v>
      </c>
      <c r="R79" s="4" t="s">
        <v>360</v>
      </c>
      <c r="S79" s="4" t="s">
        <v>360</v>
      </c>
      <c r="T79" s="4" t="s">
        <v>360</v>
      </c>
      <c r="W79" s="4" t="s">
        <v>360</v>
      </c>
      <c r="X79" s="2" t="str">
        <f>IF(Tabla_Licencias_Medicas[[#This Row],[id_padre]]=Tabla_Licencias_Medicas[[#This Row],[Id]],"NOK","OK")</f>
        <v>OK</v>
      </c>
    </row>
    <row r="80" spans="1:24" hidden="1" x14ac:dyDescent="0.5">
      <c r="A80" s="2">
        <f>MAX(Tabla_Decretos[Id])</f>
        <v>915</v>
      </c>
      <c r="B80">
        <v>993</v>
      </c>
      <c r="C80" s="5">
        <f>IF(Tabla_Licencias_Medicas[[#This Row],[id_padre]]="",0,_xlfn.XLOOKUP(Tabla_Licencias_Medicas[[#This Row],[id_padre]],Tabla_Licencias_Medicas[Id],Tabla_Licencias_Medicas[Nivel],0,0,1)+1)</f>
        <v>3</v>
      </c>
      <c r="D80" s="2" t="s">
        <v>846</v>
      </c>
      <c r="E80">
        <f>IF(Tabla_Licencias_Medicas[[#This Row],[Id_anterior]]=1,ROW()-1,SUM(ROW()-1,Tabla_Licencias_Medicas[[#This Row],[Id_anterior]]))</f>
        <v>994</v>
      </c>
      <c r="F8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LICENCIAS_MEDICAS_INFORMES_LICENCIAS_PERMISOS_POR_FUNCIONARIO</v>
      </c>
      <c r="G80" s="2" t="str">
        <f>CLEAN(PROPER(Tabla_Licencias_Medicas[[#This Row],[Nombre Opción]]))</f>
        <v>Permisos Por Funcionario</v>
      </c>
      <c r="H80" s="2" t="s">
        <v>1735</v>
      </c>
      <c r="I80" s="2" t="str">
        <f>_xlfn.XLOOKUP(Tabla_Licencias_Medicas[[#This Row],[id_padre]],Tabla_Licencias_Medicas[Id],Tabla_Licencias_Medicas[Codigo_Tecnico],"",0,1)</f>
        <v>LICENCIAS_MEDICAS_INFORMES_LICENCIAS</v>
      </c>
      <c r="J8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/licencias-medicas/informes/licencias/permisos-por-funcionario</v>
      </c>
      <c r="K8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permisos-por-funcionario</v>
      </c>
      <c r="L80" s="2" t="s">
        <v>1594</v>
      </c>
      <c r="M80" s="2" t="s">
        <v>1801</v>
      </c>
      <c r="N80" s="4" t="s">
        <v>360</v>
      </c>
      <c r="O80" s="4" t="s">
        <v>360</v>
      </c>
      <c r="P80" s="4" t="s">
        <v>360</v>
      </c>
      <c r="Q80" s="4" t="s">
        <v>360</v>
      </c>
      <c r="R80" s="4" t="s">
        <v>360</v>
      </c>
      <c r="S80" s="4" t="s">
        <v>360</v>
      </c>
      <c r="T80" s="4" t="s">
        <v>360</v>
      </c>
      <c r="W80" s="4" t="s">
        <v>360</v>
      </c>
      <c r="X80" s="2" t="str">
        <f>IF(Tabla_Licencias_Medicas[[#This Row],[id_padre]]=Tabla_Licencias_Medicas[[#This Row],[Id]],"NOK","OK")</f>
        <v>OK</v>
      </c>
    </row>
    <row r="81" spans="1:24" hidden="1" x14ac:dyDescent="0.5">
      <c r="A81" s="2">
        <f>MAX(Tabla_Decretos[Id])</f>
        <v>915</v>
      </c>
      <c r="B81">
        <v>993</v>
      </c>
      <c r="C81" s="5">
        <f>IF(Tabla_Licencias_Medicas[[#This Row],[id_padre]]="",0,_xlfn.XLOOKUP(Tabla_Licencias_Medicas[[#This Row],[id_padre]],Tabla_Licencias_Medicas[Id],Tabla_Licencias_Medicas[Nivel],0,0,1)+1)</f>
        <v>3</v>
      </c>
      <c r="D81" s="2" t="s">
        <v>847</v>
      </c>
      <c r="E81">
        <f>IF(Tabla_Licencias_Medicas[[#This Row],[Id_anterior]]=1,ROW()-1,SUM(ROW()-1,Tabla_Licencias_Medicas[[#This Row],[Id_anterior]]))</f>
        <v>995</v>
      </c>
      <c r="F8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LICENCIAS_MEDICAS_INFORMES_LICENCIAS_PERMISOS_POR_ESTADO</v>
      </c>
      <c r="G81" s="2" t="str">
        <f>CLEAN(PROPER(Tabla_Licencias_Medicas[[#This Row],[Nombre Opción]]))</f>
        <v>Permisos Por Estado</v>
      </c>
      <c r="H81" s="2" t="s">
        <v>1735</v>
      </c>
      <c r="I81" s="2" t="str">
        <f>_xlfn.XLOOKUP(Tabla_Licencias_Medicas[[#This Row],[id_padre]],Tabla_Licencias_Medicas[Id],Tabla_Licencias_Medicas[Codigo_Tecnico],"",0,1)</f>
        <v>LICENCIAS_MEDICAS_INFORMES_LICENCIAS</v>
      </c>
      <c r="J8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/licencias-medicas/informes/licencias/permisos-por-estado</v>
      </c>
      <c r="K8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permisos-por-estado</v>
      </c>
      <c r="L81" s="2" t="s">
        <v>1424</v>
      </c>
      <c r="M81" s="2" t="s">
        <v>1801</v>
      </c>
      <c r="N81" s="4" t="s">
        <v>360</v>
      </c>
      <c r="O81" s="4" t="s">
        <v>360</v>
      </c>
      <c r="P81" s="4" t="s">
        <v>360</v>
      </c>
      <c r="Q81" s="4" t="s">
        <v>360</v>
      </c>
      <c r="R81" s="4" t="s">
        <v>360</v>
      </c>
      <c r="S81" s="4" t="s">
        <v>360</v>
      </c>
      <c r="T81" s="4" t="s">
        <v>360</v>
      </c>
      <c r="W81" s="4" t="s">
        <v>360</v>
      </c>
      <c r="X81" s="2" t="str">
        <f>IF(Tabla_Licencias_Medicas[[#This Row],[id_padre]]=Tabla_Licencias_Medicas[[#This Row],[Id]],"NOK","OK")</f>
        <v>OK</v>
      </c>
    </row>
    <row r="82" spans="1:24" hidden="1" x14ac:dyDescent="0.5">
      <c r="A82" s="2">
        <f>MAX(Tabla_Decretos[Id])</f>
        <v>915</v>
      </c>
      <c r="B82">
        <v>993</v>
      </c>
      <c r="C82" s="5">
        <f>IF(Tabla_Licencias_Medicas[[#This Row],[id_padre]]="",0,_xlfn.XLOOKUP(Tabla_Licencias_Medicas[[#This Row],[id_padre]],Tabla_Licencias_Medicas[Id],Tabla_Licencias_Medicas[Nivel],0,0,1)+1)</f>
        <v>3</v>
      </c>
      <c r="D82" s="2" t="s">
        <v>848</v>
      </c>
      <c r="E82">
        <f>IF(Tabla_Licencias_Medicas[[#This Row],[Id_anterior]]=1,ROW()-1,SUM(ROW()-1,Tabla_Licencias_Medicas[[#This Row],[Id_anterior]]))</f>
        <v>996</v>
      </c>
      <c r="F8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LICENCIAS_MEDICAS_INFORMES_LICENCIAS_PERMISOS_POR_SISTEMA_SALUD</v>
      </c>
      <c r="G82" s="2" t="str">
        <f>CLEAN(PROPER(Tabla_Licencias_Medicas[[#This Row],[Nombre Opción]]))</f>
        <v>Permisos Por Sistema De Salud</v>
      </c>
      <c r="H82" s="2" t="s">
        <v>1735</v>
      </c>
      <c r="I82" s="2" t="str">
        <f>_xlfn.XLOOKUP(Tabla_Licencias_Medicas[[#This Row],[id_padre]],Tabla_Licencias_Medicas[Id],Tabla_Licencias_Medicas[Codigo_Tecnico],"",0,1)</f>
        <v>LICENCIAS_MEDICAS_INFORMES_LICENCIAS</v>
      </c>
      <c r="J8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/licencias-medicas/informes/licencias/permisos-por-sistema-salud</v>
      </c>
      <c r="K8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permisos-por-sistema-salud</v>
      </c>
      <c r="L82" s="2" t="s">
        <v>1585</v>
      </c>
      <c r="M82" s="2" t="s">
        <v>1801</v>
      </c>
      <c r="N82" s="4" t="s">
        <v>360</v>
      </c>
      <c r="O82" s="4" t="s">
        <v>360</v>
      </c>
      <c r="P82" s="4" t="s">
        <v>360</v>
      </c>
      <c r="Q82" s="4" t="s">
        <v>360</v>
      </c>
      <c r="R82" s="4" t="s">
        <v>360</v>
      </c>
      <c r="S82" s="4" t="s">
        <v>360</v>
      </c>
      <c r="T82" s="4" t="s">
        <v>360</v>
      </c>
      <c r="W82" s="4" t="s">
        <v>360</v>
      </c>
      <c r="X82" s="2" t="str">
        <f>IF(Tabla_Licencias_Medicas[[#This Row],[id_padre]]=Tabla_Licencias_Medicas[[#This Row],[Id]],"NOK","OK")</f>
        <v>OK</v>
      </c>
    </row>
    <row r="83" spans="1:24" hidden="1" x14ac:dyDescent="0.5">
      <c r="A83" s="2">
        <f>MAX(Tabla_Decretos[Id])</f>
        <v>915</v>
      </c>
      <c r="B83">
        <v>993</v>
      </c>
      <c r="C83" s="5">
        <f>IF(Tabla_Licencias_Medicas[[#This Row],[id_padre]]="",0,_xlfn.XLOOKUP(Tabla_Licencias_Medicas[[#This Row],[id_padre]],Tabla_Licencias_Medicas[Id],Tabla_Licencias_Medicas[Nivel],0,0,1)+1)</f>
        <v>3</v>
      </c>
      <c r="D83" s="2" t="s">
        <v>849</v>
      </c>
      <c r="E83">
        <f>IF(Tabla_Licencias_Medicas[[#This Row],[Id_anterior]]=1,ROW()-1,SUM(ROW()-1,Tabla_Licencias_Medicas[[#This Row],[Id_anterior]]))</f>
        <v>997</v>
      </c>
      <c r="F8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LICENCIAS_MEDICAS_INFORMES_LICENCIAS_PERMISOS_POR_TIPO_CONTRATO</v>
      </c>
      <c r="G83" s="2" t="str">
        <f>CLEAN(PROPER(Tabla_Licencias_Medicas[[#This Row],[Nombre Opción]]))</f>
        <v>Permisos Por Tipo De Contrato</v>
      </c>
      <c r="H83" s="2" t="s">
        <v>1735</v>
      </c>
      <c r="I83" s="2" t="str">
        <f>_xlfn.XLOOKUP(Tabla_Licencias_Medicas[[#This Row],[id_padre]],Tabla_Licencias_Medicas[Id],Tabla_Licencias_Medicas[Codigo_Tecnico],"",0,1)</f>
        <v>LICENCIAS_MEDICAS_INFORMES_LICENCIAS</v>
      </c>
      <c r="J8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/licencias-medicas/informes/licencias/permisos-por-tipo-contrato</v>
      </c>
      <c r="K8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permisos-por-tipo-contrato</v>
      </c>
      <c r="L83" s="2" t="s">
        <v>1343</v>
      </c>
      <c r="M83" s="2" t="s">
        <v>1801</v>
      </c>
      <c r="N83" s="4" t="s">
        <v>360</v>
      </c>
      <c r="O83" s="4" t="s">
        <v>360</v>
      </c>
      <c r="P83" s="4" t="s">
        <v>360</v>
      </c>
      <c r="Q83" s="4" t="s">
        <v>360</v>
      </c>
      <c r="R83" s="4" t="s">
        <v>360</v>
      </c>
      <c r="S83" s="4" t="s">
        <v>360</v>
      </c>
      <c r="T83" s="4" t="s">
        <v>360</v>
      </c>
      <c r="W83" s="4" t="s">
        <v>360</v>
      </c>
      <c r="X83" s="2" t="str">
        <f>IF(Tabla_Licencias_Medicas[[#This Row],[id_padre]]=Tabla_Licencias_Medicas[[#This Row],[Id]],"NOK","OK")</f>
        <v>OK</v>
      </c>
    </row>
    <row r="84" spans="1:24" hidden="1" x14ac:dyDescent="0.5">
      <c r="A84" s="2">
        <f>MAX(Tabla_Decretos[Id])</f>
        <v>915</v>
      </c>
      <c r="B84">
        <v>993</v>
      </c>
      <c r="C84" s="5">
        <f>IF(Tabla_Licencias_Medicas[[#This Row],[id_padre]]="",0,_xlfn.XLOOKUP(Tabla_Licencias_Medicas[[#This Row],[id_padre]],Tabla_Licencias_Medicas[Id],Tabla_Licencias_Medicas[Nivel],0,0,1)+1)</f>
        <v>3</v>
      </c>
      <c r="D84" s="2" t="s">
        <v>850</v>
      </c>
      <c r="E84">
        <f>IF(Tabla_Licencias_Medicas[[#This Row],[Id_anterior]]=1,ROW()-1,SUM(ROW()-1,Tabla_Licencias_Medicas[[#This Row],[Id_anterior]]))</f>
        <v>998</v>
      </c>
      <c r="F8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LICENCIAS_MEDICAS_INFORMES_LICENCIAS_PERMISOS_POR_TIPO_LICENCIA</v>
      </c>
      <c r="G84" s="2" t="str">
        <f>CLEAN(PROPER(Tabla_Licencias_Medicas[[#This Row],[Nombre Opción]]))</f>
        <v>Permisos Por Tipo De Licencia</v>
      </c>
      <c r="H84" s="2" t="s">
        <v>1735</v>
      </c>
      <c r="I84" s="2" t="str">
        <f>_xlfn.XLOOKUP(Tabla_Licencias_Medicas[[#This Row],[id_padre]],Tabla_Licencias_Medicas[Id],Tabla_Licencias_Medicas[Codigo_Tecnico],"",0,1)</f>
        <v>LICENCIAS_MEDICAS_INFORMES_LICENCIAS</v>
      </c>
      <c r="J8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/licencias-medicas/informes/licencias/permisos-por-tipo-licencia</v>
      </c>
      <c r="K8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permisos-por-tipo-licencia</v>
      </c>
      <c r="L84" s="2" t="s">
        <v>1407</v>
      </c>
      <c r="M84" s="2" t="s">
        <v>1801</v>
      </c>
      <c r="N84" s="4" t="s">
        <v>360</v>
      </c>
      <c r="O84" s="4" t="s">
        <v>360</v>
      </c>
      <c r="P84" s="4" t="s">
        <v>360</v>
      </c>
      <c r="Q84" s="4" t="s">
        <v>360</v>
      </c>
      <c r="R84" s="4" t="s">
        <v>360</v>
      </c>
      <c r="S84" s="4" t="s">
        <v>360</v>
      </c>
      <c r="T84" s="4" t="s">
        <v>360</v>
      </c>
      <c r="W84" s="4" t="s">
        <v>360</v>
      </c>
      <c r="X84" s="2" t="str">
        <f>IF(Tabla_Licencias_Medicas[[#This Row],[id_padre]]=Tabla_Licencias_Medicas[[#This Row],[Id]],"NOK","OK")</f>
        <v>OK</v>
      </c>
    </row>
    <row r="85" spans="1:24" hidden="1" x14ac:dyDescent="0.5">
      <c r="A85" s="2">
        <f>MAX(Tabla_Decretos[Id])</f>
        <v>915</v>
      </c>
      <c r="B85">
        <v>993</v>
      </c>
      <c r="C85" s="5">
        <f>IF(Tabla_Licencias_Medicas[[#This Row],[id_padre]]="",0,_xlfn.XLOOKUP(Tabla_Licencias_Medicas[[#This Row],[id_padre]],Tabla_Licencias_Medicas[Id],Tabla_Licencias_Medicas[Nivel],0,0,1)+1)</f>
        <v>3</v>
      </c>
      <c r="D85" s="2" t="s">
        <v>851</v>
      </c>
      <c r="E85">
        <f>IF(Tabla_Licencias_Medicas[[#This Row],[Id_anterior]]=1,ROW()-1,SUM(ROW()-1,Tabla_Licencias_Medicas[[#This Row],[Id_anterior]]))</f>
        <v>999</v>
      </c>
      <c r="F8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LICENCIAS_MEDICAS_INFORMES_LICENCIAS_PERMISOS__POR_UNIDAD</v>
      </c>
      <c r="G85" s="2" t="str">
        <f>CLEAN(PROPER(Tabla_Licencias_Medicas[[#This Row],[Nombre Opción]]))</f>
        <v>Permisos  Por Unidad</v>
      </c>
      <c r="H85" s="2" t="s">
        <v>1735</v>
      </c>
      <c r="I85" s="2" t="str">
        <f>_xlfn.XLOOKUP(Tabla_Licencias_Medicas[[#This Row],[id_padre]],Tabla_Licencias_Medicas[Id],Tabla_Licencias_Medicas[Codigo_Tecnico],"",0,1)</f>
        <v>LICENCIAS_MEDICAS_INFORMES_LICENCIAS</v>
      </c>
      <c r="J8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/licencias-medicas/informes/licencias/permisos--por-unidad</v>
      </c>
      <c r="K8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permisos--por-unidad</v>
      </c>
      <c r="L85" s="2" t="s">
        <v>1341</v>
      </c>
      <c r="M85" s="2" t="s">
        <v>1801</v>
      </c>
      <c r="N85" s="4" t="s">
        <v>360</v>
      </c>
      <c r="O85" s="4" t="s">
        <v>360</v>
      </c>
      <c r="P85" s="4" t="s">
        <v>360</v>
      </c>
      <c r="Q85" s="4" t="s">
        <v>360</v>
      </c>
      <c r="R85" s="4" t="s">
        <v>360</v>
      </c>
      <c r="S85" s="4" t="s">
        <v>360</v>
      </c>
      <c r="T85" s="4" t="s">
        <v>360</v>
      </c>
      <c r="W85" s="4" t="s">
        <v>360</v>
      </c>
      <c r="X85" s="2" t="str">
        <f>IF(Tabla_Licencias_Medicas[[#This Row],[id_padre]]=Tabla_Licencias_Medicas[[#This Row],[Id]],"NOK","OK")</f>
        <v>OK</v>
      </c>
    </row>
    <row r="86" spans="1:24" hidden="1" x14ac:dyDescent="0.5">
      <c r="A86" s="2">
        <f>MAX(Tabla_Decretos[Id])</f>
        <v>915</v>
      </c>
      <c r="B86">
        <v>993</v>
      </c>
      <c r="C86" s="5">
        <f>IF(Tabla_Licencias_Medicas[[#This Row],[id_padre]]="",0,_xlfn.XLOOKUP(Tabla_Licencias_Medicas[[#This Row],[id_padre]],Tabla_Licencias_Medicas[Id],Tabla_Licencias_Medicas[Nivel],0,0,1)+1)</f>
        <v>3</v>
      </c>
      <c r="D86" s="2" t="s">
        <v>854</v>
      </c>
      <c r="E86">
        <f>IF(Tabla_Licencias_Medicas[[#This Row],[Id_anterior]]=1,ROW()-1,SUM(ROW()-1,Tabla_Licencias_Medicas[[#This Row],[Id_anterior]]))</f>
        <v>1000</v>
      </c>
      <c r="F8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LICENCIAS_MEDICAS_INFORMES_LICENCIAS_PERMISOS_POR_UNIDAD_DEPENDENCIA</v>
      </c>
      <c r="G86" s="2" t="str">
        <f>CLEAN(PROPER(Tabla_Licencias_Medicas[[#This Row],[Nombre Opción]]))</f>
        <v>Permisos Por Unidad Dependencia</v>
      </c>
      <c r="H86" s="2" t="s">
        <v>1735</v>
      </c>
      <c r="I86" s="2" t="str">
        <f>_xlfn.XLOOKUP(Tabla_Licencias_Medicas[[#This Row],[id_padre]],Tabla_Licencias_Medicas[Id],Tabla_Licencias_Medicas[Codigo_Tecnico],"",0,1)</f>
        <v>LICENCIAS_MEDICAS_INFORMES_LICENCIAS</v>
      </c>
      <c r="J8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/licencias-medicas/informes/licencias/permisos-por-unidad-dependencia</v>
      </c>
      <c r="K8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permisos-por-unidad-dependencia</v>
      </c>
      <c r="L86" s="2" t="s">
        <v>1389</v>
      </c>
      <c r="M86" s="2" t="s">
        <v>1801</v>
      </c>
      <c r="N86" s="4" t="s">
        <v>360</v>
      </c>
      <c r="O86" s="4" t="s">
        <v>360</v>
      </c>
      <c r="P86" s="4" t="s">
        <v>360</v>
      </c>
      <c r="Q86" s="4" t="s">
        <v>360</v>
      </c>
      <c r="R86" s="4" t="s">
        <v>360</v>
      </c>
      <c r="S86" s="4" t="s">
        <v>360</v>
      </c>
      <c r="T86" s="4" t="s">
        <v>360</v>
      </c>
      <c r="V86" s="4" t="s">
        <v>360</v>
      </c>
      <c r="W86" s="4" t="s">
        <v>360</v>
      </c>
      <c r="X86" s="2" t="str">
        <f>IF(Tabla_Licencias_Medicas[[#This Row],[id_padre]]=Tabla_Licencias_Medicas[[#This Row],[Id]],"NOK","OK")</f>
        <v>OK</v>
      </c>
    </row>
    <row r="87" spans="1:24" hidden="1" x14ac:dyDescent="0.5">
      <c r="A87" s="2">
        <f>MAX(Tabla_Decretos[Id])</f>
        <v>915</v>
      </c>
      <c r="B87">
        <v>920</v>
      </c>
      <c r="C87" s="5">
        <f>IF(Tabla_Licencias_Medicas[[#This Row],[id_padre]]="",0,_xlfn.XLOOKUP(Tabla_Licencias_Medicas[[#This Row],[id_padre]],Tabla_Licencias_Medicas[Id],Tabla_Licencias_Medicas[Nivel],0,0,1)+1)</f>
        <v>2</v>
      </c>
      <c r="D87" s="2" t="s">
        <v>852</v>
      </c>
      <c r="E87">
        <f>IF(Tabla_Licencias_Medicas[[#This Row],[Id_anterior]]=1,ROW()-1,SUM(ROW()-1,Tabla_Licencias_Medicas[[#This Row],[Id_anterior]]))</f>
        <v>1001</v>
      </c>
      <c r="F8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LICENCIAS_MEDICAS_INFORMES_BITACORA_ESPECIFICA</v>
      </c>
      <c r="G87" s="2" t="str">
        <f>CLEAN(PROPER(Tabla_Licencias_Medicas[[#This Row],[Nombre Opción]]))</f>
        <v>Bitácora Especifica</v>
      </c>
      <c r="H87" s="2" t="s">
        <v>1735</v>
      </c>
      <c r="I87" s="2" t="str">
        <f>_xlfn.XLOOKUP(Tabla_Licencias_Medicas[[#This Row],[id_padre]],Tabla_Licencias_Medicas[Id],Tabla_Licencias_Medicas[Codigo_Tecnico],"",0,1)</f>
        <v>LICENCIAS_MEDICAS_INFORMES</v>
      </c>
      <c r="J8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/licencias-medicas/informes/bitacora-especifica</v>
      </c>
      <c r="K8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bitacora-especifica</v>
      </c>
      <c r="L87" s="2" t="s">
        <v>1432</v>
      </c>
      <c r="M87" s="2" t="s">
        <v>1801</v>
      </c>
      <c r="N87" s="4" t="s">
        <v>360</v>
      </c>
      <c r="O87" s="4" t="s">
        <v>360</v>
      </c>
      <c r="P87" s="4" t="s">
        <v>360</v>
      </c>
      <c r="Q87" s="4" t="s">
        <v>360</v>
      </c>
      <c r="R87" s="4" t="s">
        <v>360</v>
      </c>
      <c r="S87" s="4" t="s">
        <v>360</v>
      </c>
      <c r="T87" s="4" t="s">
        <v>360</v>
      </c>
      <c r="V87" s="4" t="s">
        <v>360</v>
      </c>
      <c r="W87" s="4" t="s">
        <v>360</v>
      </c>
      <c r="X87" s="2" t="str">
        <f>IF(Tabla_Licencias_Medicas[[#This Row],[id_padre]]=Tabla_Licencias_Medicas[[#This Row],[Id]],"NOK","OK")</f>
        <v>OK</v>
      </c>
    </row>
    <row r="88" spans="1:24" hidden="1" x14ac:dyDescent="0.5">
      <c r="A88" s="2">
        <f>MAX(Tabla_Decretos[Id])</f>
        <v>915</v>
      </c>
      <c r="B88">
        <v>920</v>
      </c>
      <c r="C88" s="5">
        <f>IF(Tabla_Licencias_Medicas[[#This Row],[id_padre]]="",0,_xlfn.XLOOKUP(Tabla_Licencias_Medicas[[#This Row],[id_padre]],Tabla_Licencias_Medicas[Id],Tabla_Licencias_Medicas[Nivel],0,0,1)+1)</f>
        <v>2</v>
      </c>
      <c r="D88" s="2" t="s">
        <v>861</v>
      </c>
      <c r="E88">
        <f>IF(Tabla_Licencias_Medicas[[#This Row],[Id_anterior]]=1,ROW()-1,SUM(ROW()-1,Tabla_Licencias_Medicas[[#This Row],[Id_anterior]]))</f>
        <v>1002</v>
      </c>
      <c r="F88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LICENCIAS_MEDICAS_INFORMES_BITACORA_POR_UNIDAD</v>
      </c>
      <c r="G88" s="2" t="str">
        <f>CLEAN(PROPER(Tabla_Licencias_Medicas[[#This Row],[Nombre Opción]]))</f>
        <v>Bitácora Por Unidad</v>
      </c>
      <c r="H88" s="2" t="s">
        <v>1735</v>
      </c>
      <c r="I88" s="2" t="str">
        <f>_xlfn.XLOOKUP(Tabla_Licencias_Medicas[[#This Row],[id_padre]],Tabla_Licencias_Medicas[Id],Tabla_Licencias_Medicas[Codigo_Tecnico],"",0,1)</f>
        <v>LICENCIAS_MEDICAS_INFORMES</v>
      </c>
      <c r="J88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/licencias-medicas/informes/bitacora-por-unidad</v>
      </c>
      <c r="K88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bitacora-por-unidad</v>
      </c>
      <c r="L88" s="2" t="s">
        <v>1595</v>
      </c>
      <c r="M88" s="2" t="s">
        <v>1801</v>
      </c>
      <c r="N88" s="4" t="s">
        <v>360</v>
      </c>
      <c r="O88" s="4" t="s">
        <v>360</v>
      </c>
      <c r="P88" s="4" t="s">
        <v>360</v>
      </c>
      <c r="Q88" s="4" t="s">
        <v>360</v>
      </c>
      <c r="R88" s="4" t="s">
        <v>360</v>
      </c>
      <c r="S88" s="4" t="s">
        <v>360</v>
      </c>
      <c r="T88" s="4" t="s">
        <v>360</v>
      </c>
      <c r="V88" s="4" t="s">
        <v>360</v>
      </c>
      <c r="W88" s="4" t="s">
        <v>360</v>
      </c>
      <c r="X88" s="2" t="str">
        <f>IF(Tabla_Licencias_Medicas[[#This Row],[id_padre]]=Tabla_Licencias_Medicas[[#This Row],[Id]],"NOK","OK")</f>
        <v>OK</v>
      </c>
    </row>
    <row r="89" spans="1:24" hidden="1" x14ac:dyDescent="0.5">
      <c r="A89" s="2">
        <f>MAX(Tabla_Decretos[Id])</f>
        <v>915</v>
      </c>
      <c r="B89">
        <v>920</v>
      </c>
      <c r="C89" s="5">
        <f>IF(Tabla_Licencias_Medicas[[#This Row],[id_padre]]="",0,_xlfn.XLOOKUP(Tabla_Licencias_Medicas[[#This Row],[id_padre]],Tabla_Licencias_Medicas[Id],Tabla_Licencias_Medicas[Nivel],0,0,1)+1)</f>
        <v>2</v>
      </c>
      <c r="D89" s="2" t="s">
        <v>853</v>
      </c>
      <c r="E89">
        <f>IF(Tabla_Licencias_Medicas[[#This Row],[Id_anterior]]=1,ROW()-1,SUM(ROW()-1,Tabla_Licencias_Medicas[[#This Row],[Id_anterior]]))</f>
        <v>1003</v>
      </c>
      <c r="F89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LICENCIAS_MEDICAS_INFORMES_DETALLE_TRAMITACION_ESPECIFICA</v>
      </c>
      <c r="G89" s="2" t="str">
        <f>CLEAN(PROPER(Tabla_Licencias_Medicas[[#This Row],[Nombre Opción]]))</f>
        <v>Detalle De Tramitación Especifica</v>
      </c>
      <c r="H89" s="2" t="s">
        <v>1735</v>
      </c>
      <c r="I89" s="2" t="str">
        <f>_xlfn.XLOOKUP(Tabla_Licencias_Medicas[[#This Row],[id_padre]],Tabla_Licencias_Medicas[Id],Tabla_Licencias_Medicas[Codigo_Tecnico],"",0,1)</f>
        <v>LICENCIAS_MEDICAS_INFORMES</v>
      </c>
      <c r="J89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/licencias-medicas/informes/detalle-tramitacion-especifica</v>
      </c>
      <c r="K89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detalle-tramitacion-especifica</v>
      </c>
      <c r="L89" s="2" t="s">
        <v>1370</v>
      </c>
      <c r="M89" s="2" t="s">
        <v>1801</v>
      </c>
      <c r="N89" s="4" t="s">
        <v>360</v>
      </c>
      <c r="O89" s="4" t="s">
        <v>360</v>
      </c>
      <c r="P89" s="4" t="s">
        <v>360</v>
      </c>
      <c r="Q89" s="4" t="s">
        <v>360</v>
      </c>
      <c r="R89" s="4" t="s">
        <v>360</v>
      </c>
      <c r="S89" s="4" t="s">
        <v>360</v>
      </c>
      <c r="T89" s="4" t="s">
        <v>360</v>
      </c>
      <c r="V89" s="4" t="s">
        <v>360</v>
      </c>
      <c r="W89" s="4" t="s">
        <v>360</v>
      </c>
      <c r="X89" s="2" t="str">
        <f>IF(Tabla_Licencias_Medicas[[#This Row],[id_padre]]=Tabla_Licencias_Medicas[[#This Row],[Id]],"NOK","OK")</f>
        <v>OK</v>
      </c>
    </row>
    <row r="90" spans="1:24" hidden="1" x14ac:dyDescent="0.5">
      <c r="A90" s="2">
        <f>MAX(Tabla_Decretos[Id])</f>
        <v>915</v>
      </c>
      <c r="B90">
        <v>920</v>
      </c>
      <c r="C90" s="5">
        <f>IF(Tabla_Licencias_Medicas[[#This Row],[id_padre]]="",0,_xlfn.XLOOKUP(Tabla_Licencias_Medicas[[#This Row],[id_padre]],Tabla_Licencias_Medicas[Id],Tabla_Licencias_Medicas[Nivel],0,0,1)+1)</f>
        <v>2</v>
      </c>
      <c r="D90" s="2" t="s">
        <v>862</v>
      </c>
      <c r="E90">
        <f>IF(Tabla_Licencias_Medicas[[#This Row],[Id_anterior]]=1,ROW()-1,SUM(ROW()-1,Tabla_Licencias_Medicas[[#This Row],[Id_anterior]]))</f>
        <v>1004</v>
      </c>
      <c r="F90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LICENCIAS_MEDICAS_INFORMES_SOLICITUD_COBRANZA</v>
      </c>
      <c r="G90" s="2" t="str">
        <f>CLEAN(PROPER(Tabla_Licencias_Medicas[[#This Row],[Nombre Opción]]))</f>
        <v>Solicitud De Cobranza</v>
      </c>
      <c r="H90" s="2" t="s">
        <v>1735</v>
      </c>
      <c r="I90" s="2" t="str">
        <f>_xlfn.XLOOKUP(Tabla_Licencias_Medicas[[#This Row],[id_padre]],Tabla_Licencias_Medicas[Id],Tabla_Licencias_Medicas[Codigo_Tecnico],"",0,1)</f>
        <v>LICENCIAS_MEDICAS_INFORMES</v>
      </c>
      <c r="J90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/licencias-medicas/informes/solicitud-cobranza</v>
      </c>
      <c r="K90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solicitud-cobranza</v>
      </c>
      <c r="L90" s="2" t="s">
        <v>1415</v>
      </c>
      <c r="M90" s="2" t="s">
        <v>1801</v>
      </c>
      <c r="N90" s="4" t="s">
        <v>360</v>
      </c>
      <c r="O90" s="4" t="s">
        <v>360</v>
      </c>
      <c r="Q90" s="4" t="s">
        <v>360</v>
      </c>
      <c r="R90" s="4"/>
      <c r="U90" s="4" t="s">
        <v>360</v>
      </c>
      <c r="W90" s="4" t="s">
        <v>360</v>
      </c>
      <c r="X90" s="2" t="str">
        <f>IF(Tabla_Licencias_Medicas[[#This Row],[id_padre]]=Tabla_Licencias_Medicas[[#This Row],[Id]],"NOK","OK")</f>
        <v>OK</v>
      </c>
    </row>
    <row r="91" spans="1:24" hidden="1" x14ac:dyDescent="0.5">
      <c r="A91" s="2">
        <f>MAX(Tabla_Decretos[Id])</f>
        <v>915</v>
      </c>
      <c r="B91">
        <v>920</v>
      </c>
      <c r="C91" s="5">
        <f>IF(Tabla_Licencias_Medicas[[#This Row],[id_padre]]="",0,_xlfn.XLOOKUP(Tabla_Licencias_Medicas[[#This Row],[id_padre]],Tabla_Licencias_Medicas[Id],Tabla_Licencias_Medicas[Nivel],0,0,1)+1)</f>
        <v>2</v>
      </c>
      <c r="D91" s="2" t="s">
        <v>863</v>
      </c>
      <c r="E91">
        <f>IF(Tabla_Licencias_Medicas[[#This Row],[Id_anterior]]=1,ROW()-1,SUM(ROW()-1,Tabla_Licencias_Medicas[[#This Row],[Id_anterior]]))</f>
        <v>1005</v>
      </c>
      <c r="F91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LICENCIAS_MEDICAS_INFORMES_RELACION_COBRANZA</v>
      </c>
      <c r="G91" s="2" t="str">
        <f>CLEAN(PROPER(Tabla_Licencias_Medicas[[#This Row],[Nombre Opción]]))</f>
        <v>Relacion De Cobranza</v>
      </c>
      <c r="H91" s="2" t="s">
        <v>1735</v>
      </c>
      <c r="I91" s="2" t="str">
        <f>_xlfn.XLOOKUP(Tabla_Licencias_Medicas[[#This Row],[id_padre]],Tabla_Licencias_Medicas[Id],Tabla_Licencias_Medicas[Codigo_Tecnico],"",0,1)</f>
        <v>LICENCIAS_MEDICAS_INFORMES</v>
      </c>
      <c r="J91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/licencias-medicas/informes/relacion-cobranza</v>
      </c>
      <c r="K91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relacion-cobranza</v>
      </c>
      <c r="L91" s="2" t="s">
        <v>1369</v>
      </c>
      <c r="M91" s="2" t="s">
        <v>1801</v>
      </c>
      <c r="N91" s="4" t="s">
        <v>360</v>
      </c>
      <c r="O91" s="4" t="s">
        <v>360</v>
      </c>
      <c r="Q91" s="4" t="s">
        <v>360</v>
      </c>
      <c r="R91" s="4"/>
      <c r="U91" s="4" t="s">
        <v>360</v>
      </c>
      <c r="W91" s="4" t="s">
        <v>360</v>
      </c>
      <c r="X91" s="2" t="str">
        <f>IF(Tabla_Licencias_Medicas[[#This Row],[id_padre]]=Tabla_Licencias_Medicas[[#This Row],[Id]],"NOK","OK")</f>
        <v>OK</v>
      </c>
    </row>
    <row r="92" spans="1:24" hidden="1" x14ac:dyDescent="0.5">
      <c r="A92" s="2">
        <f>MAX(Tabla_Decretos[Id])</f>
        <v>915</v>
      </c>
      <c r="B92">
        <v>920</v>
      </c>
      <c r="C92" s="5">
        <f>IF(Tabla_Licencias_Medicas[[#This Row],[id_padre]]="",0,_xlfn.XLOOKUP(Tabla_Licencias_Medicas[[#This Row],[id_padre]],Tabla_Licencias_Medicas[Id],Tabla_Licencias_Medicas[Nivel],0,0,1)+1)</f>
        <v>2</v>
      </c>
      <c r="D92" s="2" t="s">
        <v>855</v>
      </c>
      <c r="E92">
        <f>IF(Tabla_Licencias_Medicas[[#This Row],[Id_anterior]]=1,ROW()-1,SUM(ROW()-1,Tabla_Licencias_Medicas[[#This Row],[Id_anterior]]))</f>
        <v>1006</v>
      </c>
      <c r="F92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LICENCIAS_MEDICAS_INFORMES_DETALLE_DESCUENTOS</v>
      </c>
      <c r="G92" s="2" t="str">
        <f>CLEAN(PROPER(Tabla_Licencias_Medicas[[#This Row],[Nombre Opción]]))</f>
        <v>Detalle De Descuentos</v>
      </c>
      <c r="H92" s="2" t="s">
        <v>1735</v>
      </c>
      <c r="I92" s="2" t="str">
        <f>_xlfn.XLOOKUP(Tabla_Licencias_Medicas[[#This Row],[id_padre]],Tabla_Licencias_Medicas[Id],Tabla_Licencias_Medicas[Codigo_Tecnico],"",0,1)</f>
        <v>LICENCIAS_MEDICAS_INFORMES</v>
      </c>
      <c r="J92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/licencias-medicas/informes/detalle-descuentos</v>
      </c>
      <c r="K92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detalle-descuentos</v>
      </c>
      <c r="L92" s="2" t="s">
        <v>1345</v>
      </c>
      <c r="M92" s="2" t="s">
        <v>1801</v>
      </c>
      <c r="N92" s="4" t="s">
        <v>360</v>
      </c>
      <c r="O92" s="4" t="s">
        <v>360</v>
      </c>
      <c r="Q92" s="4" t="s">
        <v>360</v>
      </c>
      <c r="R92" s="4"/>
      <c r="U92" s="4" t="s">
        <v>360</v>
      </c>
      <c r="W92" s="4" t="s">
        <v>360</v>
      </c>
      <c r="X92" s="2" t="str">
        <f>IF(Tabla_Licencias_Medicas[[#This Row],[id_padre]]=Tabla_Licencias_Medicas[[#This Row],[Id]],"NOK","OK")</f>
        <v>OK</v>
      </c>
    </row>
    <row r="93" spans="1:24" hidden="1" x14ac:dyDescent="0.5">
      <c r="A93" s="2">
        <f>MAX(Tabla_Decretos[Id])</f>
        <v>915</v>
      </c>
      <c r="B93">
        <v>920</v>
      </c>
      <c r="C93" s="5">
        <f>IF(Tabla_Licencias_Medicas[[#This Row],[id_padre]]="",0,_xlfn.XLOOKUP(Tabla_Licencias_Medicas[[#This Row],[id_padre]],Tabla_Licencias_Medicas[Id],Tabla_Licencias_Medicas[Nivel],0,0,1)+1)</f>
        <v>2</v>
      </c>
      <c r="D93" s="2" t="s">
        <v>864</v>
      </c>
      <c r="E93">
        <f>IF(Tabla_Licencias_Medicas[[#This Row],[Id_anterior]]=1,ROW()-1,SUM(ROW()-1,Tabla_Licencias_Medicas[[#This Row],[Id_anterior]]))</f>
        <v>1007</v>
      </c>
      <c r="F93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LICENCIAS_MEDICAS_INFORMES_COMPROBANTE_INGRESO_PAGOS_SUBSIDIOS</v>
      </c>
      <c r="G93" s="2" t="str">
        <f>CLEAN(PROPER(Tabla_Licencias_Medicas[[#This Row],[Nombre Opción]]))</f>
        <v>Comprobante De Ingreso Pagos De Subsidios</v>
      </c>
      <c r="H93" s="2" t="s">
        <v>1735</v>
      </c>
      <c r="I93" s="2" t="str">
        <f>_xlfn.XLOOKUP(Tabla_Licencias_Medicas[[#This Row],[id_padre]],Tabla_Licencias_Medicas[Id],Tabla_Licencias_Medicas[Codigo_Tecnico],"",0,1)</f>
        <v>LICENCIAS_MEDICAS_INFORMES</v>
      </c>
      <c r="J93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/licencias-medicas/informes/comprobante-ingreso-pagos-subsidios</v>
      </c>
      <c r="K93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comprobante-ingreso-pagos-subsidios</v>
      </c>
      <c r="L93" s="2" t="s">
        <v>1364</v>
      </c>
      <c r="M93" s="2" t="s">
        <v>1801</v>
      </c>
      <c r="N93" s="4" t="s">
        <v>360</v>
      </c>
      <c r="O93" s="4" t="s">
        <v>360</v>
      </c>
      <c r="Q93" s="4" t="s">
        <v>360</v>
      </c>
      <c r="R93" s="4"/>
      <c r="U93" s="4" t="s">
        <v>360</v>
      </c>
      <c r="W93" s="4" t="s">
        <v>360</v>
      </c>
      <c r="X93" s="2" t="str">
        <f>IF(Tabla_Licencias_Medicas[[#This Row],[id_padre]]=Tabla_Licencias_Medicas[[#This Row],[Id]],"NOK","OK")</f>
        <v>OK</v>
      </c>
    </row>
    <row r="94" spans="1:24" hidden="1" x14ac:dyDescent="0.5">
      <c r="A94" s="2">
        <f>MAX(Tabla_Decretos[Id])</f>
        <v>915</v>
      </c>
      <c r="B94">
        <v>920</v>
      </c>
      <c r="C94" s="5">
        <f>IF(Tabla_Licencias_Medicas[[#This Row],[id_padre]]="",0,_xlfn.XLOOKUP(Tabla_Licencias_Medicas[[#This Row],[id_padre]],Tabla_Licencias_Medicas[Id],Tabla_Licencias_Medicas[Nivel],0,0,1)+1)</f>
        <v>2</v>
      </c>
      <c r="D94" s="2" t="s">
        <v>859</v>
      </c>
      <c r="E94">
        <f>IF(Tabla_Licencias_Medicas[[#This Row],[Id_anterior]]=1,ROW()-1,SUM(ROW()-1,Tabla_Licencias_Medicas[[#This Row],[Id_anterior]]))</f>
        <v>1008</v>
      </c>
      <c r="F94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LICENCIAS_MEDICAS_INFORMES_DETALLE_PAGOS_SUBSIDIOS</v>
      </c>
      <c r="G94" s="2" t="str">
        <f>CLEAN(PROPER(Tabla_Licencias_Medicas[[#This Row],[Nombre Opción]]))</f>
        <v>Detalle De Pagos De Subsidios</v>
      </c>
      <c r="H94" s="2" t="s">
        <v>1735</v>
      </c>
      <c r="I94" s="2" t="str">
        <f>_xlfn.XLOOKUP(Tabla_Licencias_Medicas[[#This Row],[id_padre]],Tabla_Licencias_Medicas[Id],Tabla_Licencias_Medicas[Codigo_Tecnico],"",0,1)</f>
        <v>LICENCIAS_MEDICAS_INFORMES</v>
      </c>
      <c r="J94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/licencias-medicas/informes/detalle-pagos-subsidios</v>
      </c>
      <c r="K94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detalle-pagos-subsidios</v>
      </c>
      <c r="L94" s="2" t="s">
        <v>1349</v>
      </c>
      <c r="M94" s="2" t="s">
        <v>1801</v>
      </c>
      <c r="N94" s="4" t="s">
        <v>360</v>
      </c>
      <c r="O94" s="4" t="s">
        <v>360</v>
      </c>
      <c r="Q94" s="4" t="s">
        <v>360</v>
      </c>
      <c r="R94" s="4"/>
      <c r="U94" s="4" t="s">
        <v>360</v>
      </c>
      <c r="W94" s="4" t="s">
        <v>360</v>
      </c>
      <c r="X94" s="2" t="str">
        <f>IF(Tabla_Licencias_Medicas[[#This Row],[id_padre]]=Tabla_Licencias_Medicas[[#This Row],[Id]],"NOK","OK")</f>
        <v>OK</v>
      </c>
    </row>
    <row r="95" spans="1:24" hidden="1" x14ac:dyDescent="0.5">
      <c r="A95" s="2">
        <f>MAX(Tabla_Decretos[Id])</f>
        <v>915</v>
      </c>
      <c r="B95">
        <v>920</v>
      </c>
      <c r="C95" s="5">
        <f>IF(Tabla_Licencias_Medicas[[#This Row],[id_padre]]="",0,_xlfn.XLOOKUP(Tabla_Licencias_Medicas[[#This Row],[id_padre]],Tabla_Licencias_Medicas[Id],Tabla_Licencias_Medicas[Nivel],0,0,1)+1)</f>
        <v>2</v>
      </c>
      <c r="D95" s="2" t="s">
        <v>858</v>
      </c>
      <c r="E95">
        <f>IF(Tabla_Licencias_Medicas[[#This Row],[Id_anterior]]=1,ROW()-1,SUM(ROW()-1,Tabla_Licencias_Medicas[[#This Row],[Id_anterior]]))</f>
        <v>1009</v>
      </c>
      <c r="F95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LICENCIAS_MEDICAS_INFORMES_RELACION_PAGOS</v>
      </c>
      <c r="G95" s="2" t="str">
        <f>CLEAN(PROPER(Tabla_Licencias_Medicas[[#This Row],[Nombre Opción]]))</f>
        <v>Relacion De Pagos</v>
      </c>
      <c r="H95" s="2" t="s">
        <v>1735</v>
      </c>
      <c r="I95" s="2" t="str">
        <f>_xlfn.XLOOKUP(Tabla_Licencias_Medicas[[#This Row],[id_padre]],Tabla_Licencias_Medicas[Id],Tabla_Licencias_Medicas[Codigo_Tecnico],"",0,1)</f>
        <v>LICENCIAS_MEDICAS_INFORMES</v>
      </c>
      <c r="J95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/licencias-medicas/informes/relacion-pagos</v>
      </c>
      <c r="K95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relacion-pagos</v>
      </c>
      <c r="L95" s="2" t="s">
        <v>1392</v>
      </c>
      <c r="M95" s="2" t="s">
        <v>1801</v>
      </c>
      <c r="N95" s="4" t="s">
        <v>360</v>
      </c>
      <c r="O95" s="4" t="s">
        <v>360</v>
      </c>
      <c r="Q95" s="4" t="s">
        <v>360</v>
      </c>
      <c r="R95" s="4"/>
      <c r="U95" s="4" t="s">
        <v>360</v>
      </c>
      <c r="W95" s="4" t="s">
        <v>360</v>
      </c>
      <c r="X95" s="2" t="str">
        <f>IF(Tabla_Licencias_Medicas[[#This Row],[id_padre]]=Tabla_Licencias_Medicas[[#This Row],[Id]],"NOK","OK")</f>
        <v>OK</v>
      </c>
    </row>
    <row r="96" spans="1:24" hidden="1" x14ac:dyDescent="0.5">
      <c r="A96" s="2">
        <f>MAX(Tabla_Decretos[Id])</f>
        <v>915</v>
      </c>
      <c r="B96">
        <v>920</v>
      </c>
      <c r="C96" s="5">
        <f>IF(Tabla_Licencias_Medicas[[#This Row],[id_padre]]="",0,_xlfn.XLOOKUP(Tabla_Licencias_Medicas[[#This Row],[id_padre]],Tabla_Licencias_Medicas[Id],Tabla_Licencias_Medicas[Nivel],0,0,1)+1)</f>
        <v>2</v>
      </c>
      <c r="D96" s="2" t="s">
        <v>865</v>
      </c>
      <c r="E96">
        <f>IF(Tabla_Licencias_Medicas[[#This Row],[Id_anterior]]=1,ROW()-1,SUM(ROW()-1,Tabla_Licencias_Medicas[[#This Row],[Id_anterior]]))</f>
        <v>1010</v>
      </c>
      <c r="F96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LICENCIAS_MEDICAS_INFORMES_RESUMEN_PAGOS_Y_DESCUENTOS</v>
      </c>
      <c r="G96" s="2" t="str">
        <f>CLEAN(PROPER(Tabla_Licencias_Medicas[[#This Row],[Nombre Opción]]))</f>
        <v>Resumen De Pagos Y Descuentos</v>
      </c>
      <c r="H96" s="2" t="s">
        <v>1735</v>
      </c>
      <c r="I96" s="2" t="str">
        <f>_xlfn.XLOOKUP(Tabla_Licencias_Medicas[[#This Row],[id_padre]],Tabla_Licencias_Medicas[Id],Tabla_Licencias_Medicas[Codigo_Tecnico],"",0,1)</f>
        <v>LICENCIAS_MEDICAS_INFORMES</v>
      </c>
      <c r="J96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/licencias-medicas/informes/resumen-pagos-y-descuentos</v>
      </c>
      <c r="K96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resumen-pagos-y-descuentos</v>
      </c>
      <c r="L96" s="2" t="s">
        <v>1387</v>
      </c>
      <c r="M96" s="2" t="s">
        <v>1801</v>
      </c>
      <c r="N96" s="4" t="s">
        <v>360</v>
      </c>
      <c r="O96" s="4" t="s">
        <v>360</v>
      </c>
      <c r="Q96" s="4" t="s">
        <v>360</v>
      </c>
      <c r="R96" s="4"/>
      <c r="U96" s="4" t="s">
        <v>360</v>
      </c>
      <c r="W96" s="4" t="s">
        <v>360</v>
      </c>
      <c r="X96" s="2" t="str">
        <f>IF(Tabla_Licencias_Medicas[[#This Row],[id_padre]]=Tabla_Licencias_Medicas[[#This Row],[Id]],"NOK","OK")</f>
        <v>OK</v>
      </c>
    </row>
    <row r="97" spans="1:24" hidden="1" x14ac:dyDescent="0.5">
      <c r="A97" s="2">
        <f>MAX(Tabla_Decretos[Id])</f>
        <v>915</v>
      </c>
      <c r="B97">
        <v>920</v>
      </c>
      <c r="C97" s="5">
        <f>IF(Tabla_Licencias_Medicas[[#This Row],[id_padre]]="",0,_xlfn.XLOOKUP(Tabla_Licencias_Medicas[[#This Row],[id_padre]],Tabla_Licencias_Medicas[Id],Tabla_Licencias_Medicas[Nivel],0,0,1)+1)</f>
        <v>2</v>
      </c>
      <c r="D97" s="2" t="s">
        <v>866</v>
      </c>
      <c r="E97">
        <f>IF(Tabla_Licencias_Medicas[[#This Row],[Id_anterior]]=1,ROW()-1,SUM(ROW()-1,Tabla_Licencias_Medicas[[#This Row],[Id_anterior]]))</f>
        <v>1011</v>
      </c>
      <c r="F97" s="2" t="str">
        <f>IF(Tabla_Licencias_Medicas[[#This Row],[id_padre]]="",SUBSTITUTE(UPPER(Tabla_Licencias_Medicas[[#This Row],[Slug]]),"-","_"),CONCATENATE(_xlfn.XLOOKUP(Tabla_Licencias_Medicas[[#This Row],[id_padre]],Tabla_Licencias_Medicas[Id],Tabla_Licencias_Medicas[Codigo_Tecnico],"",0,1),"_",SUBSTITUTE(UPPER(Tabla_Licencias_Medicas[[#This Row],[Slug]]),"-","_")))</f>
        <v>LICENCIAS_MEDICAS_INFORMES_ESTADO_HISTORICO_LICENCIAS</v>
      </c>
      <c r="G97" s="2" t="str">
        <f>CLEAN(PROPER(Tabla_Licencias_Medicas[[#This Row],[Nombre Opción]]))</f>
        <v>Estado Historico De Licencias</v>
      </c>
      <c r="H97" s="2" t="s">
        <v>1735</v>
      </c>
      <c r="I97" s="2" t="str">
        <f>_xlfn.XLOOKUP(Tabla_Licencias_Medicas[[#This Row],[id_padre]],Tabla_Licencias_Medicas[Id],Tabla_Licencias_Medicas[Codigo_Tecnico],"",0,1)</f>
        <v>LICENCIAS_MEDICAS_INFORMES</v>
      </c>
      <c r="J97" s="2" t="str">
        <f>IF(Tabla_Licencias_Medicas[[#This Row],[Nivel]]=0,CONCATENATE("/",Tabla_Licencias_Medicas[[#This Row],[Slug]]),CONCATENATE(_xlfn.XLOOKUP(Tabla_Licencias_Medicas[[#This Row],[id_padre]],Tabla_Licencias_Medicas[Id],Tabla_Licencias_Medicas[Ruta_Web],"",0,1),"/",Tabla_Licencias_Medicas[[#This Row],[Slug]]))</f>
        <v>/licencias-medicas/informes/estado-historico-licencias</v>
      </c>
      <c r="K97" s="2" t="str">
        <f>SUBSTITUTE(SUBSTITUTE(SUBSTITUTE(SUBSTITUTE(SUBSTITUTE(SUBSTITUTE(SUBSTITUTE(SUBSTITUTE(SUBSTITUTE(SUBSTITUTE(SUBSTITUTE(SUBSTITUTE(SUBSTITUTE(SUBSTITUTE(SUBSTITUTE(SUBSTITUTE(SUBSTITUTE(SUBSTITUTE(SUBSTITUTE(SUBSTITUTE(SUBSTITUTE(LOWER(Tabla_Licencias_Medicas[[#This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estado-historico-licencias</v>
      </c>
      <c r="L97" s="2" t="s">
        <v>1439</v>
      </c>
      <c r="M97" s="2" t="s">
        <v>1801</v>
      </c>
      <c r="N97" s="4" t="s">
        <v>360</v>
      </c>
      <c r="O97" s="4" t="s">
        <v>360</v>
      </c>
      <c r="Q97" s="4" t="s">
        <v>360</v>
      </c>
      <c r="R97" s="4"/>
      <c r="U97" s="4" t="s">
        <v>360</v>
      </c>
      <c r="W97" s="4" t="s">
        <v>360</v>
      </c>
      <c r="X97" s="2" t="str">
        <f>IF(Tabla_Licencias_Medicas[[#This Row],[id_padre]]=Tabla_Licencias_Medicas[[#This Row],[Id]],"NOK","OK")</f>
        <v>OK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AA5F43-7862-420C-B43D-B6D9C72F2514}">
          <x14:formula1>
            <xm:f>Modulos!$C$2:$C$15</xm:f>
          </x14:formula1>
          <xm:sqref>M2:M97</xm:sqref>
        </x14:dataValidation>
        <x14:dataValidation type="list" allowBlank="1" showInputMessage="1" showErrorMessage="1" xr:uid="{2482A58D-5F32-4542-927D-9FBCE24EB3F3}">
          <x14:formula1>
            <xm:f>Lista!$A$2:$A$3</xm:f>
          </x14:formula1>
          <xm:sqref>N2:W97</xm:sqref>
        </x14:dataValidation>
        <x14:dataValidation type="list" allowBlank="1" showInputMessage="1" showErrorMessage="1" xr:uid="{9C54D0B7-90DD-429F-A585-7193EAE3E24A}">
          <x14:formula1>
            <xm:f>Equipo!$B$2:$B$7</xm:f>
          </x14:formula1>
          <xm:sqref>Y2:Y97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44BC-2322-4B52-AA6A-0562CF758AD2}">
  <sheetPr codeName="Hoja15"/>
  <dimension ref="A1:Y78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15" sqref="E15"/>
    </sheetView>
  </sheetViews>
  <sheetFormatPr baseColWidth="10" defaultColWidth="11.41015625" defaultRowHeight="14.35" x14ac:dyDescent="0.5"/>
  <cols>
    <col min="1" max="1" width="5.703125" style="4" customWidth="1"/>
    <col min="2" max="3" width="5.703125" customWidth="1"/>
    <col min="4" max="4" width="51.87890625" bestFit="1" customWidth="1"/>
    <col min="5" max="5" width="5.703125" customWidth="1"/>
    <col min="6" max="9" width="10.703125" style="4" customWidth="1"/>
    <col min="10" max="10" width="10.703125" style="2" customWidth="1"/>
    <col min="11" max="13" width="10.703125" customWidth="1"/>
    <col min="14" max="15" width="5.703125" customWidth="1"/>
    <col min="16" max="16" width="5.703125" style="2" customWidth="1"/>
    <col min="17" max="17" width="5.703125" customWidth="1"/>
    <col min="18" max="18" width="5.703125" style="2" customWidth="1"/>
    <col min="19" max="19" width="5.703125" style="5" customWidth="1"/>
    <col min="20" max="21" width="5.703125" style="4" customWidth="1"/>
    <col min="22" max="22" width="5.703125" customWidth="1"/>
    <col min="23" max="23" width="9.3515625" style="4" bestFit="1" customWidth="1"/>
    <col min="24" max="24" width="4.703125" style="4" customWidth="1"/>
    <col min="26" max="16384" width="11.41015625" style="2"/>
  </cols>
  <sheetData>
    <row r="1" spans="1:25" s="3" customFormat="1" ht="157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15</v>
      </c>
      <c r="N1" s="3" t="s">
        <v>868</v>
      </c>
      <c r="O1" s="3" t="s">
        <v>869</v>
      </c>
      <c r="P1" s="3" t="s">
        <v>870</v>
      </c>
      <c r="Q1" s="3" t="s">
        <v>871</v>
      </c>
      <c r="R1" s="3" t="s">
        <v>872</v>
      </c>
      <c r="S1" s="3" t="s">
        <v>873</v>
      </c>
      <c r="T1" s="3" t="s">
        <v>874</v>
      </c>
      <c r="U1" s="3" t="s">
        <v>875</v>
      </c>
      <c r="V1" s="3" t="s">
        <v>1932</v>
      </c>
      <c r="W1" s="3" t="s">
        <v>2005</v>
      </c>
      <c r="X1" s="3" t="s">
        <v>2030</v>
      </c>
    </row>
    <row r="2" spans="1:25" x14ac:dyDescent="0.5">
      <c r="A2" s="2">
        <f>MAX(Tabla_Licencias_Medicas[Id])</f>
        <v>1011</v>
      </c>
      <c r="B2" s="2" t="s">
        <v>98</v>
      </c>
      <c r="C2" s="5">
        <f>IF(Tabla_Descuentos[[#This Row],[id_padre]]="",0,_xlfn.XLOOKUP(Tabla_Descuentos[[#This Row],[id_padre]],Tabla_Descuentos[Id],Tabla_Descuentos[Nivel],0,0,1)+1)</f>
        <v>0</v>
      </c>
      <c r="D2" s="2" t="s">
        <v>212</v>
      </c>
      <c r="E2" s="2">
        <f>IF(Tabla_Descuentos[[#This Row],[Id_anterior]]=1,ROW()-1,SUM(ROW()-1,Tabla_Descuentos[[#This Row],[Id_anterior]]))</f>
        <v>1012</v>
      </c>
      <c r="F2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</v>
      </c>
      <c r="G2" s="2" t="str">
        <f>CLEAN(PROPER(Tabla_Descuentos[[#This Row],[Nombre Opción]]))</f>
        <v>Descuentos</v>
      </c>
      <c r="H2" s="2" t="s">
        <v>1735</v>
      </c>
      <c r="I2" s="2" t="str">
        <f>_xlfn.XLOOKUP(Tabla_Descuentos[[#This Row],[id_padre]],Tabla_Descuentos[Id],Tabla_Descuentos[Codigo_Tecnico],"",0,1)</f>
        <v/>
      </c>
      <c r="J2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</v>
      </c>
      <c r="L2" s="2" t="s">
        <v>1345</v>
      </c>
      <c r="M2" s="2" t="s">
        <v>1800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2" t="str">
        <f>IF(Tabla_Descuentos[[#This Row],[id_padre]]=Tabla_Descuentos[[#This Row],[Id]],"NOK","OK")</f>
        <v>OK</v>
      </c>
      <c r="X2" s="2"/>
      <c r="Y2" s="2"/>
    </row>
    <row r="3" spans="1:25" x14ac:dyDescent="0.5">
      <c r="A3" s="2">
        <f>MAX(Tabla_Licencias_Medicas[Id])</f>
        <v>1011</v>
      </c>
      <c r="B3">
        <v>1012</v>
      </c>
      <c r="C3" s="5">
        <f>IF(Tabla_Descuentos[[#This Row],[id_padre]]="",0,_xlfn.XLOOKUP(Tabla_Descuentos[[#This Row],[id_padre]],Tabla_Descuentos[Id],Tabla_Descuentos[Nivel],0,0,1)+1)</f>
        <v>1</v>
      </c>
      <c r="D3" s="2" t="s">
        <v>18</v>
      </c>
      <c r="E3">
        <f>IF(Tabla_Descuentos[[#This Row],[Id_anterior]]=1,ROW()-1,SUM(ROW()-1,Tabla_Descuentos[[#This Row],[Id_anterior]]))</f>
        <v>1013</v>
      </c>
      <c r="F3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</v>
      </c>
      <c r="G3" s="2" t="str">
        <f>CLEAN(PROPER(Tabla_Descuentos[[#This Row],[Nombre Opción]]))</f>
        <v>Parámetros</v>
      </c>
      <c r="H3" s="2" t="s">
        <v>1735</v>
      </c>
      <c r="I3" s="2" t="str">
        <f>_xlfn.XLOOKUP(Tabla_Descuentos[[#This Row],[id_padre]],Tabla_Descuentos[Id],Tabla_Descuentos[Codigo_Tecnico],"",0,1)</f>
        <v>DESCUENTOS</v>
      </c>
      <c r="J3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2" t="s">
        <v>1800</v>
      </c>
      <c r="N3" s="4" t="s">
        <v>360</v>
      </c>
      <c r="O3" s="4" t="s">
        <v>360</v>
      </c>
      <c r="P3" s="4"/>
      <c r="Q3" s="4"/>
      <c r="R3" s="4"/>
      <c r="S3" s="4" t="s">
        <v>360</v>
      </c>
      <c r="T3" s="4" t="s">
        <v>360</v>
      </c>
      <c r="V3" s="4" t="s">
        <v>360</v>
      </c>
      <c r="W3" s="2" t="str">
        <f>IF(Tabla_Descuentos[[#This Row],[id_padre]]=Tabla_Descuentos[[#This Row],[Id]],"NOK","OK")</f>
        <v>OK</v>
      </c>
      <c r="X3" s="2"/>
      <c r="Y3" s="2"/>
    </row>
    <row r="4" spans="1:25" hidden="1" x14ac:dyDescent="0.5">
      <c r="A4" s="2">
        <f>MAX(Tabla_Licencias_Medicas[Id])</f>
        <v>1011</v>
      </c>
      <c r="B4">
        <v>1012</v>
      </c>
      <c r="C4" s="5">
        <f>IF(Tabla_Descuentos[[#This Row],[id_padre]]="",0,_xlfn.XLOOKUP(Tabla_Descuentos[[#This Row],[id_padre]],Tabla_Descuentos[Id],Tabla_Descuentos[Nivel],0,0,1)+1)</f>
        <v>1</v>
      </c>
      <c r="D4" s="2" t="s">
        <v>867</v>
      </c>
      <c r="E4">
        <f>IF(Tabla_Descuentos[[#This Row],[Id_anterior]]=1,ROW()-1,SUM(ROW()-1,Tabla_Descuentos[[#This Row],[Id_anterior]]))</f>
        <v>1014</v>
      </c>
      <c r="F4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</v>
      </c>
      <c r="G4" s="2" t="str">
        <f>CLEAN(PROPER(Tabla_Descuentos[[#This Row],[Nombre Opción]]))</f>
        <v>Formulacion/Recepcion</v>
      </c>
      <c r="H4" s="2" t="s">
        <v>1735</v>
      </c>
      <c r="I4" s="2" t="str">
        <f>_xlfn.XLOOKUP(Tabla_Descuentos[[#This Row],[id_padre]],Tabla_Descuentos[Id],Tabla_Descuentos[Codigo_Tecnico],"",0,1)</f>
        <v>DESCUENTOS</v>
      </c>
      <c r="J4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formulacion/recepcion</v>
      </c>
      <c r="L4" s="2" t="s">
        <v>1379</v>
      </c>
      <c r="M4" s="2" t="s">
        <v>1800</v>
      </c>
      <c r="N4" s="4" t="s">
        <v>360</v>
      </c>
      <c r="O4" s="4" t="s">
        <v>360</v>
      </c>
      <c r="P4" s="4"/>
      <c r="Q4" s="4"/>
      <c r="R4" s="4"/>
      <c r="S4" s="4" t="s">
        <v>360</v>
      </c>
      <c r="T4" s="4" t="s">
        <v>360</v>
      </c>
      <c r="V4" s="4" t="s">
        <v>360</v>
      </c>
      <c r="W4" s="2" t="str">
        <f>IF(Tabla_Descuentos[[#This Row],[id_padre]]=Tabla_Descuentos[[#This Row],[Id]],"NOK","OK")</f>
        <v>OK</v>
      </c>
      <c r="X4" s="2"/>
      <c r="Y4" s="2"/>
    </row>
    <row r="5" spans="1:25" hidden="1" x14ac:dyDescent="0.5">
      <c r="A5" s="2">
        <f>MAX(Tabla_Licencias_Medicas[Id])</f>
        <v>1011</v>
      </c>
      <c r="B5">
        <v>1012</v>
      </c>
      <c r="C5" s="5">
        <f>IF(Tabla_Descuentos[[#This Row],[id_padre]]="",0,_xlfn.XLOOKUP(Tabla_Descuentos[[#This Row],[id_padre]],Tabla_Descuentos[Id],Tabla_Descuentos[Nivel],0,0,1)+1)</f>
        <v>1</v>
      </c>
      <c r="D5" s="2" t="s">
        <v>19</v>
      </c>
      <c r="E5">
        <f>IF(Tabla_Descuentos[[#This Row],[Id_anterior]]=1,ROW()-1,SUM(ROW()-1,Tabla_Descuentos[[#This Row],[Id_anterior]]))</f>
        <v>1015</v>
      </c>
      <c r="F5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</v>
      </c>
      <c r="G5" s="2" t="str">
        <f>CLEAN(PROPER(Tabla_Descuentos[[#This Row],[Nombre Opción]]))</f>
        <v>Procesos</v>
      </c>
      <c r="H5" s="2" t="s">
        <v>1735</v>
      </c>
      <c r="I5" s="2" t="str">
        <f>_xlfn.XLOOKUP(Tabla_Descuentos[[#This Row],[id_padre]],Tabla_Descuentos[Id],Tabla_Descuentos[Codigo_Tecnico],"",0,1)</f>
        <v>DESCUENTOS</v>
      </c>
      <c r="J5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5" s="2" t="s">
        <v>1338</v>
      </c>
      <c r="M5" s="2" t="s">
        <v>1800</v>
      </c>
      <c r="N5" s="4" t="s">
        <v>360</v>
      </c>
      <c r="O5" s="4" t="s">
        <v>360</v>
      </c>
      <c r="P5" s="4"/>
      <c r="Q5" s="4" t="s">
        <v>360</v>
      </c>
      <c r="R5" s="4" t="s">
        <v>360</v>
      </c>
      <c r="S5" s="4" t="s">
        <v>360</v>
      </c>
      <c r="T5" s="4" t="s">
        <v>360</v>
      </c>
      <c r="U5" s="4" t="s">
        <v>360</v>
      </c>
      <c r="V5" s="4" t="s">
        <v>360</v>
      </c>
      <c r="W5" s="2" t="str">
        <f>IF(Tabla_Descuentos[[#This Row],[id_padre]]=Tabla_Descuentos[[#This Row],[Id]],"NOK","OK")</f>
        <v>OK</v>
      </c>
      <c r="X5" s="2"/>
      <c r="Y5" s="2"/>
    </row>
    <row r="6" spans="1:25" hidden="1" x14ac:dyDescent="0.5">
      <c r="A6" s="2">
        <f>MAX(Tabla_Licencias_Medicas[Id])</f>
        <v>1011</v>
      </c>
      <c r="B6">
        <v>1012</v>
      </c>
      <c r="C6" s="5">
        <f>IF(Tabla_Descuentos[[#This Row],[id_padre]]="",0,_xlfn.XLOOKUP(Tabla_Descuentos[[#This Row],[id_padre]],Tabla_Descuentos[Id],Tabla_Descuentos[Nivel],0,0,1)+1)</f>
        <v>1</v>
      </c>
      <c r="D6" s="2" t="s">
        <v>20</v>
      </c>
      <c r="E6">
        <f>IF(Tabla_Descuentos[[#This Row],[Id_anterior]]=1,ROW()-1,SUM(ROW()-1,Tabla_Descuentos[[#This Row],[Id_anterior]]))</f>
        <v>1016</v>
      </c>
      <c r="F6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</v>
      </c>
      <c r="G6" s="2" t="str">
        <f>CLEAN(PROPER(Tabla_Descuentos[[#This Row],[Nombre Opción]]))</f>
        <v>Consultas</v>
      </c>
      <c r="H6" s="2" t="s">
        <v>1735</v>
      </c>
      <c r="I6" s="2" t="str">
        <f>_xlfn.XLOOKUP(Tabla_Descuentos[[#This Row],[id_padre]],Tabla_Descuentos[Id],Tabla_Descuentos[Codigo_Tecnico],"",0,1)</f>
        <v>DESCUENTOS</v>
      </c>
      <c r="J6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6" s="2" t="s">
        <v>1339</v>
      </c>
      <c r="M6" s="2" t="s">
        <v>1800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U6" s="4" t="s">
        <v>360</v>
      </c>
      <c r="V6" s="4" t="s">
        <v>360</v>
      </c>
      <c r="W6" s="2" t="str">
        <f>IF(Tabla_Descuentos[[#This Row],[id_padre]]=Tabla_Descuentos[[#This Row],[Id]],"NOK","OK")</f>
        <v>OK</v>
      </c>
      <c r="X6" s="2"/>
      <c r="Y6" s="2"/>
    </row>
    <row r="7" spans="1:25" hidden="1" x14ac:dyDescent="0.5">
      <c r="A7" s="2">
        <f>MAX(Tabla_Licencias_Medicas[Id])</f>
        <v>1011</v>
      </c>
      <c r="B7">
        <v>1012</v>
      </c>
      <c r="C7" s="5">
        <f>IF(Tabla_Descuentos[[#This Row],[id_padre]]="",0,_xlfn.XLOOKUP(Tabla_Descuentos[[#This Row],[id_padre]],Tabla_Descuentos[Id],Tabla_Descuentos[Nivel],0,0,1)+1)</f>
        <v>1</v>
      </c>
      <c r="D7" s="2" t="s">
        <v>21</v>
      </c>
      <c r="E7">
        <f>IF(Tabla_Descuentos[[#This Row],[Id_anterior]]=1,ROW()-1,SUM(ROW()-1,Tabla_Descuentos[[#This Row],[Id_anterior]]))</f>
        <v>1017</v>
      </c>
      <c r="F7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</v>
      </c>
      <c r="G7" s="2" t="str">
        <f>CLEAN(PROPER(Tabla_Descuentos[[#This Row],[Nombre Opción]]))</f>
        <v>Informes</v>
      </c>
      <c r="H7" s="2" t="s">
        <v>1735</v>
      </c>
      <c r="I7" s="2" t="str">
        <f>_xlfn.XLOOKUP(Tabla_Descuentos[[#This Row],[id_padre]],Tabla_Descuentos[Id],Tabla_Descuentos[Codigo_Tecnico],"",0,1)</f>
        <v>DESCUENTOS</v>
      </c>
      <c r="J7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7" s="2" t="s">
        <v>1340</v>
      </c>
      <c r="M7" s="2" t="s">
        <v>1800</v>
      </c>
      <c r="N7" s="4" t="s">
        <v>360</v>
      </c>
      <c r="O7" s="4" t="s">
        <v>360</v>
      </c>
      <c r="P7" s="4" t="s">
        <v>360</v>
      </c>
      <c r="Q7" s="4" t="s">
        <v>360</v>
      </c>
      <c r="R7" s="4" t="s">
        <v>360</v>
      </c>
      <c r="S7" s="4" t="s">
        <v>360</v>
      </c>
      <c r="T7" s="4" t="s">
        <v>360</v>
      </c>
      <c r="U7" s="4" t="s">
        <v>360</v>
      </c>
      <c r="V7" s="4" t="s">
        <v>360</v>
      </c>
      <c r="W7" s="2" t="str">
        <f>IF(Tabla_Descuentos[[#This Row],[id_padre]]=Tabla_Descuentos[[#This Row],[Id]],"NOK","OK")</f>
        <v>OK</v>
      </c>
      <c r="X7" s="2"/>
      <c r="Y7" s="2"/>
    </row>
    <row r="8" spans="1:25" x14ac:dyDescent="0.5">
      <c r="A8" s="2">
        <f>MAX(Tabla_Licencias_Medicas[Id])</f>
        <v>1011</v>
      </c>
      <c r="B8">
        <v>1013</v>
      </c>
      <c r="C8" s="5">
        <f>IF(Tabla_Descuentos[[#This Row],[id_padre]]="",0,_xlfn.XLOOKUP(Tabla_Descuentos[[#This Row],[id_padre]],Tabla_Descuentos[Id],Tabla_Descuentos[Nivel],0,0,1)+1)</f>
        <v>2</v>
      </c>
      <c r="D8" s="2" t="s">
        <v>876</v>
      </c>
      <c r="E8">
        <f>IF(Tabla_Descuentos[[#This Row],[Id_anterior]]=1,ROW()-1,SUM(ROW()-1,Tabla_Descuentos[[#This Row],[Id_anterior]]))</f>
        <v>1018</v>
      </c>
      <c r="F8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DESCUENTOS_PARAMETROS_MANTENCION_UNIDADES</v>
      </c>
      <c r="G8" s="2" t="str">
        <f>CLEAN(PROPER(Tabla_Descuentos[[#This Row],[Nombre Opción]]))</f>
        <v>Mantencion Unidades</v>
      </c>
      <c r="H8" s="2" t="s">
        <v>1735</v>
      </c>
      <c r="I8" s="2" t="str">
        <f>_xlfn.XLOOKUP(Tabla_Descuentos[[#This Row],[id_padre]],Tabla_Descuentos[Id],Tabla_Descuentos[Codigo_Tecnico],"",0,1)</f>
        <v>DESCUENTOS_PARAMETROS</v>
      </c>
      <c r="J8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/descuentos/parametros/mantencion-unidades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mantencion-unidades</v>
      </c>
      <c r="L8" s="2" t="s">
        <v>1341</v>
      </c>
      <c r="M8" s="2" t="s">
        <v>1800</v>
      </c>
      <c r="N8" s="4" t="s">
        <v>360</v>
      </c>
      <c r="O8" s="4"/>
      <c r="P8" s="4"/>
      <c r="Q8" s="4"/>
      <c r="R8" s="4"/>
      <c r="S8" s="4"/>
      <c r="V8" s="4" t="s">
        <v>360</v>
      </c>
      <c r="W8" s="2" t="str">
        <f>IF(Tabla_Descuentos[[#This Row],[id_padre]]=Tabla_Descuentos[[#This Row],[Id]],"NOK","OK")</f>
        <v>OK</v>
      </c>
      <c r="X8" s="2"/>
      <c r="Y8" s="2"/>
    </row>
    <row r="9" spans="1:25" x14ac:dyDescent="0.5">
      <c r="A9" s="2">
        <f>MAX(Tabla_Licencias_Medicas[Id])</f>
        <v>1011</v>
      </c>
      <c r="B9">
        <v>1013</v>
      </c>
      <c r="C9" s="5">
        <f>IF(Tabla_Descuentos[[#This Row],[id_padre]]="",0,_xlfn.XLOOKUP(Tabla_Descuentos[[#This Row],[id_padre]],Tabla_Descuentos[Id],Tabla_Descuentos[Nivel],0,0,1)+1)</f>
        <v>2</v>
      </c>
      <c r="D9" s="2" t="s">
        <v>877</v>
      </c>
      <c r="E9">
        <f>IF(Tabla_Descuentos[[#This Row],[Id_anterior]]=1,ROW()-1,SUM(ROW()-1,Tabla_Descuentos[[#This Row],[Id_anterior]]))</f>
        <v>1019</v>
      </c>
      <c r="F9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DESCUENTOS_PARAMETROS_MANTENCION_UNIDAD_FORMULACION</v>
      </c>
      <c r="G9" s="2" t="str">
        <f>CLEAN(PROPER(Tabla_Descuentos[[#This Row],[Nombre Opción]]))</f>
        <v>Mantención Unidad De Formulación</v>
      </c>
      <c r="H9" s="2" t="s">
        <v>1735</v>
      </c>
      <c r="I9" s="2" t="str">
        <f>_xlfn.XLOOKUP(Tabla_Descuentos[[#This Row],[id_padre]],Tabla_Descuentos[Id],Tabla_Descuentos[Codigo_Tecnico],"",0,1)</f>
        <v>DESCUENTOS_PARAMETROS</v>
      </c>
      <c r="J9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/descuentos/parametros/mantencion-unidad-formulacion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mantencion-unidad-formulacion</v>
      </c>
      <c r="L9" s="2" t="s">
        <v>1401</v>
      </c>
      <c r="M9" s="2" t="s">
        <v>1800</v>
      </c>
      <c r="N9" s="4" t="s">
        <v>360</v>
      </c>
      <c r="O9" s="4"/>
      <c r="P9" s="4"/>
      <c r="Q9" s="4"/>
      <c r="R9" s="4"/>
      <c r="S9" s="4"/>
      <c r="V9" s="4" t="s">
        <v>360</v>
      </c>
      <c r="W9" s="2" t="str">
        <f>IF(Tabla_Descuentos[[#This Row],[id_padre]]=Tabla_Descuentos[[#This Row],[Id]],"NOK","OK")</f>
        <v>OK</v>
      </c>
      <c r="X9" s="2"/>
      <c r="Y9" s="2"/>
    </row>
    <row r="10" spans="1:25" x14ac:dyDescent="0.5">
      <c r="A10" s="2">
        <f>MAX(Tabla_Licencias_Medicas[Id])</f>
        <v>1011</v>
      </c>
      <c r="B10">
        <v>1013</v>
      </c>
      <c r="C10" s="5">
        <f>IF(Tabla_Descuentos[[#This Row],[id_padre]]="",0,_xlfn.XLOOKUP(Tabla_Descuentos[[#This Row],[id_padre]],Tabla_Descuentos[Id],Tabla_Descuentos[Nivel],0,0,1)+1)</f>
        <v>2</v>
      </c>
      <c r="D10" s="2" t="s">
        <v>878</v>
      </c>
      <c r="E10">
        <f>IF(Tabla_Descuentos[[#This Row],[Id_anterior]]=1,ROW()-1,SUM(ROW()-1,Tabla_Descuentos[[#This Row],[Id_anterior]]))</f>
        <v>1020</v>
      </c>
      <c r="F10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DESCUENTOS_PARAMETROS_MANTENCION_CATEGORIA</v>
      </c>
      <c r="G10" s="2" t="str">
        <f>CLEAN(PROPER(Tabla_Descuentos[[#This Row],[Nombre Opción]]))</f>
        <v>Mantención De Categoría</v>
      </c>
      <c r="H10" s="2" t="s">
        <v>1735</v>
      </c>
      <c r="I10" s="2" t="str">
        <f>_xlfn.XLOOKUP(Tabla_Descuentos[[#This Row],[id_padre]],Tabla_Descuentos[Id],Tabla_Descuentos[Codigo_Tecnico],"",0,1)</f>
        <v>DESCUENTOS_PARAMETROS</v>
      </c>
      <c r="J10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/descuentos/parametros/mantencion-categoria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mantencion-categoria</v>
      </c>
      <c r="L10" s="2" t="s">
        <v>1407</v>
      </c>
      <c r="M10" s="2" t="s">
        <v>1800</v>
      </c>
      <c r="N10" s="4" t="s">
        <v>360</v>
      </c>
      <c r="O10" s="4"/>
      <c r="P10" s="4"/>
      <c r="Q10" s="4"/>
      <c r="R10" s="4"/>
      <c r="S10" s="4"/>
      <c r="V10" s="4" t="s">
        <v>360</v>
      </c>
      <c r="W10" s="2" t="str">
        <f>IF(Tabla_Descuentos[[#This Row],[id_padre]]=Tabla_Descuentos[[#This Row],[Id]],"NOK","OK")</f>
        <v>OK</v>
      </c>
      <c r="X10" s="2"/>
      <c r="Y10" s="2"/>
    </row>
    <row r="11" spans="1:25" x14ac:dyDescent="0.5">
      <c r="A11" s="2">
        <f>MAX(Tabla_Licencias_Medicas[Id])</f>
        <v>1011</v>
      </c>
      <c r="B11">
        <v>1013</v>
      </c>
      <c r="C11" s="5">
        <f>IF(Tabla_Descuentos[[#This Row],[id_padre]]="",0,_xlfn.XLOOKUP(Tabla_Descuentos[[#This Row],[id_padre]],Tabla_Descuentos[Id],Tabla_Descuentos[Nivel],0,0,1)+1)</f>
        <v>2</v>
      </c>
      <c r="D11" s="2" t="s">
        <v>879</v>
      </c>
      <c r="E11">
        <f>IF(Tabla_Descuentos[[#This Row],[Id_anterior]]=1,ROW()-1,SUM(ROW()-1,Tabla_Descuentos[[#This Row],[Id_anterior]]))</f>
        <v>1021</v>
      </c>
      <c r="F11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DESCUENTOS_PARAMETROS_MANTENCION_CODIGOS_DESCUENTOS</v>
      </c>
      <c r="G11" s="2" t="str">
        <f>CLEAN(PROPER(Tabla_Descuentos[[#This Row],[Nombre Opción]]))</f>
        <v>Mantención Códigos De Descuentos</v>
      </c>
      <c r="H11" s="2" t="s">
        <v>1735</v>
      </c>
      <c r="I11" s="2" t="str">
        <f>_xlfn.XLOOKUP(Tabla_Descuentos[[#This Row],[id_padre]],Tabla_Descuentos[Id],Tabla_Descuentos[Codigo_Tecnico],"",0,1)</f>
        <v>DESCUENTOS_PARAMETROS</v>
      </c>
      <c r="J11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/descuentos/parametros/mantencion-codigos-descuentos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mantencion-codigos-descuentos</v>
      </c>
      <c r="L11" s="2" t="s">
        <v>1406</v>
      </c>
      <c r="M11" s="2" t="s">
        <v>1800</v>
      </c>
      <c r="N11" s="4" t="s">
        <v>360</v>
      </c>
      <c r="O11" s="4"/>
      <c r="P11" s="4"/>
      <c r="Q11" s="4"/>
      <c r="R11" s="4"/>
      <c r="S11" s="4"/>
      <c r="V11" s="4" t="s">
        <v>360</v>
      </c>
      <c r="W11" s="2" t="str">
        <f>IF(Tabla_Descuentos[[#This Row],[id_padre]]=Tabla_Descuentos[[#This Row],[Id]],"NOK","OK")</f>
        <v>OK</v>
      </c>
      <c r="X11" s="2"/>
      <c r="Y11" s="2"/>
    </row>
    <row r="12" spans="1:25" x14ac:dyDescent="0.5">
      <c r="A12" s="2">
        <f>MAX(Tabla_Licencias_Medicas[Id])</f>
        <v>1011</v>
      </c>
      <c r="B12">
        <v>1013</v>
      </c>
      <c r="C12" s="5">
        <f>IF(Tabla_Descuentos[[#This Row],[id_padre]]="",0,_xlfn.XLOOKUP(Tabla_Descuentos[[#This Row],[id_padre]],Tabla_Descuentos[Id],Tabla_Descuentos[Nivel],0,0,1)+1)</f>
        <v>2</v>
      </c>
      <c r="D12" s="2" t="s">
        <v>880</v>
      </c>
      <c r="E12">
        <f>IF(Tabla_Descuentos[[#This Row],[Id_anterior]]=1,ROW()-1,SUM(ROW()-1,Tabla_Descuentos[[#This Row],[Id_anterior]]))</f>
        <v>1022</v>
      </c>
      <c r="F12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DESCUENTOS_PARAMETROS_MANTENCION_MONTO_AUTORIZADO_CADETES</v>
      </c>
      <c r="G12" s="2" t="str">
        <f>CLEAN(PROPER(Tabla_Descuentos[[#This Row],[Nombre Opción]]))</f>
        <v>Mantención Monto Autorizado Cadetes</v>
      </c>
      <c r="H12" s="2" t="s">
        <v>1735</v>
      </c>
      <c r="I12" s="2" t="str">
        <f>_xlfn.XLOOKUP(Tabla_Descuentos[[#This Row],[id_padre]],Tabla_Descuentos[Id],Tabla_Descuentos[Codigo_Tecnico],"",0,1)</f>
        <v>DESCUENTOS_PARAMETROS</v>
      </c>
      <c r="J12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/descuentos/parametros/mantencion-monto-autorizado-cadetes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mantencion-monto-autorizado-cadetes</v>
      </c>
      <c r="L12" s="2" t="s">
        <v>1549</v>
      </c>
      <c r="M12" s="2" t="s">
        <v>1800</v>
      </c>
      <c r="N12" s="4" t="s">
        <v>360</v>
      </c>
      <c r="O12" s="4"/>
      <c r="P12" s="4"/>
      <c r="Q12" s="4"/>
      <c r="R12" s="4"/>
      <c r="S12" s="4"/>
      <c r="V12" s="4" t="s">
        <v>360</v>
      </c>
      <c r="W12" s="2" t="str">
        <f>IF(Tabla_Descuentos[[#This Row],[id_padre]]=Tabla_Descuentos[[#This Row],[Id]],"NOK","OK")</f>
        <v>OK</v>
      </c>
      <c r="X12" s="2"/>
      <c r="Y12" s="2"/>
    </row>
    <row r="13" spans="1:25" x14ac:dyDescent="0.5">
      <c r="A13" s="2">
        <f>MAX(Tabla_Licencias_Medicas[Id])</f>
        <v>1011</v>
      </c>
      <c r="B13">
        <v>1013</v>
      </c>
      <c r="C13" s="5">
        <f>IF(Tabla_Descuentos[[#This Row],[id_padre]]="",0,_xlfn.XLOOKUP(Tabla_Descuentos[[#This Row],[id_padre]],Tabla_Descuentos[Id],Tabla_Descuentos[Nivel],0,0,1)+1)</f>
        <v>2</v>
      </c>
      <c r="D13" s="2" t="s">
        <v>881</v>
      </c>
      <c r="E13">
        <f>IF(Tabla_Descuentos[[#This Row],[Id_anterior]]=1,ROW()-1,SUM(ROW()-1,Tabla_Descuentos[[#This Row],[Id_anterior]]))</f>
        <v>1023</v>
      </c>
      <c r="F13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DESCUENTOS_PARAMETROS_MANTENCION_EMPLEADOS_AUTORIZADOS</v>
      </c>
      <c r="G13" s="2" t="str">
        <f>CLEAN(PROPER(Tabla_Descuentos[[#This Row],[Nombre Opción]]))</f>
        <v>Mantención De Empleados Autorizados</v>
      </c>
      <c r="H13" s="2" t="s">
        <v>1735</v>
      </c>
      <c r="I13" s="2" t="str">
        <f>_xlfn.XLOOKUP(Tabla_Descuentos[[#This Row],[id_padre]],Tabla_Descuentos[Id],Tabla_Descuentos[Codigo_Tecnico],"",0,1)</f>
        <v>DESCUENTOS_PARAMETROS</v>
      </c>
      <c r="J13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/descuentos/parametros/mantencion-empleados-autorizados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mantencion-empleados-autorizados</v>
      </c>
      <c r="L13" s="2" t="s">
        <v>1515</v>
      </c>
      <c r="M13" s="2" t="s">
        <v>1800</v>
      </c>
      <c r="N13" s="4" t="s">
        <v>360</v>
      </c>
      <c r="O13" s="4" t="s">
        <v>360</v>
      </c>
      <c r="P13" s="4"/>
      <c r="Q13" s="4"/>
      <c r="R13" s="4"/>
      <c r="S13" s="4"/>
      <c r="T13" s="4" t="s">
        <v>360</v>
      </c>
      <c r="V13" s="4" t="s">
        <v>360</v>
      </c>
      <c r="W13" s="2" t="str">
        <f>IF(Tabla_Descuentos[[#This Row],[id_padre]]=Tabla_Descuentos[[#This Row],[Id]],"NOK","OK")</f>
        <v>OK</v>
      </c>
      <c r="X13" s="2"/>
      <c r="Y13" s="2"/>
    </row>
    <row r="14" spans="1:25" x14ac:dyDescent="0.5">
      <c r="A14" s="2">
        <f>MAX(Tabla_Licencias_Medicas[Id])</f>
        <v>1011</v>
      </c>
      <c r="B14">
        <v>1013</v>
      </c>
      <c r="C14" s="5">
        <f>IF(Tabla_Descuentos[[#This Row],[id_padre]]="",0,_xlfn.XLOOKUP(Tabla_Descuentos[[#This Row],[id_padre]],Tabla_Descuentos[Id],Tabla_Descuentos[Nivel],0,0,1)+1)</f>
        <v>2</v>
      </c>
      <c r="D14" s="2" t="s">
        <v>882</v>
      </c>
      <c r="E14">
        <f>IF(Tabla_Descuentos[[#This Row],[Id_anterior]]=1,ROW()-1,SUM(ROW()-1,Tabla_Descuentos[[#This Row],[Id_anterior]]))</f>
        <v>1024</v>
      </c>
      <c r="F14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DESCUENTOS_PARAMETROS_MANTENCION_SUBCODIGOS_DESCUENTOS</v>
      </c>
      <c r="G14" s="2" t="str">
        <f>CLEAN(PROPER(Tabla_Descuentos[[#This Row],[Nombre Opción]]))</f>
        <v>Mantención Subcodigos De Descuentos</v>
      </c>
      <c r="H14" s="2" t="s">
        <v>1735</v>
      </c>
      <c r="I14" s="2" t="str">
        <f>_xlfn.XLOOKUP(Tabla_Descuentos[[#This Row],[id_padre]],Tabla_Descuentos[Id],Tabla_Descuentos[Codigo_Tecnico],"",0,1)</f>
        <v>DESCUENTOS_PARAMETROS</v>
      </c>
      <c r="J14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/descuentos/parametros/mantencion-subcodigos-descuentos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mantencion-subcodigos-descuentos</v>
      </c>
      <c r="L14" s="2" t="s">
        <v>1600</v>
      </c>
      <c r="M14" s="2" t="s">
        <v>1800</v>
      </c>
      <c r="N14" s="4" t="s">
        <v>360</v>
      </c>
      <c r="O14" s="4" t="s">
        <v>360</v>
      </c>
      <c r="P14" s="4"/>
      <c r="Q14" s="4"/>
      <c r="R14" s="4"/>
      <c r="S14" s="4" t="s">
        <v>360</v>
      </c>
      <c r="T14" s="4" t="s">
        <v>360</v>
      </c>
      <c r="V14" s="4" t="s">
        <v>360</v>
      </c>
      <c r="W14" s="2" t="str">
        <f>IF(Tabla_Descuentos[[#This Row],[id_padre]]=Tabla_Descuentos[[#This Row],[Id]],"NOK","OK")</f>
        <v>OK</v>
      </c>
      <c r="X14" s="2"/>
      <c r="Y14" s="2"/>
    </row>
    <row r="15" spans="1:25" x14ac:dyDescent="0.5">
      <c r="A15" s="2">
        <f>MAX(Tabla_Licencias_Medicas[Id])</f>
        <v>1011</v>
      </c>
      <c r="B15">
        <v>1013</v>
      </c>
      <c r="C15" s="5">
        <f>IF(Tabla_Descuentos[[#This Row],[id_padre]]="",0,_xlfn.XLOOKUP(Tabla_Descuentos[[#This Row],[id_padre]],Tabla_Descuentos[Id],Tabla_Descuentos[Nivel],0,0,1)+1)</f>
        <v>2</v>
      </c>
      <c r="D15" s="2" t="s">
        <v>883</v>
      </c>
      <c r="E15">
        <f>IF(Tabla_Descuentos[[#This Row],[Id_anterior]]=1,ROW()-1,SUM(ROW()-1,Tabla_Descuentos[[#This Row],[Id_anterior]]))</f>
        <v>1025</v>
      </c>
      <c r="F15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DESCUENTOS_PARAMETROS_MANTENCION_MONEDA_FORMULACION</v>
      </c>
      <c r="G15" s="2" t="str">
        <f>CLEAN(PROPER(Tabla_Descuentos[[#This Row],[Nombre Opción]]))</f>
        <v>Mantención Moneda De Formulación</v>
      </c>
      <c r="H15" s="2" t="s">
        <v>1735</v>
      </c>
      <c r="I15" s="2" t="str">
        <f>_xlfn.XLOOKUP(Tabla_Descuentos[[#This Row],[id_padre]],Tabla_Descuentos[Id],Tabla_Descuentos[Codigo_Tecnico],"",0,1)</f>
        <v>DESCUENTOS_PARAMETROS</v>
      </c>
      <c r="J15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/descuentos/parametros/mantencion-moneda-formulacion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mantencion-moneda-formulacion</v>
      </c>
      <c r="L15" s="2" t="s">
        <v>1362</v>
      </c>
      <c r="M15" s="2" t="s">
        <v>1800</v>
      </c>
      <c r="N15" s="4" t="s">
        <v>360</v>
      </c>
      <c r="O15" s="4" t="s">
        <v>360</v>
      </c>
      <c r="P15" s="4"/>
      <c r="Q15" s="4"/>
      <c r="R15" s="4"/>
      <c r="S15" s="4"/>
      <c r="V15" s="4" t="s">
        <v>360</v>
      </c>
      <c r="W15" s="2" t="str">
        <f>IF(Tabla_Descuentos[[#This Row],[id_padre]]=Tabla_Descuentos[[#This Row],[Id]],"NOK","OK")</f>
        <v>OK</v>
      </c>
      <c r="X15" s="2"/>
      <c r="Y15" s="2"/>
    </row>
    <row r="16" spans="1:25" x14ac:dyDescent="0.5">
      <c r="A16" s="2">
        <f>MAX(Tabla_Licencias_Medicas[Id])</f>
        <v>1011</v>
      </c>
      <c r="B16">
        <v>1013</v>
      </c>
      <c r="C16" s="5">
        <f>IF(Tabla_Descuentos[[#This Row],[id_padre]]="",0,_xlfn.XLOOKUP(Tabla_Descuentos[[#This Row],[id_padre]],Tabla_Descuentos[Id],Tabla_Descuentos[Nivel],0,0,1)+1)</f>
        <v>2</v>
      </c>
      <c r="D16" s="2" t="s">
        <v>884</v>
      </c>
      <c r="E16">
        <f>IF(Tabla_Descuentos[[#This Row],[Id_anterior]]=1,ROW()-1,SUM(ROW()-1,Tabla_Descuentos[[#This Row],[Id_anterior]]))</f>
        <v>1026</v>
      </c>
      <c r="F16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DESCUENTOS_PARAMETROS_MANTENCION_OTROS_EMPLEADOS</v>
      </c>
      <c r="G16" s="2" t="str">
        <f>CLEAN(PROPER(Tabla_Descuentos[[#This Row],[Nombre Opción]]))</f>
        <v>Mantencion Otros Empleados</v>
      </c>
      <c r="H16" s="2" t="s">
        <v>1735</v>
      </c>
      <c r="I16" s="2" t="str">
        <f>_xlfn.XLOOKUP(Tabla_Descuentos[[#This Row],[id_padre]],Tabla_Descuentos[Id],Tabla_Descuentos[Codigo_Tecnico],"",0,1)</f>
        <v>DESCUENTOS_PARAMETROS</v>
      </c>
      <c r="J16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/descuentos/parametros/mantencion-otros-empleados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mantencion-otros-empleados</v>
      </c>
      <c r="L16" s="2" t="s">
        <v>1506</v>
      </c>
      <c r="M16" s="2" t="s">
        <v>1800</v>
      </c>
      <c r="N16" s="4" t="s">
        <v>360</v>
      </c>
      <c r="O16" s="4" t="s">
        <v>360</v>
      </c>
      <c r="P16" s="4"/>
      <c r="Q16" s="4"/>
      <c r="R16" s="4"/>
      <c r="S16" s="4" t="s">
        <v>360</v>
      </c>
      <c r="V16" s="4" t="s">
        <v>360</v>
      </c>
      <c r="W16" s="2" t="str">
        <f>IF(Tabla_Descuentos[[#This Row],[id_padre]]=Tabla_Descuentos[[#This Row],[Id]],"NOK","OK")</f>
        <v>OK</v>
      </c>
      <c r="X16" s="2"/>
      <c r="Y16" s="2"/>
    </row>
    <row r="17" spans="1:25" hidden="1" x14ac:dyDescent="0.5">
      <c r="A17" s="2">
        <f>MAX(Tabla_Licencias_Medicas[Id])</f>
        <v>1011</v>
      </c>
      <c r="B17">
        <v>1014</v>
      </c>
      <c r="C17" s="5">
        <f>IF(Tabla_Descuentos[[#This Row],[id_padre]]="",0,_xlfn.XLOOKUP(Tabla_Descuentos[[#This Row],[id_padre]],Tabla_Descuentos[Id],Tabla_Descuentos[Nivel],0,0,1)+1)</f>
        <v>2</v>
      </c>
      <c r="D17" s="2" t="s">
        <v>1597</v>
      </c>
      <c r="E17">
        <f>IF(Tabla_Descuentos[[#This Row],[Id_anterior]]=1,ROW()-1,SUM(ROW()-1,Tabla_Descuentos[[#This Row],[Id_anterior]]))</f>
        <v>1027</v>
      </c>
      <c r="F17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DESCUENTOS_FORMULACION/RECEPCION_FORMULACION_DESCUENTOS_PERSONAL_FACH</v>
      </c>
      <c r="G17" s="2" t="str">
        <f>CLEAN(PROPER(Tabla_Descuentos[[#This Row],[Nombre Opción]]))</f>
        <v>Formulacion Descuentos Personal Fach</v>
      </c>
      <c r="H17" s="2" t="s">
        <v>1735</v>
      </c>
      <c r="I17" s="2" t="str">
        <f>_xlfn.XLOOKUP(Tabla_Descuentos[[#This Row],[id_padre]],Tabla_Descuentos[Id],Tabla_Descuentos[Codigo_Tecnico],"",0,1)</f>
        <v>DESCUENTOS_FORMULACION/RECEPCION</v>
      </c>
      <c r="J17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/descuentos/formulacion/recepcion/formulacion-descuentos-personal-fach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formulacion-descuentos-personal-fach</v>
      </c>
      <c r="L17" s="2" t="s">
        <v>1505</v>
      </c>
      <c r="M17" s="2" t="s">
        <v>1800</v>
      </c>
      <c r="N17" s="4" t="s">
        <v>360</v>
      </c>
      <c r="O17" s="4" t="s">
        <v>360</v>
      </c>
      <c r="P17" s="4"/>
      <c r="Q17" s="4"/>
      <c r="R17" s="4"/>
      <c r="S17" s="4" t="s">
        <v>360</v>
      </c>
      <c r="T17" s="4" t="s">
        <v>360</v>
      </c>
      <c r="V17" s="4" t="s">
        <v>360</v>
      </c>
      <c r="W17" s="2" t="str">
        <f>IF(Tabla_Descuentos[[#This Row],[id_padre]]=Tabla_Descuentos[[#This Row],[Id]],"NOK","OK")</f>
        <v>OK</v>
      </c>
      <c r="X17" s="2"/>
      <c r="Y17" s="2"/>
    </row>
    <row r="18" spans="1:25" hidden="1" x14ac:dyDescent="0.5">
      <c r="A18" s="2">
        <f>MAX(Tabla_Licencias_Medicas[Id])</f>
        <v>1011</v>
      </c>
      <c r="B18" s="2">
        <v>1027</v>
      </c>
      <c r="C18" s="5">
        <f>IF(Tabla_Descuentos[[#This Row],[id_padre]]="",0,_xlfn.XLOOKUP(Tabla_Descuentos[[#This Row],[id_padre]],Tabla_Descuentos[Id],Tabla_Descuentos[Nivel],0,0,1)+1)</f>
        <v>3</v>
      </c>
      <c r="D18" s="2" t="s">
        <v>1596</v>
      </c>
      <c r="E18" s="2">
        <f>IF(Tabla_Descuentos[[#This Row],[Id_anterior]]=1,ROW()-1,SUM(ROW()-1,Tabla_Descuentos[[#This Row],[Id_anterior]]))</f>
        <v>1028</v>
      </c>
      <c r="F18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DESCUENTOS_FORMULACION/RECEPCION_FORMULACION_DESCUENTOS_PERSONAL_FACH_GENERA_DESCUENTOS_MENSUALES</v>
      </c>
      <c r="G18" s="2" t="str">
        <f>CLEAN(PROPER(Tabla_Descuentos[[#This Row],[Nombre Opción]]))</f>
        <v>Genera Descuentos Mensuales</v>
      </c>
      <c r="H18" s="2" t="s">
        <v>1735</v>
      </c>
      <c r="I18" s="2" t="str">
        <f>_xlfn.XLOOKUP(Tabla_Descuentos[[#This Row],[id_padre]],Tabla_Descuentos[Id],Tabla_Descuentos[Codigo_Tecnico],"",0,1)</f>
        <v>DESCUENTOS_FORMULACION/RECEPCION_FORMULACION_DESCUENTOS_PERSONAL_FACH</v>
      </c>
      <c r="J18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/descuentos/formulacion/recepcion/formulacion-descuentos-personal-fach/genera-descuentos-mensuales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genera-descuentos-mensuales</v>
      </c>
      <c r="L18" s="2" t="s">
        <v>1453</v>
      </c>
      <c r="M18" s="2" t="s">
        <v>1800</v>
      </c>
      <c r="N18" s="4"/>
      <c r="O18" s="4"/>
      <c r="P18" s="4"/>
      <c r="Q18" s="4"/>
      <c r="R18" s="4"/>
      <c r="S18" s="4"/>
      <c r="V18" s="4" t="s">
        <v>360</v>
      </c>
      <c r="W18" s="2" t="str">
        <f>IF(Tabla_Descuentos[[#This Row],[id_padre]]=Tabla_Descuentos[[#This Row],[Id]],"NOK","OK")</f>
        <v>OK</v>
      </c>
      <c r="X18" s="2"/>
      <c r="Y18" s="2"/>
    </row>
    <row r="19" spans="1:25" hidden="1" x14ac:dyDescent="0.5">
      <c r="A19" s="2">
        <f>MAX(Tabla_Licencias_Medicas[Id])</f>
        <v>1011</v>
      </c>
      <c r="B19">
        <v>1014</v>
      </c>
      <c r="C19" s="5">
        <f>IF(Tabla_Descuentos[[#This Row],[id_padre]]="",0,_xlfn.XLOOKUP(Tabla_Descuentos[[#This Row],[id_padre]],Tabla_Descuentos[Id],Tabla_Descuentos[Nivel],0,0,1)+1)</f>
        <v>2</v>
      </c>
      <c r="D19" s="2" t="s">
        <v>885</v>
      </c>
      <c r="E19">
        <f>IF(Tabla_Descuentos[[#This Row],[Id_anterior]]=1,ROW()-1,SUM(ROW()-1,Tabla_Descuentos[[#This Row],[Id_anterior]]))</f>
        <v>1029</v>
      </c>
      <c r="F19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DESCUENTOS_FORMULACION/RECEPCION_GENERA_ARCHIVO_SISREM_MONEDA_NACIONAL</v>
      </c>
      <c r="G19" s="2" t="str">
        <f>CLEAN(PROPER(Tabla_Descuentos[[#This Row],[Nombre Opción]]))</f>
        <v>Genera Archivo Sisrem Moneda Nacional</v>
      </c>
      <c r="H19" s="2" t="s">
        <v>1735</v>
      </c>
      <c r="I19" s="2" t="str">
        <f>_xlfn.XLOOKUP(Tabla_Descuentos[[#This Row],[id_padre]],Tabla_Descuentos[Id],Tabla_Descuentos[Codigo_Tecnico],"",0,1)</f>
        <v>DESCUENTOS_FORMULACION/RECEPCION</v>
      </c>
      <c r="J19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/descuentos/formulacion/recepcion/genera-archivo-sisrem-moneda-nacional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genera-archivo-sisrem-moneda-nacional</v>
      </c>
      <c r="L19" s="2" t="s">
        <v>1498</v>
      </c>
      <c r="M19" s="2" t="s">
        <v>1800</v>
      </c>
      <c r="N19" s="4" t="s">
        <v>360</v>
      </c>
      <c r="O19" s="4" t="s">
        <v>360</v>
      </c>
      <c r="P19" s="4"/>
      <c r="Q19" s="4"/>
      <c r="R19" s="4"/>
      <c r="S19" s="4" t="s">
        <v>360</v>
      </c>
      <c r="T19" s="4" t="s">
        <v>360</v>
      </c>
      <c r="V19" s="4" t="s">
        <v>360</v>
      </c>
      <c r="W19" s="2" t="str">
        <f>IF(Tabla_Descuentos[[#This Row],[id_padre]]=Tabla_Descuentos[[#This Row],[Id]],"NOK","OK")</f>
        <v>OK</v>
      </c>
      <c r="X19" s="2"/>
      <c r="Y19" s="2"/>
    </row>
    <row r="20" spans="1:25" hidden="1" x14ac:dyDescent="0.5">
      <c r="A20" s="2">
        <f>MAX(Tabla_Licencias_Medicas[Id])</f>
        <v>1011</v>
      </c>
      <c r="B20">
        <v>1014</v>
      </c>
      <c r="C20" s="5">
        <f>IF(Tabla_Descuentos[[#This Row],[id_padre]]="",0,_xlfn.XLOOKUP(Tabla_Descuentos[[#This Row],[id_padre]],Tabla_Descuentos[Id],Tabla_Descuentos[Nivel],0,0,1)+1)</f>
        <v>2</v>
      </c>
      <c r="D20" s="2" t="s">
        <v>886</v>
      </c>
      <c r="E20">
        <f>IF(Tabla_Descuentos[[#This Row],[Id_anterior]]=1,ROW()-1,SUM(ROW()-1,Tabla_Descuentos[[#This Row],[Id_anterior]]))</f>
        <v>1030</v>
      </c>
      <c r="F20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DESCUENTOS_FORMULACION/RECEPCION_GENERA_ARCHIVO_SISREM_MONEDA_DOLAR</v>
      </c>
      <c r="G20" s="2" t="str">
        <f>CLEAN(PROPER(Tabla_Descuentos[[#This Row],[Nombre Opción]]))</f>
        <v>Genera Archivo Sisrem Moneda Dolar</v>
      </c>
      <c r="H20" s="2" t="s">
        <v>1735</v>
      </c>
      <c r="I20" s="2" t="str">
        <f>_xlfn.XLOOKUP(Tabla_Descuentos[[#This Row],[id_padre]],Tabla_Descuentos[Id],Tabla_Descuentos[Codigo_Tecnico],"",0,1)</f>
        <v>DESCUENTOS_FORMULACION/RECEPCION</v>
      </c>
      <c r="J20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/descuentos/formulacion/recepcion/genera-archivo-sisrem-moneda-dolar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genera-archivo-sisrem-moneda-dolar</v>
      </c>
      <c r="L20" s="2" t="s">
        <v>1434</v>
      </c>
      <c r="M20" s="2" t="s">
        <v>1800</v>
      </c>
      <c r="N20" s="4" t="s">
        <v>360</v>
      </c>
      <c r="O20" s="4" t="s">
        <v>360</v>
      </c>
      <c r="P20" s="4"/>
      <c r="Q20" s="4"/>
      <c r="R20" s="4"/>
      <c r="S20" s="4" t="s">
        <v>360</v>
      </c>
      <c r="V20" s="4" t="s">
        <v>360</v>
      </c>
      <c r="W20" s="2" t="str">
        <f>IF(Tabla_Descuentos[[#This Row],[id_padre]]=Tabla_Descuentos[[#This Row],[Id]],"NOK","OK")</f>
        <v>OK</v>
      </c>
      <c r="X20" s="2"/>
      <c r="Y20" s="2"/>
    </row>
    <row r="21" spans="1:25" hidden="1" x14ac:dyDescent="0.5">
      <c r="A21" s="2">
        <f>MAX(Tabla_Licencias_Medicas[Id])</f>
        <v>1011</v>
      </c>
      <c r="B21">
        <v>1014</v>
      </c>
      <c r="C21" s="5">
        <f>IF(Tabla_Descuentos[[#This Row],[id_padre]]="",0,_xlfn.XLOOKUP(Tabla_Descuentos[[#This Row],[id_padre]],Tabla_Descuentos[Id],Tabla_Descuentos[Nivel],0,0,1)+1)</f>
        <v>2</v>
      </c>
      <c r="D21" s="2" t="s">
        <v>887</v>
      </c>
      <c r="E21">
        <f>IF(Tabla_Descuentos[[#This Row],[Id_anterior]]=1,ROW()-1,SUM(ROW()-1,Tabla_Descuentos[[#This Row],[Id_anterior]]))</f>
        <v>1031</v>
      </c>
      <c r="F21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DESCUENTOS_FORMULACION/RECEPCION_RECEPCION_DESCUENTOS_PERSONAL_FACH</v>
      </c>
      <c r="G21" s="2" t="str">
        <f>CLEAN(PROPER(Tabla_Descuentos[[#This Row],[Nombre Opción]]))</f>
        <v>Recepcion Descuentos Personal Fach</v>
      </c>
      <c r="H21" s="2" t="s">
        <v>1735</v>
      </c>
      <c r="I21" s="2" t="str">
        <f>_xlfn.XLOOKUP(Tabla_Descuentos[[#This Row],[id_padre]],Tabla_Descuentos[Id],Tabla_Descuentos[Codigo_Tecnico],"",0,1)</f>
        <v>DESCUENTOS_FORMULACION/RECEPCION</v>
      </c>
      <c r="J21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/descuentos/formulacion/recepcion/recepcion-descuentos-personal-fach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recepcion-descuentos-personal-fach</v>
      </c>
      <c r="L21" s="2" t="s">
        <v>1388</v>
      </c>
      <c r="M21" s="2" t="s">
        <v>1800</v>
      </c>
      <c r="N21" s="4" t="s">
        <v>360</v>
      </c>
      <c r="O21" s="4" t="s">
        <v>360</v>
      </c>
      <c r="P21" s="4"/>
      <c r="Q21" s="4"/>
      <c r="R21" s="4"/>
      <c r="S21" s="4" t="s">
        <v>360</v>
      </c>
      <c r="T21" s="4" t="s">
        <v>360</v>
      </c>
      <c r="V21" s="4" t="s">
        <v>360</v>
      </c>
      <c r="W21" s="2" t="str">
        <f>IF(Tabla_Descuentos[[#This Row],[id_padre]]=Tabla_Descuentos[[#This Row],[Id]],"NOK","OK")</f>
        <v>OK</v>
      </c>
      <c r="X21" s="2"/>
      <c r="Y21" s="2"/>
    </row>
    <row r="22" spans="1:25" hidden="1" x14ac:dyDescent="0.5">
      <c r="A22" s="2">
        <f>MAX(Tabla_Licencias_Medicas[Id])</f>
        <v>1011</v>
      </c>
      <c r="B22">
        <v>1031</v>
      </c>
      <c r="C22" s="5">
        <f>IF(Tabla_Descuentos[[#This Row],[id_padre]]="",0,_xlfn.XLOOKUP(Tabla_Descuentos[[#This Row],[id_padre]],Tabla_Descuentos[Id],Tabla_Descuentos[Nivel],0,0,1)+1)</f>
        <v>3</v>
      </c>
      <c r="D22" s="2" t="s">
        <v>888</v>
      </c>
      <c r="E22">
        <f>IF(Tabla_Descuentos[[#This Row],[Id_anterior]]=1,ROW()-1,SUM(ROW()-1,Tabla_Descuentos[[#This Row],[Id_anterior]]))</f>
        <v>1032</v>
      </c>
      <c r="F22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DESCUENTOS_FORMULACION/RECEPCION_RECEPCION_DESCUENTOS_PERSONAL_FACH_CARGA_DESCUENTOS_EFECTUADOS</v>
      </c>
      <c r="G22" s="2" t="str">
        <f>CLEAN(PROPER(Tabla_Descuentos[[#This Row],[Nombre Opción]]))</f>
        <v>Carga Descuentos Efectuados</v>
      </c>
      <c r="H22" s="2" t="s">
        <v>1735</v>
      </c>
      <c r="I22" s="2" t="str">
        <f>_xlfn.XLOOKUP(Tabla_Descuentos[[#This Row],[id_padre]],Tabla_Descuentos[Id],Tabla_Descuentos[Codigo_Tecnico],"",0,1)</f>
        <v>DESCUENTOS_FORMULACION/RECEPCION_RECEPCION_DESCUENTOS_PERSONAL_FACH</v>
      </c>
      <c r="J22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/descuentos/formulacion/recepcion/recepcion-descuentos-personal-fach/carga-descuentos-efectuados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carga-descuentos-efectuados</v>
      </c>
      <c r="L22" s="2" t="s">
        <v>1513</v>
      </c>
      <c r="M22" s="2" t="s">
        <v>1800</v>
      </c>
      <c r="N22" s="4" t="s">
        <v>360</v>
      </c>
      <c r="O22" s="4" t="s">
        <v>360</v>
      </c>
      <c r="P22" s="4"/>
      <c r="Q22" s="4"/>
      <c r="R22" s="4"/>
      <c r="S22" s="4" t="s">
        <v>360</v>
      </c>
      <c r="T22" s="4" t="s">
        <v>360</v>
      </c>
      <c r="V22" s="4" t="s">
        <v>360</v>
      </c>
      <c r="W22" s="2" t="str">
        <f>IF(Tabla_Descuentos[[#This Row],[id_padre]]=Tabla_Descuentos[[#This Row],[Id]],"NOK","OK")</f>
        <v>OK</v>
      </c>
      <c r="X22" s="2"/>
      <c r="Y22" s="2"/>
    </row>
    <row r="23" spans="1:25" hidden="1" x14ac:dyDescent="0.5">
      <c r="A23" s="2">
        <f>MAX(Tabla_Licencias_Medicas[Id])</f>
        <v>1011</v>
      </c>
      <c r="B23">
        <v>1031</v>
      </c>
      <c r="C23" s="5">
        <f>IF(Tabla_Descuentos[[#This Row],[id_padre]]="",0,_xlfn.XLOOKUP(Tabla_Descuentos[[#This Row],[id_padre]],Tabla_Descuentos[Id],Tabla_Descuentos[Nivel],0,0,1)+1)</f>
        <v>3</v>
      </c>
      <c r="D23" s="2" t="s">
        <v>889</v>
      </c>
      <c r="E23">
        <f>IF(Tabla_Descuentos[[#This Row],[Id_anterior]]=1,ROW()-1,SUM(ROW()-1,Tabla_Descuentos[[#This Row],[Id_anterior]]))</f>
        <v>1033</v>
      </c>
      <c r="F23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DESCUENTOS_FORMULACION/RECEPCION_RECEPCION_DESCUENTOS_PERSONAL_FACH_RECEPCION_DESCUENTOS_MONEDA_NACIONAL</v>
      </c>
      <c r="G23" s="2" t="str">
        <f>CLEAN(PROPER(Tabla_Descuentos[[#This Row],[Nombre Opción]]))</f>
        <v>Recepcion Descuentos Moneda Nacional</v>
      </c>
      <c r="H23" s="2" t="s">
        <v>1735</v>
      </c>
      <c r="I23" s="2" t="str">
        <f>_xlfn.XLOOKUP(Tabla_Descuentos[[#This Row],[id_padre]],Tabla_Descuentos[Id],Tabla_Descuentos[Codigo_Tecnico],"",0,1)</f>
        <v>DESCUENTOS_FORMULACION/RECEPCION_RECEPCION_DESCUENTOS_PERSONAL_FACH</v>
      </c>
      <c r="J23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/descuentos/formulacion/recepcion/recepcion-descuentos-personal-fach/recepcion-descuentos-moneda-nacional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recepcion-descuentos-moneda-nacional</v>
      </c>
      <c r="L23" s="2" t="s">
        <v>1484</v>
      </c>
      <c r="M23" s="2" t="s">
        <v>1800</v>
      </c>
      <c r="N23" s="4" t="s">
        <v>360</v>
      </c>
      <c r="O23" s="4" t="s">
        <v>360</v>
      </c>
      <c r="P23" s="4"/>
      <c r="Q23" s="4"/>
      <c r="R23" s="4"/>
      <c r="S23" s="4" t="s">
        <v>360</v>
      </c>
      <c r="T23" s="4" t="s">
        <v>360</v>
      </c>
      <c r="V23" s="4" t="s">
        <v>360</v>
      </c>
      <c r="W23" s="2" t="str">
        <f>IF(Tabla_Descuentos[[#This Row],[id_padre]]=Tabla_Descuentos[[#This Row],[Id]],"NOK","OK")</f>
        <v>OK</v>
      </c>
      <c r="X23" s="2"/>
      <c r="Y23" s="2"/>
    </row>
    <row r="24" spans="1:25" hidden="1" x14ac:dyDescent="0.5">
      <c r="A24" s="2">
        <f>MAX(Tabla_Licencias_Medicas[Id])</f>
        <v>1011</v>
      </c>
      <c r="B24">
        <v>1031</v>
      </c>
      <c r="C24" s="5">
        <f>IF(Tabla_Descuentos[[#This Row],[id_padre]]="",0,_xlfn.XLOOKUP(Tabla_Descuentos[[#This Row],[id_padre]],Tabla_Descuentos[Id],Tabla_Descuentos[Nivel],0,0,1)+1)</f>
        <v>3</v>
      </c>
      <c r="D24" s="2" t="s">
        <v>890</v>
      </c>
      <c r="E24">
        <f>IF(Tabla_Descuentos[[#This Row],[Id_anterior]]=1,ROW()-1,SUM(ROW()-1,Tabla_Descuentos[[#This Row],[Id_anterior]]))</f>
        <v>1034</v>
      </c>
      <c r="F24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DESCUENTOS_FORMULACION/RECEPCION_RECEPCION_DESCUENTOS_PERSONAL_FACH_RECEPCION_DESCUENTOS_MONEDA_DOLAR</v>
      </c>
      <c r="G24" s="2" t="str">
        <f>CLEAN(PROPER(Tabla_Descuentos[[#This Row],[Nombre Opción]]))</f>
        <v>Recepcion Descuentos Moneda Dolar</v>
      </c>
      <c r="H24" s="2" t="s">
        <v>1735</v>
      </c>
      <c r="I24" s="2" t="str">
        <f>_xlfn.XLOOKUP(Tabla_Descuentos[[#This Row],[id_padre]],Tabla_Descuentos[Id],Tabla_Descuentos[Codigo_Tecnico],"",0,1)</f>
        <v>DESCUENTOS_FORMULACION/RECEPCION_RECEPCION_DESCUENTOS_PERSONAL_FACH</v>
      </c>
      <c r="J24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/descuentos/formulacion/recepcion/recepcion-descuentos-personal-fach/recepcion-descuentos-moneda-dolar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recepcion-descuentos-moneda-dolar</v>
      </c>
      <c r="L24" s="2" t="s">
        <v>1426</v>
      </c>
      <c r="M24" s="2" t="s">
        <v>1800</v>
      </c>
      <c r="N24" s="4" t="s">
        <v>360</v>
      </c>
      <c r="O24" s="4" t="s">
        <v>360</v>
      </c>
      <c r="P24" s="4"/>
      <c r="Q24" s="4"/>
      <c r="R24" s="4"/>
      <c r="S24" s="4" t="s">
        <v>360</v>
      </c>
      <c r="V24" s="4" t="s">
        <v>360</v>
      </c>
      <c r="W24" s="2" t="str">
        <f>IF(Tabla_Descuentos[[#This Row],[id_padre]]=Tabla_Descuentos[[#This Row],[Id]],"NOK","OK")</f>
        <v>OK</v>
      </c>
      <c r="X24" s="2"/>
      <c r="Y24" s="2"/>
    </row>
    <row r="25" spans="1:25" hidden="1" x14ac:dyDescent="0.5">
      <c r="A25" s="2">
        <f>MAX(Tabla_Licencias_Medicas[Id])</f>
        <v>1011</v>
      </c>
      <c r="B25">
        <v>1014</v>
      </c>
      <c r="C25" s="5">
        <f>IF(Tabla_Descuentos[[#This Row],[id_padre]]="",0,_xlfn.XLOOKUP(Tabla_Descuentos[[#This Row],[id_padre]],Tabla_Descuentos[Id],Tabla_Descuentos[Nivel],0,0,1)+1)</f>
        <v>2</v>
      </c>
      <c r="D25" s="2" t="s">
        <v>891</v>
      </c>
      <c r="E25">
        <f>IF(Tabla_Descuentos[[#This Row],[Id_anterior]]=1,ROW()-1,SUM(ROW()-1,Tabla_Descuentos[[#This Row],[Id_anterior]]))</f>
        <v>1035</v>
      </c>
      <c r="F25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DESCUENTOS_FORMULACION/RECEPCION_FORMULACION_DESCUENTOS_CAPREDENA_OTROS_EMPLEADOS</v>
      </c>
      <c r="G25" s="2" t="str">
        <f>CLEAN(PROPER(Tabla_Descuentos[[#This Row],[Nombre Opción]]))</f>
        <v>Formulacion Descuentos Capredena / Otros Empleados</v>
      </c>
      <c r="H25" s="2" t="s">
        <v>1735</v>
      </c>
      <c r="I25" s="2" t="str">
        <f>_xlfn.XLOOKUP(Tabla_Descuentos[[#This Row],[id_padre]],Tabla_Descuentos[Id],Tabla_Descuentos[Codigo_Tecnico],"",0,1)</f>
        <v>DESCUENTOS_FORMULACION/RECEPCION</v>
      </c>
      <c r="J25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/descuentos/formulacion/recepcion/formulacion-descuentos-capredena-otros-empleados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formulacion-descuentos-capredena-otros-empleados</v>
      </c>
      <c r="L25" s="2" t="s">
        <v>1601</v>
      </c>
      <c r="M25" s="2" t="s">
        <v>1800</v>
      </c>
      <c r="N25" s="4" t="s">
        <v>360</v>
      </c>
      <c r="O25" s="4" t="s">
        <v>360</v>
      </c>
      <c r="P25" s="4"/>
      <c r="Q25" s="4"/>
      <c r="R25" s="4"/>
      <c r="S25" s="4" t="s">
        <v>360</v>
      </c>
      <c r="V25" s="4" t="s">
        <v>360</v>
      </c>
      <c r="W25" s="2" t="str">
        <f>IF(Tabla_Descuentos[[#This Row],[id_padre]]=Tabla_Descuentos[[#This Row],[Id]],"NOK","OK")</f>
        <v>OK</v>
      </c>
      <c r="X25" s="2"/>
      <c r="Y25" s="2"/>
    </row>
    <row r="26" spans="1:25" hidden="1" x14ac:dyDescent="0.5">
      <c r="A26" s="2">
        <f>MAX(Tabla_Licencias_Medicas[Id])</f>
        <v>1011</v>
      </c>
      <c r="B26">
        <v>1035</v>
      </c>
      <c r="C26" s="5">
        <f>IF(Tabla_Descuentos[[#This Row],[id_padre]]="",0,_xlfn.XLOOKUP(Tabla_Descuentos[[#This Row],[id_padre]],Tabla_Descuentos[Id],Tabla_Descuentos[Nivel],0,0,1)+1)</f>
        <v>3</v>
      </c>
      <c r="D26" s="2" t="s">
        <v>892</v>
      </c>
      <c r="E26">
        <f>IF(Tabla_Descuentos[[#This Row],[Id_anterior]]=1,ROW()-1,SUM(ROW()-1,Tabla_Descuentos[[#This Row],[Id_anterior]]))</f>
        <v>1036</v>
      </c>
      <c r="F26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DESCUENTOS_FORMULACION/RECEPCION_FORMULACION_DESCUENTOS_CAPREDENA_OTROS_EMPLEADOS_GENERA_DESCUENTOS_MASIVOS</v>
      </c>
      <c r="G26" s="2" t="str">
        <f>CLEAN(PROPER(Tabla_Descuentos[[#This Row],[Nombre Opción]]))</f>
        <v>Genera Descuentos Masivos</v>
      </c>
      <c r="H26" s="2" t="s">
        <v>1735</v>
      </c>
      <c r="I26" s="2" t="str">
        <f>_xlfn.XLOOKUP(Tabla_Descuentos[[#This Row],[id_padre]],Tabla_Descuentos[Id],Tabla_Descuentos[Codigo_Tecnico],"",0,1)</f>
        <v>DESCUENTOS_FORMULACION/RECEPCION_FORMULACION_DESCUENTOS_CAPREDENA_OTROS_EMPLEADOS</v>
      </c>
      <c r="J26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/descuentos/formulacion/recepcion/formulacion-descuentos-capredena-otros-empleados/genera-descuentos-masivos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genera-descuentos-masivos</v>
      </c>
      <c r="L26" s="2" t="s">
        <v>1566</v>
      </c>
      <c r="M26" s="2" t="s">
        <v>1800</v>
      </c>
      <c r="N26" s="4" t="s">
        <v>360</v>
      </c>
      <c r="O26" s="4" t="s">
        <v>360</v>
      </c>
      <c r="P26" s="4"/>
      <c r="Q26" s="4"/>
      <c r="R26" s="4"/>
      <c r="S26" s="4" t="s">
        <v>360</v>
      </c>
      <c r="V26" s="4" t="s">
        <v>360</v>
      </c>
      <c r="W26" s="2" t="str">
        <f>IF(Tabla_Descuentos[[#This Row],[id_padre]]=Tabla_Descuentos[[#This Row],[Id]],"NOK","OK")</f>
        <v>OK</v>
      </c>
      <c r="X26" s="2"/>
      <c r="Y26" s="2"/>
    </row>
    <row r="27" spans="1:25" hidden="1" x14ac:dyDescent="0.5">
      <c r="A27" s="2">
        <f>MAX(Tabla_Licencias_Medicas[Id])</f>
        <v>1011</v>
      </c>
      <c r="B27">
        <v>1035</v>
      </c>
      <c r="C27" s="5">
        <f>IF(Tabla_Descuentos[[#This Row],[id_padre]]="",0,_xlfn.XLOOKUP(Tabla_Descuentos[[#This Row],[id_padre]],Tabla_Descuentos[Id],Tabla_Descuentos[Nivel],0,0,1)+1)</f>
        <v>3</v>
      </c>
      <c r="D27" s="2" t="s">
        <v>893</v>
      </c>
      <c r="E27">
        <f>IF(Tabla_Descuentos[[#This Row],[Id_anterior]]=1,ROW()-1,SUM(ROW()-1,Tabla_Descuentos[[#This Row],[Id_anterior]]))</f>
        <v>1037</v>
      </c>
      <c r="F27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DESCUENTOS_FORMULACION/RECEPCION_FORMULACION_DESCUENTOS_CAPREDENA_OTROS_EMPLEADOS_GENERA_ARCHIVO_CAPREDENA</v>
      </c>
      <c r="G27" s="2" t="str">
        <f>CLEAN(PROPER(Tabla_Descuentos[[#This Row],[Nombre Opción]]))</f>
        <v>Genera Archivo Capredena</v>
      </c>
      <c r="H27" s="2" t="s">
        <v>1735</v>
      </c>
      <c r="I27" s="2" t="str">
        <f>_xlfn.XLOOKUP(Tabla_Descuentos[[#This Row],[id_padre]],Tabla_Descuentos[Id],Tabla_Descuentos[Codigo_Tecnico],"",0,1)</f>
        <v>DESCUENTOS_FORMULACION/RECEPCION_FORMULACION_DESCUENTOS_CAPREDENA_OTROS_EMPLEADOS</v>
      </c>
      <c r="J27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/descuentos/formulacion/recepcion/formulacion-descuentos-capredena-otros-empleados/genera-archivo-capredena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genera-archivo-capredena</v>
      </c>
      <c r="L27" s="2" t="s">
        <v>1532</v>
      </c>
      <c r="M27" s="2" t="s">
        <v>1800</v>
      </c>
      <c r="N27" s="4" t="s">
        <v>360</v>
      </c>
      <c r="O27" s="4" t="s">
        <v>360</v>
      </c>
      <c r="P27" s="4"/>
      <c r="Q27" s="4"/>
      <c r="R27" s="4"/>
      <c r="S27" s="4" t="s">
        <v>360</v>
      </c>
      <c r="V27" s="4" t="s">
        <v>360</v>
      </c>
      <c r="W27" s="2" t="str">
        <f>IF(Tabla_Descuentos[[#This Row],[id_padre]]=Tabla_Descuentos[[#This Row],[Id]],"NOK","OK")</f>
        <v>OK</v>
      </c>
      <c r="X27" s="2"/>
      <c r="Y27" s="2"/>
    </row>
    <row r="28" spans="1:25" hidden="1" x14ac:dyDescent="0.5">
      <c r="A28" s="2">
        <f>MAX(Tabla_Licencias_Medicas[Id])</f>
        <v>1011</v>
      </c>
      <c r="B28">
        <v>1035</v>
      </c>
      <c r="C28" s="5">
        <f>IF(Tabla_Descuentos[[#This Row],[id_padre]]="",0,_xlfn.XLOOKUP(Tabla_Descuentos[[#This Row],[id_padre]],Tabla_Descuentos[Id],Tabla_Descuentos[Nivel],0,0,1)+1)</f>
        <v>3</v>
      </c>
      <c r="D28" s="2" t="s">
        <v>894</v>
      </c>
      <c r="E28">
        <f>IF(Tabla_Descuentos[[#This Row],[Id_anterior]]=1,ROW()-1,SUM(ROW()-1,Tabla_Descuentos[[#This Row],[Id_anterior]]))</f>
        <v>1038</v>
      </c>
      <c r="F28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DESCUENTOS_FORMULACION/RECEPCION_FORMULACION_DESCUENTOS_CAPREDENA_OTROS_EMPLEADOS_GENERA_ARCHIVO_OTROS_EMPLEADOS</v>
      </c>
      <c r="G28" s="2" t="str">
        <f>CLEAN(PROPER(Tabla_Descuentos[[#This Row],[Nombre Opción]]))</f>
        <v>Genera Archivo Otros Empleados</v>
      </c>
      <c r="H28" s="2" t="s">
        <v>1735</v>
      </c>
      <c r="I28" s="2" t="str">
        <f>_xlfn.XLOOKUP(Tabla_Descuentos[[#This Row],[id_padre]],Tabla_Descuentos[Id],Tabla_Descuentos[Codigo_Tecnico],"",0,1)</f>
        <v>DESCUENTOS_FORMULACION/RECEPCION_FORMULACION_DESCUENTOS_CAPREDENA_OTROS_EMPLEADOS</v>
      </c>
      <c r="J28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/descuentos/formulacion/recepcion/formulacion-descuentos-capredena-otros-empleados/genera-archivo-otros-empleados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genera-archivo-otros-empleados</v>
      </c>
      <c r="L28" s="2" t="s">
        <v>1397</v>
      </c>
      <c r="M28" s="2" t="s">
        <v>1800</v>
      </c>
      <c r="N28" s="4" t="s">
        <v>360</v>
      </c>
      <c r="O28" s="4" t="s">
        <v>360</v>
      </c>
      <c r="P28" s="4"/>
      <c r="Q28" s="4"/>
      <c r="R28" s="4"/>
      <c r="S28" s="4" t="s">
        <v>360</v>
      </c>
      <c r="V28" s="4" t="s">
        <v>360</v>
      </c>
      <c r="W28" s="2" t="str">
        <f>IF(Tabla_Descuentos[[#This Row],[id_padre]]=Tabla_Descuentos[[#This Row],[Id]],"NOK","OK")</f>
        <v>OK</v>
      </c>
      <c r="X28" s="2"/>
      <c r="Y28" s="2"/>
    </row>
    <row r="29" spans="1:25" hidden="1" x14ac:dyDescent="0.5">
      <c r="A29" s="2">
        <f>MAX(Tabla_Licencias_Medicas[Id])</f>
        <v>1011</v>
      </c>
      <c r="B29">
        <v>1014</v>
      </c>
      <c r="C29" s="5">
        <f>IF(Tabla_Descuentos[[#This Row],[id_padre]]="",0,_xlfn.XLOOKUP(Tabla_Descuentos[[#This Row],[id_padre]],Tabla_Descuentos[Id],Tabla_Descuentos[Nivel],0,0,1)+1)</f>
        <v>2</v>
      </c>
      <c r="D29" s="2" t="s">
        <v>895</v>
      </c>
      <c r="E29">
        <f>IF(Tabla_Descuentos[[#This Row],[Id_anterior]]=1,ROW()-1,SUM(ROW()-1,Tabla_Descuentos[[#This Row],[Id_anterior]]))</f>
        <v>1039</v>
      </c>
      <c r="F29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DESCUENTOS_FORMULACION/RECEPCION_RECEPCION_DESCEUNTOS_CAPREDENA_OTROS_EMPLEADOS</v>
      </c>
      <c r="G29" s="2" t="str">
        <f>CLEAN(PROPER(Tabla_Descuentos[[#This Row],[Nombre Opción]]))</f>
        <v>Recepcion Desceuntos Capredena / Otros Empleados</v>
      </c>
      <c r="H29" s="2" t="s">
        <v>1735</v>
      </c>
      <c r="I29" s="2" t="str">
        <f>_xlfn.XLOOKUP(Tabla_Descuentos[[#This Row],[id_padre]],Tabla_Descuentos[Id],Tabla_Descuentos[Codigo_Tecnico],"",0,1)</f>
        <v>DESCUENTOS_FORMULACION/RECEPCION</v>
      </c>
      <c r="J29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/descuentos/formulacion/recepcion/recepcion-desceuntos-capredena-otros-empleados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recepcion-desceuntos-capredena-otros-empleados</v>
      </c>
      <c r="L29" s="2" t="s">
        <v>98</v>
      </c>
      <c r="M29" s="2" t="s">
        <v>1800</v>
      </c>
      <c r="N29" s="4" t="s">
        <v>360</v>
      </c>
      <c r="O29" s="4" t="s">
        <v>360</v>
      </c>
      <c r="P29" s="4"/>
      <c r="Q29" s="4"/>
      <c r="R29" s="4"/>
      <c r="S29" s="4" t="s">
        <v>360</v>
      </c>
      <c r="V29" s="4" t="s">
        <v>360</v>
      </c>
      <c r="W29" s="2" t="str">
        <f>IF(Tabla_Descuentos[[#This Row],[id_padre]]=Tabla_Descuentos[[#This Row],[Id]],"NOK","OK")</f>
        <v>OK</v>
      </c>
      <c r="X29" s="2"/>
      <c r="Y29" s="2"/>
    </row>
    <row r="30" spans="1:25" hidden="1" x14ac:dyDescent="0.5">
      <c r="A30" s="2">
        <f>MAX(Tabla_Licencias_Medicas[Id])</f>
        <v>1011</v>
      </c>
      <c r="B30">
        <v>1039</v>
      </c>
      <c r="C30" s="5">
        <f>IF(Tabla_Descuentos[[#This Row],[id_padre]]="",0,_xlfn.XLOOKUP(Tabla_Descuentos[[#This Row],[id_padre]],Tabla_Descuentos[Id],Tabla_Descuentos[Nivel],0,0,1)+1)</f>
        <v>3</v>
      </c>
      <c r="D30" s="2" t="s">
        <v>896</v>
      </c>
      <c r="E30">
        <f>IF(Tabla_Descuentos[[#This Row],[Id_anterior]]=1,ROW()-1,SUM(ROW()-1,Tabla_Descuentos[[#This Row],[Id_anterior]]))</f>
        <v>1040</v>
      </c>
      <c r="F30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DESCUENTOS_FORMULACION/RECEPCION_RECEPCION_DESCEUNTOS_CAPREDENA_OTROS_EMPLEADOS_CARGA_DESCUENTOS_EFECTUADOS_CAPREDENA</v>
      </c>
      <c r="G30" s="2" t="str">
        <f>CLEAN(PROPER(Tabla_Descuentos[[#This Row],[Nombre Opción]]))</f>
        <v>Carga Descuentos Efectuados Capredena</v>
      </c>
      <c r="H30" s="2" t="s">
        <v>1735</v>
      </c>
      <c r="I30" s="2" t="str">
        <f>_xlfn.XLOOKUP(Tabla_Descuentos[[#This Row],[id_padre]],Tabla_Descuentos[Id],Tabla_Descuentos[Codigo_Tecnico],"",0,1)</f>
        <v>DESCUENTOS_FORMULACION/RECEPCION_RECEPCION_DESCEUNTOS_CAPREDENA_OTROS_EMPLEADOS</v>
      </c>
      <c r="J30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/descuentos/formulacion/recepcion/recepcion-desceuntos-capredena-otros-empleados/carga-descuentos-efectuados-capredena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carga-descuentos-efectuados-capredena</v>
      </c>
      <c r="L30" s="2" t="s">
        <v>1513</v>
      </c>
      <c r="M30" s="2" t="s">
        <v>1800</v>
      </c>
      <c r="N30" s="4" t="s">
        <v>360</v>
      </c>
      <c r="O30" s="4" t="s">
        <v>360</v>
      </c>
      <c r="P30" s="4"/>
      <c r="Q30" s="4"/>
      <c r="R30" s="4"/>
      <c r="S30" s="4" t="s">
        <v>360</v>
      </c>
      <c r="V30" s="4" t="s">
        <v>360</v>
      </c>
      <c r="W30" s="2" t="str">
        <f>IF(Tabla_Descuentos[[#This Row],[id_padre]]=Tabla_Descuentos[[#This Row],[Id]],"NOK","OK")</f>
        <v>OK</v>
      </c>
      <c r="X30" s="2"/>
      <c r="Y30" s="2"/>
    </row>
    <row r="31" spans="1:25" hidden="1" x14ac:dyDescent="0.5">
      <c r="A31" s="2">
        <f>MAX(Tabla_Licencias_Medicas[Id])</f>
        <v>1011</v>
      </c>
      <c r="B31">
        <v>1039</v>
      </c>
      <c r="C31" s="5">
        <f>IF(Tabla_Descuentos[[#This Row],[id_padre]]="",0,_xlfn.XLOOKUP(Tabla_Descuentos[[#This Row],[id_padre]],Tabla_Descuentos[Id],Tabla_Descuentos[Nivel],0,0,1)+1)</f>
        <v>3</v>
      </c>
      <c r="D31" s="2" t="s">
        <v>897</v>
      </c>
      <c r="E31">
        <f>IF(Tabla_Descuentos[[#This Row],[Id_anterior]]=1,ROW()-1,SUM(ROW()-1,Tabla_Descuentos[[#This Row],[Id_anterior]]))</f>
        <v>1041</v>
      </c>
      <c r="F31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DESCUENTOS_FORMULACION/RECEPCION_RECEPCION_DESCEUNTOS_CAPREDENA_OTROS_EMPLEADOS_CARGA_DESCUENTOS_EFECTUADOS_OTROS_EMPLEADOS</v>
      </c>
      <c r="G31" s="2" t="str">
        <f>CLEAN(PROPER(Tabla_Descuentos[[#This Row],[Nombre Opción]]))</f>
        <v>Carga Descuentos Efectuados Otros Empleados</v>
      </c>
      <c r="H31" s="2" t="s">
        <v>1735</v>
      </c>
      <c r="I31" s="2" t="str">
        <f>_xlfn.XLOOKUP(Tabla_Descuentos[[#This Row],[id_padre]],Tabla_Descuentos[Id],Tabla_Descuentos[Codigo_Tecnico],"",0,1)</f>
        <v>DESCUENTOS_FORMULACION/RECEPCION_RECEPCION_DESCEUNTOS_CAPREDENA_OTROS_EMPLEADOS</v>
      </c>
      <c r="J31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/descuentos/formulacion/recepcion/recepcion-desceuntos-capredena-otros-empleados/carga-descuentos-efectuados-otros-empleados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carga-descuentos-efectuados-otros-empleados</v>
      </c>
      <c r="L31" s="2" t="s">
        <v>1602</v>
      </c>
      <c r="M31" s="2" t="s">
        <v>1800</v>
      </c>
      <c r="N31" s="4" t="s">
        <v>360</v>
      </c>
      <c r="O31" s="4" t="s">
        <v>360</v>
      </c>
      <c r="P31" s="4"/>
      <c r="Q31" s="4"/>
      <c r="R31" s="4"/>
      <c r="S31" s="4" t="s">
        <v>360</v>
      </c>
      <c r="V31" s="4" t="s">
        <v>360</v>
      </c>
      <c r="W31" s="2" t="str">
        <f>IF(Tabla_Descuentos[[#This Row],[id_padre]]=Tabla_Descuentos[[#This Row],[Id]],"NOK","OK")</f>
        <v>OK</v>
      </c>
      <c r="X31" s="2"/>
      <c r="Y31" s="2"/>
    </row>
    <row r="32" spans="1:25" hidden="1" x14ac:dyDescent="0.5">
      <c r="A32" s="2">
        <f>MAX(Tabla_Licencias_Medicas[Id])</f>
        <v>1011</v>
      </c>
      <c r="B32">
        <v>1039</v>
      </c>
      <c r="C32" s="5">
        <f>IF(Tabla_Descuentos[[#This Row],[id_padre]]="",0,_xlfn.XLOOKUP(Tabla_Descuentos[[#This Row],[id_padre]],Tabla_Descuentos[Id],Tabla_Descuentos[Nivel],0,0,1)+1)</f>
        <v>3</v>
      </c>
      <c r="D32" s="2" t="s">
        <v>898</v>
      </c>
      <c r="E32">
        <f>IF(Tabla_Descuentos[[#This Row],[Id_anterior]]=1,ROW()-1,SUM(ROW()-1,Tabla_Descuentos[[#This Row],[Id_anterior]]))</f>
        <v>1042</v>
      </c>
      <c r="F32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DESCUENTOS_FORMULACION/RECEPCION_RECEPCION_DESCEUNTOS_CAPREDENA_OTROS_EMPLEADOS_RECEPCION_DESCUENTOS_CAPREDENA</v>
      </c>
      <c r="G32" s="2" t="str">
        <f>CLEAN(PROPER(Tabla_Descuentos[[#This Row],[Nombre Opción]]))</f>
        <v>Recepcion Descuentos Capredena</v>
      </c>
      <c r="H32" s="2" t="s">
        <v>1735</v>
      </c>
      <c r="I32" s="2" t="str">
        <f>_xlfn.XLOOKUP(Tabla_Descuentos[[#This Row],[id_padre]],Tabla_Descuentos[Id],Tabla_Descuentos[Codigo_Tecnico],"",0,1)</f>
        <v>DESCUENTOS_FORMULACION/RECEPCION_RECEPCION_DESCEUNTOS_CAPREDENA_OTROS_EMPLEADOS</v>
      </c>
      <c r="J32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/descuentos/formulacion/recepcion/recepcion-desceuntos-capredena-otros-empleados/recepcion-descuentos-capredena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recepcion-descuentos-capredena</v>
      </c>
      <c r="L32" s="2" t="s">
        <v>1484</v>
      </c>
      <c r="M32" s="2" t="s">
        <v>1800</v>
      </c>
      <c r="N32" s="4" t="s">
        <v>360</v>
      </c>
      <c r="O32" s="4" t="s">
        <v>360</v>
      </c>
      <c r="P32" s="4"/>
      <c r="Q32" s="4"/>
      <c r="R32" s="4"/>
      <c r="S32" s="4" t="s">
        <v>360</v>
      </c>
      <c r="V32" s="4" t="s">
        <v>360</v>
      </c>
      <c r="W32" s="2" t="str">
        <f>IF(Tabla_Descuentos[[#This Row],[id_padre]]=Tabla_Descuentos[[#This Row],[Id]],"NOK","OK")</f>
        <v>OK</v>
      </c>
      <c r="X32" s="2"/>
      <c r="Y32" s="2"/>
    </row>
    <row r="33" spans="1:25" hidden="1" x14ac:dyDescent="0.5">
      <c r="A33" s="2">
        <f>MAX(Tabla_Licencias_Medicas[Id])</f>
        <v>1011</v>
      </c>
      <c r="B33">
        <v>1039</v>
      </c>
      <c r="C33" s="5">
        <f>IF(Tabla_Descuentos[[#This Row],[id_padre]]="",0,_xlfn.XLOOKUP(Tabla_Descuentos[[#This Row],[id_padre]],Tabla_Descuentos[Id],Tabla_Descuentos[Nivel],0,0,1)+1)</f>
        <v>3</v>
      </c>
      <c r="D33" s="2" t="s">
        <v>899</v>
      </c>
      <c r="E33">
        <f>IF(Tabla_Descuentos[[#This Row],[Id_anterior]]=1,ROW()-1,SUM(ROW()-1,Tabla_Descuentos[[#This Row],[Id_anterior]]))</f>
        <v>1043</v>
      </c>
      <c r="F33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DESCUENTOS_FORMULACION/RECEPCION_RECEPCION_DESCEUNTOS_CAPREDENA_OTROS_EMPLEADOS_RECEPCION_DESCUENTOS_OTROS_EMPLEADOS</v>
      </c>
      <c r="G33" s="2" t="str">
        <f>CLEAN(PROPER(Tabla_Descuentos[[#This Row],[Nombre Opción]]))</f>
        <v>Recepcion Descuentos Otros Empleados</v>
      </c>
      <c r="H33" s="2" t="s">
        <v>1735</v>
      </c>
      <c r="I33" s="2" t="str">
        <f>_xlfn.XLOOKUP(Tabla_Descuentos[[#This Row],[id_padre]],Tabla_Descuentos[Id],Tabla_Descuentos[Codigo_Tecnico],"",0,1)</f>
        <v>DESCUENTOS_FORMULACION/RECEPCION_RECEPCION_DESCEUNTOS_CAPREDENA_OTROS_EMPLEADOS</v>
      </c>
      <c r="J33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/descuentos/formulacion/recepcion/recepcion-desceuntos-capredena-otros-empleados/recepcion-descuentos-otros-empleados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recepcion-descuentos-otros-empleados</v>
      </c>
      <c r="L33" s="2" t="s">
        <v>1603</v>
      </c>
      <c r="M33" s="2" t="s">
        <v>1800</v>
      </c>
      <c r="N33" s="4" t="s">
        <v>360</v>
      </c>
      <c r="O33" s="4" t="s">
        <v>360</v>
      </c>
      <c r="P33" s="4"/>
      <c r="Q33" s="4"/>
      <c r="R33" s="4"/>
      <c r="S33" s="4" t="s">
        <v>360</v>
      </c>
      <c r="V33" s="4" t="s">
        <v>360</v>
      </c>
      <c r="W33" s="2" t="str">
        <f>IF(Tabla_Descuentos[[#This Row],[id_padre]]=Tabla_Descuentos[[#This Row],[Id]],"NOK","OK")</f>
        <v>OK</v>
      </c>
      <c r="X33" s="2"/>
      <c r="Y33" s="2"/>
    </row>
    <row r="34" spans="1:25" hidden="1" x14ac:dyDescent="0.5">
      <c r="A34" s="2">
        <f>MAX(Tabla_Licencias_Medicas[Id])</f>
        <v>1011</v>
      </c>
      <c r="B34">
        <v>1014</v>
      </c>
      <c r="C34" s="5">
        <f>IF(Tabla_Descuentos[[#This Row],[id_padre]]="",0,_xlfn.XLOOKUP(Tabla_Descuentos[[#This Row],[id_padre]],Tabla_Descuentos[Id],Tabla_Descuentos[Nivel],0,0,1)+1)</f>
        <v>2</v>
      </c>
      <c r="D34" s="2" t="s">
        <v>900</v>
      </c>
      <c r="E34">
        <f>IF(Tabla_Descuentos[[#This Row],[Id_anterior]]=1,ROW()-1,SUM(ROW()-1,Tabla_Descuentos[[#This Row],[Id_anterior]]))</f>
        <v>1044</v>
      </c>
      <c r="F34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DESCUENTOS_FORMULACION/RECEPCION_GENERA_ARCHIVO_PLANO_INTRANET_UNIDAD</v>
      </c>
      <c r="G34" s="2" t="str">
        <f>CLEAN(PROPER(Tabla_Descuentos[[#This Row],[Nombre Opción]]))</f>
        <v>Genera Archivo Plano Intranet Unidad</v>
      </c>
      <c r="H34" s="2" t="s">
        <v>1735</v>
      </c>
      <c r="I34" s="2" t="str">
        <f>_xlfn.XLOOKUP(Tabla_Descuentos[[#This Row],[id_padre]],Tabla_Descuentos[Id],Tabla_Descuentos[Codigo_Tecnico],"",0,1)</f>
        <v>DESCUENTOS_FORMULACION/RECEPCION</v>
      </c>
      <c r="J34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/descuentos/formulacion/recepcion/genera-archivo-plano-intranet-unidad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genera-archivo-plano-intranet-unidad</v>
      </c>
      <c r="L34" s="2" t="s">
        <v>98</v>
      </c>
      <c r="M34" s="2" t="s">
        <v>1800</v>
      </c>
      <c r="N34" s="4" t="s">
        <v>360</v>
      </c>
      <c r="O34" s="4" t="s">
        <v>360</v>
      </c>
      <c r="P34" s="4"/>
      <c r="Q34" s="4"/>
      <c r="R34" s="4"/>
      <c r="S34" s="4" t="s">
        <v>360</v>
      </c>
      <c r="V34" s="4" t="s">
        <v>360</v>
      </c>
      <c r="W34" s="2" t="str">
        <f>IF(Tabla_Descuentos[[#This Row],[id_padre]]=Tabla_Descuentos[[#This Row],[Id]],"NOK","OK")</f>
        <v>OK</v>
      </c>
      <c r="X34" s="2"/>
      <c r="Y34" s="2"/>
    </row>
    <row r="35" spans="1:25" hidden="1" x14ac:dyDescent="0.5">
      <c r="A35" s="2">
        <f>MAX(Tabla_Licencias_Medicas[Id])</f>
        <v>1011</v>
      </c>
      <c r="B35">
        <v>1015</v>
      </c>
      <c r="C35" s="5">
        <f>IF(Tabla_Descuentos[[#This Row],[id_padre]]="",0,_xlfn.XLOOKUP(Tabla_Descuentos[[#This Row],[id_padre]],Tabla_Descuentos[Id],Tabla_Descuentos[Nivel],0,0,1)+1)</f>
        <v>2</v>
      </c>
      <c r="D35" s="2" t="s">
        <v>901</v>
      </c>
      <c r="E35">
        <f>IF(Tabla_Descuentos[[#This Row],[Id_anterior]]=1,ROW()-1,SUM(ROW()-1,Tabla_Descuentos[[#This Row],[Id_anterior]]))</f>
        <v>1045</v>
      </c>
      <c r="F35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DESCUENTOS_PROCESOS_INGRESO_DESCUENTOS</v>
      </c>
      <c r="G35" s="2" t="str">
        <f>CLEAN(PROPER(Tabla_Descuentos[[#This Row],[Nombre Opción]]))</f>
        <v>Ingreso De Descuentos</v>
      </c>
      <c r="H35" s="2" t="s">
        <v>1735</v>
      </c>
      <c r="I35" s="2" t="str">
        <f>_xlfn.XLOOKUP(Tabla_Descuentos[[#This Row],[id_padre]],Tabla_Descuentos[Id],Tabla_Descuentos[Codigo_Tecnico],"",0,1)</f>
        <v>DESCUENTOS_PROCESOS</v>
      </c>
      <c r="J35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/descuentos/procesos/ingreso-descuentos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ingreso-descuentos</v>
      </c>
      <c r="L35" s="2" t="s">
        <v>1604</v>
      </c>
      <c r="M35" s="2" t="s">
        <v>1800</v>
      </c>
      <c r="N35" s="4" t="s">
        <v>360</v>
      </c>
      <c r="O35" s="4" t="s">
        <v>360</v>
      </c>
      <c r="P35" s="4"/>
      <c r="Q35" s="4" t="s">
        <v>360</v>
      </c>
      <c r="R35" s="4" t="s">
        <v>360</v>
      </c>
      <c r="S35" s="4" t="s">
        <v>360</v>
      </c>
      <c r="T35" s="4" t="s">
        <v>360</v>
      </c>
      <c r="U35" s="4" t="s">
        <v>360</v>
      </c>
      <c r="V35" s="4" t="s">
        <v>360</v>
      </c>
      <c r="W35" s="2" t="str">
        <f>IF(Tabla_Descuentos[[#This Row],[id_padre]]=Tabla_Descuentos[[#This Row],[Id]],"NOK","OK")</f>
        <v>OK</v>
      </c>
      <c r="X35" s="2"/>
      <c r="Y35" s="2"/>
    </row>
    <row r="36" spans="1:25" hidden="1" x14ac:dyDescent="0.5">
      <c r="A36" s="2">
        <f>MAX(Tabla_Licencias_Medicas[Id])</f>
        <v>1011</v>
      </c>
      <c r="B36">
        <v>1015</v>
      </c>
      <c r="C36" s="5">
        <f>IF(Tabla_Descuentos[[#This Row],[id_padre]]="",0,_xlfn.XLOOKUP(Tabla_Descuentos[[#This Row],[id_padre]],Tabla_Descuentos[Id],Tabla_Descuentos[Nivel],0,0,1)+1)</f>
        <v>2</v>
      </c>
      <c r="D36" s="2" t="s">
        <v>902</v>
      </c>
      <c r="E36">
        <f>IF(Tabla_Descuentos[[#This Row],[Id_anterior]]=1,ROW()-1,SUM(ROW()-1,Tabla_Descuentos[[#This Row],[Id_anterior]]))</f>
        <v>1046</v>
      </c>
      <c r="F36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DESCUENTOS_PROCESOS_ACTUALIZACION_DESCUENTOS</v>
      </c>
      <c r="G36" s="2" t="str">
        <f>CLEAN(PROPER(Tabla_Descuentos[[#This Row],[Nombre Opción]]))</f>
        <v>Actualizacion Descuentos</v>
      </c>
      <c r="H36" s="2" t="s">
        <v>1735</v>
      </c>
      <c r="I36" s="2" t="str">
        <f>_xlfn.XLOOKUP(Tabla_Descuentos[[#This Row],[id_padre]],Tabla_Descuentos[Id],Tabla_Descuentos[Codigo_Tecnico],"",0,1)</f>
        <v>DESCUENTOS_PROCESOS</v>
      </c>
      <c r="J36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/descuentos/procesos/actualizacion-descuentos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actualizacion-descuentos</v>
      </c>
      <c r="L36" s="2" t="s">
        <v>1420</v>
      </c>
      <c r="M36" s="2" t="s">
        <v>1800</v>
      </c>
      <c r="N36" s="4" t="s">
        <v>360</v>
      </c>
      <c r="O36" s="4" t="s">
        <v>360</v>
      </c>
      <c r="P36" s="4"/>
      <c r="Q36" s="4"/>
      <c r="R36" s="4"/>
      <c r="S36" s="4" t="s">
        <v>360</v>
      </c>
      <c r="T36" s="4" t="s">
        <v>360</v>
      </c>
      <c r="V36" s="4" t="s">
        <v>360</v>
      </c>
      <c r="W36" s="2" t="str">
        <f>IF(Tabla_Descuentos[[#This Row],[id_padre]]=Tabla_Descuentos[[#This Row],[Id]],"NOK","OK")</f>
        <v>OK</v>
      </c>
      <c r="X36" s="2"/>
      <c r="Y36" s="2"/>
    </row>
    <row r="37" spans="1:25" hidden="1" x14ac:dyDescent="0.5">
      <c r="A37" s="2">
        <f>MAX(Tabla_Licencias_Medicas[Id])</f>
        <v>1011</v>
      </c>
      <c r="B37">
        <v>1015</v>
      </c>
      <c r="C37" s="5">
        <f>IF(Tabla_Descuentos[[#This Row],[id_padre]]="",0,_xlfn.XLOOKUP(Tabla_Descuentos[[#This Row],[id_padre]],Tabla_Descuentos[Id],Tabla_Descuentos[Nivel],0,0,1)+1)</f>
        <v>2</v>
      </c>
      <c r="D37" s="2" t="s">
        <v>903</v>
      </c>
      <c r="E37">
        <f>IF(Tabla_Descuentos[[#This Row],[Id_anterior]]=1,ROW()-1,SUM(ROW()-1,Tabla_Descuentos[[#This Row],[Id_anterior]]))</f>
        <v>1047</v>
      </c>
      <c r="F37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DESCUENTOS_PROCESOS_INGRESOS_DESCUENTOS_BATCH_NUMERO_EMPLEADO</v>
      </c>
      <c r="G37" s="2" t="str">
        <f>CLEAN(PROPER(Tabla_Descuentos[[#This Row],[Nombre Opción]]))</f>
        <v>Ingresos De Descuentos Batch (Numero Empleado)</v>
      </c>
      <c r="H37" s="2" t="s">
        <v>1735</v>
      </c>
      <c r="I37" s="2" t="str">
        <f>_xlfn.XLOOKUP(Tabla_Descuentos[[#This Row],[id_padre]],Tabla_Descuentos[Id],Tabla_Descuentos[Codigo_Tecnico],"",0,1)</f>
        <v>DESCUENTOS_PROCESOS</v>
      </c>
      <c r="J37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/descuentos/procesos/ingresos-descuentos-batch-numero-empleado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ingresos-descuentos-batch-numero-empleado</v>
      </c>
      <c r="L37" s="2" t="s">
        <v>1378</v>
      </c>
      <c r="M37" s="2" t="s">
        <v>1800</v>
      </c>
      <c r="N37" s="4" t="s">
        <v>360</v>
      </c>
      <c r="O37" s="4" t="s">
        <v>360</v>
      </c>
      <c r="P37" s="4"/>
      <c r="Q37" s="4" t="s">
        <v>360</v>
      </c>
      <c r="R37" s="4" t="s">
        <v>360</v>
      </c>
      <c r="S37" s="4" t="s">
        <v>360</v>
      </c>
      <c r="V37" s="4" t="s">
        <v>360</v>
      </c>
      <c r="W37" s="2" t="str">
        <f>IF(Tabla_Descuentos[[#This Row],[id_padre]]=Tabla_Descuentos[[#This Row],[Id]],"NOK","OK")</f>
        <v>OK</v>
      </c>
      <c r="X37" s="2"/>
      <c r="Y37" s="2"/>
    </row>
    <row r="38" spans="1:25" hidden="1" x14ac:dyDescent="0.5">
      <c r="A38" s="2">
        <f>MAX(Tabla_Licencias_Medicas[Id])</f>
        <v>1011</v>
      </c>
      <c r="B38">
        <v>1015</v>
      </c>
      <c r="C38" s="5">
        <f>IF(Tabla_Descuentos[[#This Row],[id_padre]]="",0,_xlfn.XLOOKUP(Tabla_Descuentos[[#This Row],[id_padre]],Tabla_Descuentos[Id],Tabla_Descuentos[Nivel],0,0,1)+1)</f>
        <v>2</v>
      </c>
      <c r="D38" s="2" t="s">
        <v>1598</v>
      </c>
      <c r="E38">
        <f>IF(Tabla_Descuentos[[#This Row],[Id_anterior]]=1,ROW()-1,SUM(ROW()-1,Tabla_Descuentos[[#This Row],[Id_anterior]]))</f>
        <v>1048</v>
      </c>
      <c r="F38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DESCUENTOS_PROCESOS_INGRESOS_DESCUENTOS_BATCH_NUMERO_RUT</v>
      </c>
      <c r="G38" s="2" t="str">
        <f>CLEAN(PROPER(Tabla_Descuentos[[#This Row],[Nombre Opción]]))</f>
        <v>Ingresos De Descuentos Batch (Numero De Rut)</v>
      </c>
      <c r="H38" s="2" t="s">
        <v>1735</v>
      </c>
      <c r="I38" s="2" t="str">
        <f>_xlfn.XLOOKUP(Tabla_Descuentos[[#This Row],[id_padre]],Tabla_Descuentos[Id],Tabla_Descuentos[Codigo_Tecnico],"",0,1)</f>
        <v>DESCUENTOS_PROCESOS</v>
      </c>
      <c r="J38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/descuentos/procesos/ingresos-descuentos-batch-numero-rut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ingresos-descuentos-batch-numero-rut</v>
      </c>
      <c r="L38" s="2" t="s">
        <v>1605</v>
      </c>
      <c r="M38" s="2" t="s">
        <v>1800</v>
      </c>
      <c r="N38" s="4" t="s">
        <v>360</v>
      </c>
      <c r="O38" s="4" t="s">
        <v>360</v>
      </c>
      <c r="P38" s="4"/>
      <c r="Q38" s="4" t="s">
        <v>360</v>
      </c>
      <c r="R38" s="4" t="s">
        <v>360</v>
      </c>
      <c r="S38" s="4" t="s">
        <v>360</v>
      </c>
      <c r="T38" s="4" t="s">
        <v>360</v>
      </c>
      <c r="U38" s="4" t="s">
        <v>360</v>
      </c>
      <c r="V38" s="4" t="s">
        <v>360</v>
      </c>
      <c r="W38" s="2" t="str">
        <f>IF(Tabla_Descuentos[[#This Row],[id_padre]]=Tabla_Descuentos[[#This Row],[Id]],"NOK","OK")</f>
        <v>OK</v>
      </c>
      <c r="X38" s="2"/>
      <c r="Y38" s="2"/>
    </row>
    <row r="39" spans="1:25" hidden="1" x14ac:dyDescent="0.5">
      <c r="A39" s="2">
        <f>MAX(Tabla_Licencias_Medicas[Id])</f>
        <v>1011</v>
      </c>
      <c r="B39">
        <v>1015</v>
      </c>
      <c r="C39" s="5">
        <f>IF(Tabla_Descuentos[[#This Row],[id_padre]]="",0,_xlfn.XLOOKUP(Tabla_Descuentos[[#This Row],[id_padre]],Tabla_Descuentos[Id],Tabla_Descuentos[Nivel],0,0,1)+1)</f>
        <v>2</v>
      </c>
      <c r="D39" s="2" t="s">
        <v>904</v>
      </c>
      <c r="E39">
        <f>IF(Tabla_Descuentos[[#This Row],[Id_anterior]]=1,ROW()-1,SUM(ROW()-1,Tabla_Descuentos[[#This Row],[Id_anterior]]))</f>
        <v>1049</v>
      </c>
      <c r="F39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DESCUENTOS_PROCESOS_INGRESO_DESCUENTOS_MASIVOS</v>
      </c>
      <c r="G39" s="2" t="str">
        <f>CLEAN(PROPER(Tabla_Descuentos[[#This Row],[Nombre Opción]]))</f>
        <v>Ingreso De Descuentos Masivos</v>
      </c>
      <c r="H39" s="2" t="s">
        <v>1735</v>
      </c>
      <c r="I39" s="2" t="str">
        <f>_xlfn.XLOOKUP(Tabla_Descuentos[[#This Row],[id_padre]],Tabla_Descuentos[Id],Tabla_Descuentos[Codigo_Tecnico],"",0,1)</f>
        <v>DESCUENTOS_PROCESOS</v>
      </c>
      <c r="J39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/descuentos/procesos/ingreso-descuentos-masivos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ingreso-descuentos-masivos</v>
      </c>
      <c r="L39" s="2" t="s">
        <v>1566</v>
      </c>
      <c r="M39" s="2" t="s">
        <v>1800</v>
      </c>
      <c r="N39" s="4" t="s">
        <v>360</v>
      </c>
      <c r="O39" s="4" t="s">
        <v>360</v>
      </c>
      <c r="P39" s="4"/>
      <c r="Q39" s="4" t="s">
        <v>360</v>
      </c>
      <c r="R39" s="4" t="s">
        <v>360</v>
      </c>
      <c r="S39" s="4" t="s">
        <v>360</v>
      </c>
      <c r="T39" s="4" t="s">
        <v>360</v>
      </c>
      <c r="V39" s="4" t="s">
        <v>360</v>
      </c>
      <c r="W39" s="2" t="str">
        <f>IF(Tabla_Descuentos[[#This Row],[id_padre]]=Tabla_Descuentos[[#This Row],[Id]],"NOK","OK")</f>
        <v>OK</v>
      </c>
      <c r="X39" s="2"/>
      <c r="Y39" s="2"/>
    </row>
    <row r="40" spans="1:25" hidden="1" x14ac:dyDescent="0.5">
      <c r="A40" s="2">
        <f>MAX(Tabla_Licencias_Medicas[Id])</f>
        <v>1011</v>
      </c>
      <c r="B40">
        <v>1015</v>
      </c>
      <c r="C40" s="5">
        <f>IF(Tabla_Descuentos[[#This Row],[id_padre]]="",0,_xlfn.XLOOKUP(Tabla_Descuentos[[#This Row],[id_padre]],Tabla_Descuentos[Id],Tabla_Descuentos[Nivel],0,0,1)+1)</f>
        <v>2</v>
      </c>
      <c r="D40" s="2" t="s">
        <v>905</v>
      </c>
      <c r="E40">
        <f>IF(Tabla_Descuentos[[#This Row],[Id_anterior]]=1,ROW()-1,SUM(ROW()-1,Tabla_Descuentos[[#This Row],[Id_anterior]]))</f>
        <v>1050</v>
      </c>
      <c r="F40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DESCUENTOS_PROCESOS_PAGO</v>
      </c>
      <c r="G40" s="2" t="str">
        <f>CLEAN(PROPER(Tabla_Descuentos[[#This Row],[Nombre Opción]]))</f>
        <v>Pago</v>
      </c>
      <c r="H40" s="2" t="s">
        <v>1735</v>
      </c>
      <c r="I40" s="2" t="str">
        <f>_xlfn.XLOOKUP(Tabla_Descuentos[[#This Row],[id_padre]],Tabla_Descuentos[Id],Tabla_Descuentos[Codigo_Tecnico],"",0,1)</f>
        <v>DESCUENTOS_PROCESOS</v>
      </c>
      <c r="J40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/descuentos/procesos/pago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</v>
      </c>
      <c r="L40" s="2" t="s">
        <v>1353</v>
      </c>
      <c r="M40" s="2" t="s">
        <v>1800</v>
      </c>
      <c r="N40" s="4" t="s">
        <v>360</v>
      </c>
      <c r="O40" s="4" t="s">
        <v>360</v>
      </c>
      <c r="P40" s="4"/>
      <c r="Q40" s="4"/>
      <c r="R40" s="4"/>
      <c r="S40" s="4" t="s">
        <v>360</v>
      </c>
      <c r="T40" s="4" t="s">
        <v>360</v>
      </c>
      <c r="V40" s="4" t="s">
        <v>360</v>
      </c>
      <c r="W40" s="2" t="str">
        <f>IF(Tabla_Descuentos[[#This Row],[id_padre]]=Tabla_Descuentos[[#This Row],[Id]],"NOK","OK")</f>
        <v>OK</v>
      </c>
      <c r="X40" s="2"/>
      <c r="Y40" s="2"/>
    </row>
    <row r="41" spans="1:25" hidden="1" x14ac:dyDescent="0.5">
      <c r="A41" s="2">
        <f>MAX(Tabla_Licencias_Medicas[Id])</f>
        <v>1011</v>
      </c>
      <c r="B41">
        <v>1050</v>
      </c>
      <c r="C41" s="5">
        <f>IF(Tabla_Descuentos[[#This Row],[id_padre]]="",0,_xlfn.XLOOKUP(Tabla_Descuentos[[#This Row],[id_padre]],Tabla_Descuentos[Id],Tabla_Descuentos[Nivel],0,0,1)+1)</f>
        <v>3</v>
      </c>
      <c r="D41" s="2" t="s">
        <v>906</v>
      </c>
      <c r="E41">
        <f>IF(Tabla_Descuentos[[#This Row],[Id_anterior]]=1,ROW()-1,SUM(ROW()-1,Tabla_Descuentos[[#This Row],[Id_anterior]]))</f>
        <v>1051</v>
      </c>
      <c r="F41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DESCUENTOS_PROCESOS_PAGO_ABONO_DESCUENTOS_UNA_CUOTA</v>
      </c>
      <c r="G41" s="2" t="str">
        <f>CLEAN(PROPER(Tabla_Descuentos[[#This Row],[Nombre Opción]]))</f>
        <v>Abono Descuentos En Una Cuota</v>
      </c>
      <c r="H41" s="2" t="s">
        <v>1735</v>
      </c>
      <c r="I41" s="2" t="str">
        <f>_xlfn.XLOOKUP(Tabla_Descuentos[[#This Row],[id_padre]],Tabla_Descuentos[Id],Tabla_Descuentos[Codigo_Tecnico],"",0,1)</f>
        <v>DESCUENTOS_PROCESOS_PAGO</v>
      </c>
      <c r="J41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/descuentos/procesos/pago/abono-descuentos-una-cuota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abono-descuentos-una-cuota</v>
      </c>
      <c r="L41" s="2" t="s">
        <v>1606</v>
      </c>
      <c r="M41" s="2" t="s">
        <v>1800</v>
      </c>
      <c r="N41" s="4" t="s">
        <v>360</v>
      </c>
      <c r="O41" s="4" t="s">
        <v>360</v>
      </c>
      <c r="P41" s="4"/>
      <c r="Q41" s="4"/>
      <c r="R41" s="4"/>
      <c r="S41" s="4" t="s">
        <v>360</v>
      </c>
      <c r="T41" s="4" t="s">
        <v>360</v>
      </c>
      <c r="V41" s="4" t="s">
        <v>360</v>
      </c>
      <c r="W41" s="2" t="str">
        <f>IF(Tabla_Descuentos[[#This Row],[id_padre]]=Tabla_Descuentos[[#This Row],[Id]],"NOK","OK")</f>
        <v>OK</v>
      </c>
      <c r="X41" s="2"/>
      <c r="Y41" s="2"/>
    </row>
    <row r="42" spans="1:25" hidden="1" x14ac:dyDescent="0.5">
      <c r="A42" s="2">
        <f>MAX(Tabla_Licencias_Medicas[Id])</f>
        <v>1011</v>
      </c>
      <c r="B42">
        <v>1050</v>
      </c>
      <c r="C42" s="5">
        <f>IF(Tabla_Descuentos[[#This Row],[id_padre]]="",0,_xlfn.XLOOKUP(Tabla_Descuentos[[#This Row],[id_padre]],Tabla_Descuentos[Id],Tabla_Descuentos[Nivel],0,0,1)+1)</f>
        <v>3</v>
      </c>
      <c r="D42" s="2" t="s">
        <v>907</v>
      </c>
      <c r="E42">
        <f>IF(Tabla_Descuentos[[#This Row],[Id_anterior]]=1,ROW()-1,SUM(ROW()-1,Tabla_Descuentos[[#This Row],[Id_anterior]]))</f>
        <v>1052</v>
      </c>
      <c r="F42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DESCUENTOS_PROCESOS_PAGO_ABONO_DESCUENTOS_DOS_O_MAS_CUOTAS</v>
      </c>
      <c r="G42" s="2" t="str">
        <f>CLEAN(PROPER(Tabla_Descuentos[[#This Row],[Nombre Opción]]))</f>
        <v>Abono Descuentos En Dos O Mas Cuotas</v>
      </c>
      <c r="H42" s="2" t="s">
        <v>1735</v>
      </c>
      <c r="I42" s="2" t="str">
        <f>_xlfn.XLOOKUP(Tabla_Descuentos[[#This Row],[id_padre]],Tabla_Descuentos[Id],Tabla_Descuentos[Codigo_Tecnico],"",0,1)</f>
        <v>DESCUENTOS_PROCESOS_PAGO</v>
      </c>
      <c r="J42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/descuentos/procesos/pago/abono-descuentos-dos-o-mas-cuotas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abono-descuentos-dos-o-mas-cuotas</v>
      </c>
      <c r="L42" s="2" t="s">
        <v>1607</v>
      </c>
      <c r="M42" s="2" t="s">
        <v>1800</v>
      </c>
      <c r="N42" s="4" t="s">
        <v>360</v>
      </c>
      <c r="O42" s="4" t="s">
        <v>360</v>
      </c>
      <c r="P42" s="4"/>
      <c r="Q42" s="4"/>
      <c r="R42" s="4"/>
      <c r="S42" s="4" t="s">
        <v>360</v>
      </c>
      <c r="V42" s="4" t="s">
        <v>360</v>
      </c>
      <c r="W42" s="2" t="str">
        <f>IF(Tabla_Descuentos[[#This Row],[id_padre]]=Tabla_Descuentos[[#This Row],[Id]],"NOK","OK")</f>
        <v>OK</v>
      </c>
      <c r="X42" s="2"/>
      <c r="Y42" s="2"/>
    </row>
    <row r="43" spans="1:25" hidden="1" x14ac:dyDescent="0.5">
      <c r="A43" s="2">
        <f>MAX(Tabla_Licencias_Medicas[Id])</f>
        <v>1011</v>
      </c>
      <c r="B43">
        <v>1015</v>
      </c>
      <c r="C43" s="5">
        <f>IF(Tabla_Descuentos[[#This Row],[id_padre]]="",0,_xlfn.XLOOKUP(Tabla_Descuentos[[#This Row],[id_padre]],Tabla_Descuentos[Id],Tabla_Descuentos[Nivel],0,0,1)+1)</f>
        <v>2</v>
      </c>
      <c r="D43" s="2" t="s">
        <v>908</v>
      </c>
      <c r="E43">
        <f>IF(Tabla_Descuentos[[#This Row],[Id_anterior]]=1,ROW()-1,SUM(ROW()-1,Tabla_Descuentos[[#This Row],[Id_anterior]]))</f>
        <v>1053</v>
      </c>
      <c r="F43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DESCUENTOS_PROCESOS_ANULA_DESCUENTO_INDIVIDUAL_UNA_CUOTA</v>
      </c>
      <c r="G43" s="2" t="str">
        <f>CLEAN(PROPER(Tabla_Descuentos[[#This Row],[Nombre Opción]]))</f>
        <v>Anula Descuento Individual En Una Cuota</v>
      </c>
      <c r="H43" s="2" t="s">
        <v>1735</v>
      </c>
      <c r="I43" s="2" t="str">
        <f>_xlfn.XLOOKUP(Tabla_Descuentos[[#This Row],[id_padre]],Tabla_Descuentos[Id],Tabla_Descuentos[Codigo_Tecnico],"",0,1)</f>
        <v>DESCUENTOS_PROCESOS</v>
      </c>
      <c r="J43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/descuentos/procesos/anula-descuento-individual-una-cuota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anula-descuento-individual-una-cuota</v>
      </c>
      <c r="L43" s="2" t="s">
        <v>1390</v>
      </c>
      <c r="M43" s="2" t="s">
        <v>1800</v>
      </c>
      <c r="N43" s="4" t="s">
        <v>360</v>
      </c>
      <c r="O43" s="4" t="s">
        <v>360</v>
      </c>
      <c r="P43" s="4"/>
      <c r="Q43" s="4"/>
      <c r="R43" s="4"/>
      <c r="S43" s="4" t="s">
        <v>360</v>
      </c>
      <c r="V43" s="4" t="s">
        <v>360</v>
      </c>
      <c r="W43" s="2" t="str">
        <f>IF(Tabla_Descuentos[[#This Row],[id_padre]]=Tabla_Descuentos[[#This Row],[Id]],"NOK","OK")</f>
        <v>OK</v>
      </c>
      <c r="X43" s="2"/>
      <c r="Y43" s="2"/>
    </row>
    <row r="44" spans="1:25" hidden="1" x14ac:dyDescent="0.5">
      <c r="A44" s="2">
        <f>MAX(Tabla_Licencias_Medicas[Id])</f>
        <v>1011</v>
      </c>
      <c r="B44">
        <v>1015</v>
      </c>
      <c r="C44" s="5">
        <f>IF(Tabla_Descuentos[[#This Row],[id_padre]]="",0,_xlfn.XLOOKUP(Tabla_Descuentos[[#This Row],[id_padre]],Tabla_Descuentos[Id],Tabla_Descuentos[Nivel],0,0,1)+1)</f>
        <v>2</v>
      </c>
      <c r="D44" s="2" t="s">
        <v>909</v>
      </c>
      <c r="E44">
        <f>IF(Tabla_Descuentos[[#This Row],[Id_anterior]]=1,ROW()-1,SUM(ROW()-1,Tabla_Descuentos[[#This Row],[Id_anterior]]))</f>
        <v>1054</v>
      </c>
      <c r="F44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DESCUENTOS_PROCESOS_ANULA_DESCUENTO_INDIVIDUAL_DOS_O_MAS_CUOTAS</v>
      </c>
      <c r="G44" s="2" t="str">
        <f>CLEAN(PROPER(Tabla_Descuentos[[#This Row],[Nombre Opción]]))</f>
        <v>Anula Descuento Individual En Dos O Mas Cuotas</v>
      </c>
      <c r="H44" s="2" t="s">
        <v>1735</v>
      </c>
      <c r="I44" s="2" t="str">
        <f>_xlfn.XLOOKUP(Tabla_Descuentos[[#This Row],[id_padre]],Tabla_Descuentos[Id],Tabla_Descuentos[Codigo_Tecnico],"",0,1)</f>
        <v>DESCUENTOS_PROCESOS</v>
      </c>
      <c r="J44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/descuentos/procesos/anula-descuento-individual-dos-o-mas-cuotas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anula-descuento-individual-dos-o-mas-cuotas</v>
      </c>
      <c r="L44" s="2" t="s">
        <v>1368</v>
      </c>
      <c r="M44" s="2" t="s">
        <v>1800</v>
      </c>
      <c r="N44" s="4" t="s">
        <v>360</v>
      </c>
      <c r="O44" s="4" t="s">
        <v>360</v>
      </c>
      <c r="P44" s="4"/>
      <c r="Q44" s="4"/>
      <c r="R44" s="4"/>
      <c r="S44" s="4"/>
      <c r="V44" s="4" t="s">
        <v>360</v>
      </c>
      <c r="W44" s="2" t="str">
        <f>IF(Tabla_Descuentos[[#This Row],[id_padre]]=Tabla_Descuentos[[#This Row],[Id]],"NOK","OK")</f>
        <v>OK</v>
      </c>
      <c r="X44" s="2"/>
      <c r="Y44" s="2"/>
    </row>
    <row r="45" spans="1:25" hidden="1" x14ac:dyDescent="0.5">
      <c r="A45" s="2">
        <f>MAX(Tabla_Licencias_Medicas[Id])</f>
        <v>1011</v>
      </c>
      <c r="B45">
        <v>1015</v>
      </c>
      <c r="C45" s="5">
        <f>IF(Tabla_Descuentos[[#This Row],[id_padre]]="",0,_xlfn.XLOOKUP(Tabla_Descuentos[[#This Row],[id_padre]],Tabla_Descuentos[Id],Tabla_Descuentos[Nivel],0,0,1)+1)</f>
        <v>2</v>
      </c>
      <c r="D45" s="2" t="s">
        <v>1599</v>
      </c>
      <c r="E45">
        <f>IF(Tabla_Descuentos[[#This Row],[Id_anterior]]=1,ROW()-1,SUM(ROW()-1,Tabla_Descuentos[[#This Row],[Id_anterior]]))</f>
        <v>1055</v>
      </c>
      <c r="F45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DESCUENTOS_PROCESOS_ANULA_DESCUENTOS_MASIVOS</v>
      </c>
      <c r="G45" s="2" t="str">
        <f>CLEAN(PROPER(Tabla_Descuentos[[#This Row],[Nombre Opción]]))</f>
        <v>Anula Descuentos Masivos</v>
      </c>
      <c r="H45" s="2" t="s">
        <v>1735</v>
      </c>
      <c r="I45" s="2" t="str">
        <f>_xlfn.XLOOKUP(Tabla_Descuentos[[#This Row],[id_padre]],Tabla_Descuentos[Id],Tabla_Descuentos[Codigo_Tecnico],"",0,1)</f>
        <v>DESCUENTOS_PROCESOS</v>
      </c>
      <c r="J45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/descuentos/procesos/anula-descuentos-masivos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anula-descuentos-masivos</v>
      </c>
      <c r="L45" s="2" t="s">
        <v>1560</v>
      </c>
      <c r="M45" s="2" t="s">
        <v>1800</v>
      </c>
      <c r="N45" s="4" t="s">
        <v>360</v>
      </c>
      <c r="O45" s="4" t="s">
        <v>360</v>
      </c>
      <c r="P45" s="4"/>
      <c r="Q45" s="4"/>
      <c r="R45" s="4"/>
      <c r="S45" s="4"/>
      <c r="T45" s="4" t="s">
        <v>360</v>
      </c>
      <c r="V45" s="4" t="s">
        <v>360</v>
      </c>
      <c r="W45" s="2" t="str">
        <f>IF(Tabla_Descuentos[[#This Row],[id_padre]]=Tabla_Descuentos[[#This Row],[Id]],"NOK","OK")</f>
        <v>OK</v>
      </c>
      <c r="X45" s="2"/>
      <c r="Y45" s="2"/>
    </row>
    <row r="46" spans="1:25" hidden="1" x14ac:dyDescent="0.5">
      <c r="A46" s="2">
        <f>MAX(Tabla_Licencias_Medicas[Id])</f>
        <v>1011</v>
      </c>
      <c r="B46">
        <v>1015</v>
      </c>
      <c r="C46" s="5">
        <f>IF(Tabla_Descuentos[[#This Row],[id_padre]]="",0,_xlfn.XLOOKUP(Tabla_Descuentos[[#This Row],[id_padre]],Tabla_Descuentos[Id],Tabla_Descuentos[Nivel],0,0,1)+1)</f>
        <v>2</v>
      </c>
      <c r="D46" s="2" t="s">
        <v>910</v>
      </c>
      <c r="E46">
        <f>IF(Tabla_Descuentos[[#This Row],[Id_anterior]]=1,ROW()-1,SUM(ROW()-1,Tabla_Descuentos[[#This Row],[Id_anterior]]))</f>
        <v>1056</v>
      </c>
      <c r="F46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DESCUENTOS_PROCESOS_ANULA_FORMULARIOS_SIN_ACTUALIZAR</v>
      </c>
      <c r="G46" s="2" t="str">
        <f>CLEAN(PROPER(Tabla_Descuentos[[#This Row],[Nombre Opción]]))</f>
        <v>Anula Formularios Sin Actualizar</v>
      </c>
      <c r="H46" s="2" t="s">
        <v>1735</v>
      </c>
      <c r="I46" s="2" t="str">
        <f>_xlfn.XLOOKUP(Tabla_Descuentos[[#This Row],[id_padre]],Tabla_Descuentos[Id],Tabla_Descuentos[Codigo_Tecnico],"",0,1)</f>
        <v>DESCUENTOS_PROCESOS</v>
      </c>
      <c r="J46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/descuentos/procesos/anula-formularios-sin-actualizar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anula-formularios-sin-actualizar</v>
      </c>
      <c r="L46" s="2" t="s">
        <v>1361</v>
      </c>
      <c r="M46" s="2" t="s">
        <v>1800</v>
      </c>
      <c r="N46" s="4" t="s">
        <v>360</v>
      </c>
      <c r="O46" s="4" t="s">
        <v>360</v>
      </c>
      <c r="P46" s="4"/>
      <c r="Q46" s="4"/>
      <c r="R46" s="4"/>
      <c r="S46" s="4"/>
      <c r="T46" s="4" t="s">
        <v>360</v>
      </c>
      <c r="V46" s="4" t="s">
        <v>360</v>
      </c>
      <c r="W46" s="2" t="str">
        <f>IF(Tabla_Descuentos[[#This Row],[id_padre]]=Tabla_Descuentos[[#This Row],[Id]],"NOK","OK")</f>
        <v>OK</v>
      </c>
      <c r="X46" s="2"/>
      <c r="Y46" s="2"/>
    </row>
    <row r="47" spans="1:25" hidden="1" x14ac:dyDescent="0.5">
      <c r="A47" s="2">
        <f>MAX(Tabla_Licencias_Medicas[Id])</f>
        <v>1011</v>
      </c>
      <c r="B47">
        <v>1016</v>
      </c>
      <c r="C47" s="5">
        <f>IF(Tabla_Descuentos[[#This Row],[id_padre]]="",0,_xlfn.XLOOKUP(Tabla_Descuentos[[#This Row],[id_padre]],Tabla_Descuentos[Id],Tabla_Descuentos[Nivel],0,0,1)+1)</f>
        <v>2</v>
      </c>
      <c r="D47" s="2" t="s">
        <v>911</v>
      </c>
      <c r="E47">
        <f>IF(Tabla_Descuentos[[#This Row],[Id_anterior]]=1,ROW()-1,SUM(ROW()-1,Tabla_Descuentos[[#This Row],[Id_anterior]]))</f>
        <v>1057</v>
      </c>
      <c r="F47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DESCUENTOS_CONSULTAS_DESCUENTOS_POR_EMPLEADOS</v>
      </c>
      <c r="G47" s="2" t="str">
        <f>CLEAN(PROPER(Tabla_Descuentos[[#This Row],[Nombre Opción]]))</f>
        <v>Descuentos Por Empleados</v>
      </c>
      <c r="H47" s="2" t="s">
        <v>1735</v>
      </c>
      <c r="I47" s="2" t="str">
        <f>_xlfn.XLOOKUP(Tabla_Descuentos[[#This Row],[id_padre]],Tabla_Descuentos[Id],Tabla_Descuentos[Codigo_Tecnico],"",0,1)</f>
        <v>DESCUENTOS_CONSULTAS</v>
      </c>
      <c r="J47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/descuentos/consultas/descuentos-por-empleados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descuentos-por-empleados</v>
      </c>
      <c r="L47" s="2" t="s">
        <v>1523</v>
      </c>
      <c r="M47" s="2" t="s">
        <v>1800</v>
      </c>
      <c r="N47" s="4" t="s">
        <v>360</v>
      </c>
      <c r="O47" s="4" t="s">
        <v>360</v>
      </c>
      <c r="P47" s="4" t="s">
        <v>360</v>
      </c>
      <c r="Q47" s="4" t="s">
        <v>360</v>
      </c>
      <c r="R47" s="4" t="s">
        <v>360</v>
      </c>
      <c r="S47" s="4" t="s">
        <v>360</v>
      </c>
      <c r="V47" s="4" t="s">
        <v>360</v>
      </c>
      <c r="W47" s="2" t="str">
        <f>IF(Tabla_Descuentos[[#This Row],[id_padre]]=Tabla_Descuentos[[#This Row],[Id]],"NOK","OK")</f>
        <v>OK</v>
      </c>
      <c r="X47" s="2"/>
      <c r="Y47" s="2"/>
    </row>
    <row r="48" spans="1:25" hidden="1" x14ac:dyDescent="0.5">
      <c r="A48" s="2">
        <f>MAX(Tabla_Licencias_Medicas[Id])</f>
        <v>1011</v>
      </c>
      <c r="B48">
        <v>1057</v>
      </c>
      <c r="C48" s="5">
        <f>IF(Tabla_Descuentos[[#This Row],[id_padre]]="",0,_xlfn.XLOOKUP(Tabla_Descuentos[[#This Row],[id_padre]],Tabla_Descuentos[Id],Tabla_Descuentos[Nivel],0,0,1)+1)</f>
        <v>3</v>
      </c>
      <c r="D48" s="2" t="s">
        <v>912</v>
      </c>
      <c r="E48">
        <f>IF(Tabla_Descuentos[[#This Row],[Id_anterior]]=1,ROW()-1,SUM(ROW()-1,Tabla_Descuentos[[#This Row],[Id_anterior]]))</f>
        <v>1058</v>
      </c>
      <c r="F48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DESCUENTOS_CONSULTAS_DESCUENTOS_POR_EMPLEADOS_DESCUENTOS_MENSUALES</v>
      </c>
      <c r="G48" s="2" t="str">
        <f>CLEAN(PROPER(Tabla_Descuentos[[#This Row],[Nombre Opción]]))</f>
        <v>Descuentos Mensuales</v>
      </c>
      <c r="H48" s="2" t="s">
        <v>1735</v>
      </c>
      <c r="I48" s="2" t="str">
        <f>_xlfn.XLOOKUP(Tabla_Descuentos[[#This Row],[id_padre]],Tabla_Descuentos[Id],Tabla_Descuentos[Codigo_Tecnico],"",0,1)</f>
        <v>DESCUENTOS_CONSULTAS_DESCUENTOS_POR_EMPLEADOS</v>
      </c>
      <c r="J48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/descuentos/consultas/descuentos-por-empleados/descuentos-mensuales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descuentos-mensuales</v>
      </c>
      <c r="L48" s="2" t="s">
        <v>1372</v>
      </c>
      <c r="M48" s="2" t="s">
        <v>1800</v>
      </c>
      <c r="N48" s="4" t="s">
        <v>360</v>
      </c>
      <c r="O48" s="4" t="s">
        <v>360</v>
      </c>
      <c r="P48" s="4" t="s">
        <v>360</v>
      </c>
      <c r="Q48" s="4" t="s">
        <v>360</v>
      </c>
      <c r="R48" s="4" t="s">
        <v>360</v>
      </c>
      <c r="S48" s="4" t="s">
        <v>360</v>
      </c>
      <c r="V48" s="4" t="s">
        <v>360</v>
      </c>
      <c r="W48" s="2" t="str">
        <f>IF(Tabla_Descuentos[[#This Row],[id_padre]]=Tabla_Descuentos[[#This Row],[Id]],"NOK","OK")</f>
        <v>OK</v>
      </c>
      <c r="X48" s="2"/>
      <c r="Y48" s="2"/>
    </row>
    <row r="49" spans="1:25" hidden="1" x14ac:dyDescent="0.5">
      <c r="A49" s="2">
        <f>MAX(Tabla_Licencias_Medicas[Id])</f>
        <v>1011</v>
      </c>
      <c r="B49">
        <v>1057</v>
      </c>
      <c r="C49" s="5">
        <f>IF(Tabla_Descuentos[[#This Row],[id_padre]]="",0,_xlfn.XLOOKUP(Tabla_Descuentos[[#This Row],[id_padre]],Tabla_Descuentos[Id],Tabla_Descuentos[Nivel],0,0,1)+1)</f>
        <v>3</v>
      </c>
      <c r="D49" s="2" t="s">
        <v>913</v>
      </c>
      <c r="E49">
        <f>IF(Tabla_Descuentos[[#This Row],[Id_anterior]]=1,ROW()-1,SUM(ROW()-1,Tabla_Descuentos[[#This Row],[Id_anterior]]))</f>
        <v>1059</v>
      </c>
      <c r="F49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DESCUENTOS_CONSULTAS_DESCUENTOS_POR_EMPLEADOS_DESCUENTOS_ACUMULADOS</v>
      </c>
      <c r="G49" s="2" t="str">
        <f>CLEAN(PROPER(Tabla_Descuentos[[#This Row],[Nombre Opción]]))</f>
        <v>Descuentos Acumulados</v>
      </c>
      <c r="H49" s="2" t="s">
        <v>1735</v>
      </c>
      <c r="I49" s="2" t="str">
        <f>_xlfn.XLOOKUP(Tabla_Descuentos[[#This Row],[id_padre]],Tabla_Descuentos[Id],Tabla_Descuentos[Codigo_Tecnico],"",0,1)</f>
        <v>DESCUENTOS_CONSULTAS_DESCUENTOS_POR_EMPLEADOS</v>
      </c>
      <c r="J49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/descuentos/consultas/descuentos-por-empleados/descuentos-acumulados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descuentos-acumulados</v>
      </c>
      <c r="L49" s="2" t="s">
        <v>1490</v>
      </c>
      <c r="M49" s="2" t="s">
        <v>1800</v>
      </c>
      <c r="N49" s="4" t="s">
        <v>360</v>
      </c>
      <c r="O49" s="4" t="s">
        <v>360</v>
      </c>
      <c r="P49" s="4" t="s">
        <v>360</v>
      </c>
      <c r="Q49" s="4" t="s">
        <v>360</v>
      </c>
      <c r="R49" s="4" t="s">
        <v>360</v>
      </c>
      <c r="S49" s="4" t="s">
        <v>360</v>
      </c>
      <c r="V49" s="4" t="s">
        <v>360</v>
      </c>
      <c r="W49" s="2" t="str">
        <f>IF(Tabla_Descuentos[[#This Row],[id_padre]]=Tabla_Descuentos[[#This Row],[Id]],"NOK","OK")</f>
        <v>OK</v>
      </c>
      <c r="X49" s="2"/>
      <c r="Y49" s="2"/>
    </row>
    <row r="50" spans="1:25" hidden="1" x14ac:dyDescent="0.5">
      <c r="A50" s="2">
        <f>MAX(Tabla_Licencias_Medicas[Id])</f>
        <v>1011</v>
      </c>
      <c r="B50">
        <v>1057</v>
      </c>
      <c r="C50" s="5">
        <f>IF(Tabla_Descuentos[[#This Row],[id_padre]]="",0,_xlfn.XLOOKUP(Tabla_Descuentos[[#This Row],[id_padre]],Tabla_Descuentos[Id],Tabla_Descuentos[Nivel],0,0,1)+1)</f>
        <v>3</v>
      </c>
      <c r="D50" s="2" t="s">
        <v>914</v>
      </c>
      <c r="E50">
        <f>IF(Tabla_Descuentos[[#This Row],[Id_anterior]]=1,ROW()-1,SUM(ROW()-1,Tabla_Descuentos[[#This Row],[Id_anterior]]))</f>
        <v>1060</v>
      </c>
      <c r="F50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DESCUENTOS_CONSULTAS_DESCUENTOS_POR_EMPLEADOS_DESCUENTOS_TOTAL_FACH</v>
      </c>
      <c r="G50" s="2" t="str">
        <f>CLEAN(PROPER(Tabla_Descuentos[[#This Row],[Nombre Opción]]))</f>
        <v>Descuentos Total Fach</v>
      </c>
      <c r="H50" s="2" t="s">
        <v>1735</v>
      </c>
      <c r="I50" s="2" t="str">
        <f>_xlfn.XLOOKUP(Tabla_Descuentos[[#This Row],[id_padre]],Tabla_Descuentos[Id],Tabla_Descuentos[Codigo_Tecnico],"",0,1)</f>
        <v>DESCUENTOS_CONSULTAS_DESCUENTOS_POR_EMPLEADOS</v>
      </c>
      <c r="J50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/descuentos/consultas/descuentos-por-empleados/descuentos-total-fach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descuentos-total-fach</v>
      </c>
      <c r="L50" s="2" t="s">
        <v>1367</v>
      </c>
      <c r="M50" s="2" t="s">
        <v>1800</v>
      </c>
      <c r="N50" s="4" t="s">
        <v>360</v>
      </c>
      <c r="O50" s="4" t="s">
        <v>360</v>
      </c>
      <c r="P50" s="4" t="s">
        <v>360</v>
      </c>
      <c r="Q50" s="4" t="s">
        <v>360</v>
      </c>
      <c r="R50" s="4" t="s">
        <v>360</v>
      </c>
      <c r="S50" s="4" t="s">
        <v>360</v>
      </c>
      <c r="V50" s="4" t="s">
        <v>360</v>
      </c>
      <c r="W50" s="2" t="str">
        <f>IF(Tabla_Descuentos[[#This Row],[id_padre]]=Tabla_Descuentos[[#This Row],[Id]],"NOK","OK")</f>
        <v>OK</v>
      </c>
      <c r="X50" s="2"/>
      <c r="Y50" s="2"/>
    </row>
    <row r="51" spans="1:25" hidden="1" x14ac:dyDescent="0.5">
      <c r="A51" s="2">
        <f>MAX(Tabla_Licencias_Medicas[Id])</f>
        <v>1011</v>
      </c>
      <c r="B51">
        <v>1057</v>
      </c>
      <c r="C51" s="5">
        <f>IF(Tabla_Descuentos[[#This Row],[id_padre]]="",0,_xlfn.XLOOKUP(Tabla_Descuentos[[#This Row],[id_padre]],Tabla_Descuentos[Id],Tabla_Descuentos[Nivel],0,0,1)+1)</f>
        <v>3</v>
      </c>
      <c r="D51" s="2" t="s">
        <v>915</v>
      </c>
      <c r="E51">
        <f>IF(Tabla_Descuentos[[#This Row],[Id_anterior]]=1,ROW()-1,SUM(ROW()-1,Tabla_Descuentos[[#This Row],[Id_anterior]]))</f>
        <v>1061</v>
      </c>
      <c r="F51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DESCUENTOS_CONSULTAS_DESCUENTOS_POR_EMPLEADOS_DESCUENTOS_POR_FORMULARIOS</v>
      </c>
      <c r="G51" s="2" t="str">
        <f>CLEAN(PROPER(Tabla_Descuentos[[#This Row],[Nombre Opción]]))</f>
        <v>Descuentos Por Formularios</v>
      </c>
      <c r="H51" s="2" t="s">
        <v>1735</v>
      </c>
      <c r="I51" s="2" t="str">
        <f>_xlfn.XLOOKUP(Tabla_Descuentos[[#This Row],[id_padre]],Tabla_Descuentos[Id],Tabla_Descuentos[Codigo_Tecnico],"",0,1)</f>
        <v>DESCUENTOS_CONSULTAS_DESCUENTOS_POR_EMPLEADOS</v>
      </c>
      <c r="J51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/descuentos/consultas/descuentos-por-empleados/descuentos-por-formularios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descuentos-por-formularios</v>
      </c>
      <c r="L51" s="2" t="s">
        <v>1364</v>
      </c>
      <c r="M51" s="2" t="s">
        <v>1800</v>
      </c>
      <c r="N51" s="4" t="s">
        <v>360</v>
      </c>
      <c r="O51" s="4" t="s">
        <v>360</v>
      </c>
      <c r="P51" s="4" t="s">
        <v>360</v>
      </c>
      <c r="Q51" s="4" t="s">
        <v>360</v>
      </c>
      <c r="R51" s="4" t="s">
        <v>360</v>
      </c>
      <c r="S51" s="4" t="s">
        <v>360</v>
      </c>
      <c r="V51" s="4" t="s">
        <v>360</v>
      </c>
      <c r="W51" s="2" t="str">
        <f>IF(Tabla_Descuentos[[#This Row],[id_padre]]=Tabla_Descuentos[[#This Row],[Id]],"NOK","OK")</f>
        <v>OK</v>
      </c>
      <c r="X51" s="2"/>
      <c r="Y51" s="2"/>
    </row>
    <row r="52" spans="1:25" hidden="1" x14ac:dyDescent="0.5">
      <c r="A52" s="2">
        <f>MAX(Tabla_Licencias_Medicas[Id])</f>
        <v>1011</v>
      </c>
      <c r="B52">
        <v>1016</v>
      </c>
      <c r="C52" s="5">
        <f>IF(Tabla_Descuentos[[#This Row],[id_padre]]="",0,_xlfn.XLOOKUP(Tabla_Descuentos[[#This Row],[id_padre]],Tabla_Descuentos[Id],Tabla_Descuentos[Nivel],0,0,1)+1)</f>
        <v>2</v>
      </c>
      <c r="D52" s="2" t="s">
        <v>916</v>
      </c>
      <c r="E52">
        <f>IF(Tabla_Descuentos[[#This Row],[Id_anterior]]=1,ROW()-1,SUM(ROW()-1,Tabla_Descuentos[[#This Row],[Id_anterior]]))</f>
        <v>1062</v>
      </c>
      <c r="F52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DESCUENTOS_CONSULTAS_DESCUENTOS_INGRESADOS_POR_MES</v>
      </c>
      <c r="G52" s="2" t="str">
        <f>CLEAN(PROPER(Tabla_Descuentos[[#This Row],[Nombre Opción]]))</f>
        <v>Descuentos Ingresados Por Mes</v>
      </c>
      <c r="H52" s="2" t="s">
        <v>1735</v>
      </c>
      <c r="I52" s="2" t="str">
        <f>_xlfn.XLOOKUP(Tabla_Descuentos[[#This Row],[id_padre]],Tabla_Descuentos[Id],Tabla_Descuentos[Codigo_Tecnico],"",0,1)</f>
        <v>DESCUENTOS_CONSULTAS</v>
      </c>
      <c r="J52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/descuentos/consultas/descuentos-ingresados-por-mes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descuentos-ingresados-por-mes</v>
      </c>
      <c r="L52" s="2" t="s">
        <v>1416</v>
      </c>
      <c r="M52" s="2" t="s">
        <v>1800</v>
      </c>
      <c r="N52" s="4" t="s">
        <v>360</v>
      </c>
      <c r="O52" s="4" t="s">
        <v>360</v>
      </c>
      <c r="P52" s="4"/>
      <c r="Q52" s="4"/>
      <c r="R52" s="4" t="s">
        <v>360</v>
      </c>
      <c r="S52" s="4" t="s">
        <v>360</v>
      </c>
      <c r="V52" s="4" t="s">
        <v>360</v>
      </c>
      <c r="W52" s="2" t="str">
        <f>IF(Tabla_Descuentos[[#This Row],[id_padre]]=Tabla_Descuentos[[#This Row],[Id]],"NOK","OK")</f>
        <v>OK</v>
      </c>
      <c r="X52" s="2"/>
      <c r="Y52" s="2"/>
    </row>
    <row r="53" spans="1:25" hidden="1" x14ac:dyDescent="0.5">
      <c r="A53" s="2">
        <f>MAX(Tabla_Licencias_Medicas[Id])</f>
        <v>1011</v>
      </c>
      <c r="B53">
        <v>1016</v>
      </c>
      <c r="C53" s="5">
        <f>IF(Tabla_Descuentos[[#This Row],[id_padre]]="",0,_xlfn.XLOOKUP(Tabla_Descuentos[[#This Row],[id_padre]],Tabla_Descuentos[Id],Tabla_Descuentos[Nivel],0,0,1)+1)</f>
        <v>2</v>
      </c>
      <c r="D53" s="2" t="s">
        <v>917</v>
      </c>
      <c r="E53">
        <f>IF(Tabla_Descuentos[[#This Row],[Id_anterior]]=1,ROW()-1,SUM(ROW()-1,Tabla_Descuentos[[#This Row],[Id_anterior]]))</f>
        <v>1063</v>
      </c>
      <c r="F53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DESCUENTOS_CONSULTAS_DESCUENTOS_POR_CODIGO/SUBCODIGO</v>
      </c>
      <c r="G53" s="2" t="str">
        <f>CLEAN(PROPER(Tabla_Descuentos[[#This Row],[Nombre Opción]]))</f>
        <v>Descuentos Por Codigo/Subcodigo</v>
      </c>
      <c r="H53" s="2" t="s">
        <v>1735</v>
      </c>
      <c r="I53" s="2" t="str">
        <f>_xlfn.XLOOKUP(Tabla_Descuentos[[#This Row],[id_padre]],Tabla_Descuentos[Id],Tabla_Descuentos[Codigo_Tecnico],"",0,1)</f>
        <v>DESCUENTOS_CONSULTAS</v>
      </c>
      <c r="J53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/descuentos/consultas/descuentos-por-codigo/subcodigo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descuentos-por-codigo/subcodigo</v>
      </c>
      <c r="L53" s="2" t="s">
        <v>1608</v>
      </c>
      <c r="M53" s="2" t="s">
        <v>1800</v>
      </c>
      <c r="N53" s="4" t="s">
        <v>360</v>
      </c>
      <c r="O53" s="4" t="s">
        <v>360</v>
      </c>
      <c r="P53" s="4"/>
      <c r="Q53" s="4"/>
      <c r="R53" s="4" t="s">
        <v>360</v>
      </c>
      <c r="S53" s="4" t="s">
        <v>360</v>
      </c>
      <c r="V53" s="4" t="s">
        <v>360</v>
      </c>
      <c r="W53" s="2" t="str">
        <f>IF(Tabla_Descuentos[[#This Row],[id_padre]]=Tabla_Descuentos[[#This Row],[Id]],"NOK","OK")</f>
        <v>OK</v>
      </c>
      <c r="X53" s="2"/>
      <c r="Y53" s="2"/>
    </row>
    <row r="54" spans="1:25" hidden="1" x14ac:dyDescent="0.5">
      <c r="A54" s="2">
        <f>MAX(Tabla_Licencias_Medicas[Id])</f>
        <v>1011</v>
      </c>
      <c r="B54">
        <v>1016</v>
      </c>
      <c r="C54" s="5">
        <f>IF(Tabla_Descuentos[[#This Row],[id_padre]]="",0,_xlfn.XLOOKUP(Tabla_Descuentos[[#This Row],[id_padre]],Tabla_Descuentos[Id],Tabla_Descuentos[Nivel],0,0,1)+1)</f>
        <v>2</v>
      </c>
      <c r="D54" s="2" t="s">
        <v>918</v>
      </c>
      <c r="E54">
        <f>IF(Tabla_Descuentos[[#This Row],[Id_anterior]]=1,ROW()-1,SUM(ROW()-1,Tabla_Descuentos[[#This Row],[Id_anterior]]))</f>
        <v>1064</v>
      </c>
      <c r="F54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DESCUENTOS_CONSULTAS_TOTAL_CATALOGACION_REMUNERACIONES</v>
      </c>
      <c r="G54" s="2" t="str">
        <f>CLEAN(PROPER(Tabla_Descuentos[[#This Row],[Nombre Opción]]))</f>
        <v>Total Catalogacion Remuneraciones</v>
      </c>
      <c r="H54" s="2" t="s">
        <v>1735</v>
      </c>
      <c r="I54" s="2" t="str">
        <f>_xlfn.XLOOKUP(Tabla_Descuentos[[#This Row],[id_padre]],Tabla_Descuentos[Id],Tabla_Descuentos[Codigo_Tecnico],"",0,1)</f>
        <v>DESCUENTOS_CONSULTAS</v>
      </c>
      <c r="J54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/descuentos/consultas/total-catalogacion-remuneraciones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total-catalogacion-remuneraciones</v>
      </c>
      <c r="L54" s="2" t="s">
        <v>1336</v>
      </c>
      <c r="M54" s="2" t="s">
        <v>1800</v>
      </c>
      <c r="N54" s="4" t="s">
        <v>360</v>
      </c>
      <c r="O54" s="4" t="s">
        <v>360</v>
      </c>
      <c r="P54" s="4"/>
      <c r="Q54" s="4"/>
      <c r="R54" s="4" t="s">
        <v>360</v>
      </c>
      <c r="S54" s="4" t="s">
        <v>360</v>
      </c>
      <c r="V54" s="4" t="s">
        <v>360</v>
      </c>
      <c r="W54" s="2" t="str">
        <f>IF(Tabla_Descuentos[[#This Row],[id_padre]]=Tabla_Descuentos[[#This Row],[Id]],"NOK","OK")</f>
        <v>OK</v>
      </c>
      <c r="X54" s="2"/>
      <c r="Y54" s="2"/>
    </row>
    <row r="55" spans="1:25" hidden="1" x14ac:dyDescent="0.5">
      <c r="A55" s="2">
        <f>MAX(Tabla_Licencias_Medicas[Id])</f>
        <v>1011</v>
      </c>
      <c r="B55">
        <v>1016</v>
      </c>
      <c r="C55" s="5">
        <f>IF(Tabla_Descuentos[[#This Row],[id_padre]]="",0,_xlfn.XLOOKUP(Tabla_Descuentos[[#This Row],[id_padre]],Tabla_Descuentos[Id],Tabla_Descuentos[Nivel],0,0,1)+1)</f>
        <v>2</v>
      </c>
      <c r="D55" s="2" t="s">
        <v>919</v>
      </c>
      <c r="E55">
        <f>IF(Tabla_Descuentos[[#This Row],[Id_anterior]]=1,ROW()-1,SUM(ROW()-1,Tabla_Descuentos[[#This Row],[Id_anterior]]))</f>
        <v>1065</v>
      </c>
      <c r="F55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DESCUENTOS_CONSULTAS_SALDOS_CREDITOS</v>
      </c>
      <c r="G55" s="2" t="str">
        <f>CLEAN(PROPER(Tabla_Descuentos[[#This Row],[Nombre Opción]]))</f>
        <v>Saldos Creditos</v>
      </c>
      <c r="H55" s="2" t="s">
        <v>1735</v>
      </c>
      <c r="I55" s="2" t="str">
        <f>_xlfn.XLOOKUP(Tabla_Descuentos[[#This Row],[id_padre]],Tabla_Descuentos[Id],Tabla_Descuentos[Codigo_Tecnico],"",0,1)</f>
        <v>DESCUENTOS_CONSULTAS</v>
      </c>
      <c r="J55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/descuentos/consultas/saldos-creditos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saldos-creditos</v>
      </c>
      <c r="L55" s="2" t="s">
        <v>1567</v>
      </c>
      <c r="M55" s="2" t="s">
        <v>1800</v>
      </c>
      <c r="N55" s="4" t="s">
        <v>360</v>
      </c>
      <c r="O55" s="4" t="s">
        <v>360</v>
      </c>
      <c r="P55" s="4"/>
      <c r="Q55" s="4"/>
      <c r="R55" s="4" t="s">
        <v>360</v>
      </c>
      <c r="S55" s="4" t="s">
        <v>360</v>
      </c>
      <c r="V55" s="4" t="s">
        <v>360</v>
      </c>
      <c r="W55" s="2" t="str">
        <f>IF(Tabla_Descuentos[[#This Row],[id_padre]]=Tabla_Descuentos[[#This Row],[Id]],"NOK","OK")</f>
        <v>OK</v>
      </c>
      <c r="X55" s="2"/>
      <c r="Y55" s="2"/>
    </row>
    <row r="56" spans="1:25" hidden="1" x14ac:dyDescent="0.5">
      <c r="A56" s="2">
        <f>MAX(Tabla_Licencias_Medicas[Id])</f>
        <v>1011</v>
      </c>
      <c r="B56">
        <v>1016</v>
      </c>
      <c r="C56" s="5">
        <f>IF(Tabla_Descuentos[[#This Row],[id_padre]]="",0,_xlfn.XLOOKUP(Tabla_Descuentos[[#This Row],[id_padre]],Tabla_Descuentos[Id],Tabla_Descuentos[Nivel],0,0,1)+1)</f>
        <v>2</v>
      </c>
      <c r="D56" s="2" t="s">
        <v>920</v>
      </c>
      <c r="E56">
        <f>IF(Tabla_Descuentos[[#This Row],[Id_anterior]]=1,ROW()-1,SUM(ROW()-1,Tabla_Descuentos[[#This Row],[Id_anterior]]))</f>
        <v>1066</v>
      </c>
      <c r="F56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DESCUENTOS_CONSULTAS_TOTALES_POR_CODIGO/SUBCODIGO</v>
      </c>
      <c r="G56" s="2" t="str">
        <f>CLEAN(PROPER(Tabla_Descuentos[[#This Row],[Nombre Opción]]))</f>
        <v>Totales Por Codigo/Subcodigo</v>
      </c>
      <c r="H56" s="2" t="s">
        <v>1735</v>
      </c>
      <c r="I56" s="2" t="str">
        <f>_xlfn.XLOOKUP(Tabla_Descuentos[[#This Row],[id_padre]],Tabla_Descuentos[Id],Tabla_Descuentos[Codigo_Tecnico],"",0,1)</f>
        <v>DESCUENTOS_CONSULTAS</v>
      </c>
      <c r="J56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/descuentos/consultas/totales-por-codigo/subcodigo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totales-por-codigo/subcodigo</v>
      </c>
      <c r="L56" s="2" t="s">
        <v>1609</v>
      </c>
      <c r="M56" s="2" t="s">
        <v>1800</v>
      </c>
      <c r="N56" s="4" t="s">
        <v>360</v>
      </c>
      <c r="O56" s="4" t="s">
        <v>360</v>
      </c>
      <c r="P56" s="4"/>
      <c r="Q56" s="4"/>
      <c r="R56" s="4" t="s">
        <v>360</v>
      </c>
      <c r="S56" s="4" t="s">
        <v>360</v>
      </c>
      <c r="V56" s="4" t="s">
        <v>360</v>
      </c>
      <c r="W56" s="2" t="str">
        <f>IF(Tabla_Descuentos[[#This Row],[id_padre]]=Tabla_Descuentos[[#This Row],[Id]],"NOK","OK")</f>
        <v>OK</v>
      </c>
      <c r="X56" s="2"/>
      <c r="Y56" s="2"/>
    </row>
    <row r="57" spans="1:25" hidden="1" x14ac:dyDescent="0.5">
      <c r="A57" s="2">
        <f>MAX(Tabla_Licencias_Medicas[Id])</f>
        <v>1011</v>
      </c>
      <c r="B57">
        <v>1016</v>
      </c>
      <c r="C57" s="5">
        <f>IF(Tabla_Descuentos[[#This Row],[id_padre]]="",0,_xlfn.XLOOKUP(Tabla_Descuentos[[#This Row],[id_padre]],Tabla_Descuentos[Id],Tabla_Descuentos[Nivel],0,0,1)+1)</f>
        <v>2</v>
      </c>
      <c r="D57" s="2" t="s">
        <v>921</v>
      </c>
      <c r="E57">
        <f>IF(Tabla_Descuentos[[#This Row],[Id_anterior]]=1,ROW()-1,SUM(ROW()-1,Tabla_Descuentos[[#This Row],[Id_anterior]]))</f>
        <v>1067</v>
      </c>
      <c r="F57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DESCUENTOS_CONSULTAS_FORMULARIOS</v>
      </c>
      <c r="G57" s="2" t="str">
        <f>CLEAN(PROPER(Tabla_Descuentos[[#This Row],[Nombre Opción]]))</f>
        <v>Formularios</v>
      </c>
      <c r="H57" s="2" t="s">
        <v>1735</v>
      </c>
      <c r="I57" s="2" t="str">
        <f>_xlfn.XLOOKUP(Tabla_Descuentos[[#This Row],[id_padre]],Tabla_Descuentos[Id],Tabla_Descuentos[Codigo_Tecnico],"",0,1)</f>
        <v>DESCUENTOS_CONSULTAS</v>
      </c>
      <c r="J57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/descuentos/consultas/formularios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formularios</v>
      </c>
      <c r="L57" s="2" t="s">
        <v>1343</v>
      </c>
      <c r="M57" s="2" t="s">
        <v>1800</v>
      </c>
      <c r="N57" s="4" t="s">
        <v>360</v>
      </c>
      <c r="O57" s="4" t="s">
        <v>360</v>
      </c>
      <c r="P57" s="4" t="s">
        <v>360</v>
      </c>
      <c r="Q57" s="4" t="s">
        <v>360</v>
      </c>
      <c r="R57" s="4" t="s">
        <v>360</v>
      </c>
      <c r="S57" s="4" t="s">
        <v>360</v>
      </c>
      <c r="T57" s="4" t="s">
        <v>360</v>
      </c>
      <c r="U57" s="4" t="s">
        <v>360</v>
      </c>
      <c r="V57" s="4" t="s">
        <v>360</v>
      </c>
      <c r="W57" s="2" t="str">
        <f>IF(Tabla_Descuentos[[#This Row],[id_padre]]=Tabla_Descuentos[[#This Row],[Id]],"NOK","OK")</f>
        <v>OK</v>
      </c>
      <c r="X57" s="2"/>
      <c r="Y57" s="2"/>
    </row>
    <row r="58" spans="1:25" hidden="1" x14ac:dyDescent="0.5">
      <c r="A58" s="2">
        <f>MAX(Tabla_Licencias_Medicas[Id])</f>
        <v>1011</v>
      </c>
      <c r="B58">
        <v>1067</v>
      </c>
      <c r="C58" s="5">
        <f>IF(Tabla_Descuentos[[#This Row],[id_padre]]="",0,_xlfn.XLOOKUP(Tabla_Descuentos[[#This Row],[id_padre]],Tabla_Descuentos[Id],Tabla_Descuentos[Nivel],0,0,1)+1)</f>
        <v>3</v>
      </c>
      <c r="D58" s="2" t="s">
        <v>922</v>
      </c>
      <c r="E58">
        <f>IF(Tabla_Descuentos[[#This Row],[Id_anterior]]=1,ROW()-1,SUM(ROW()-1,Tabla_Descuentos[[#This Row],[Id_anterior]]))</f>
        <v>1068</v>
      </c>
      <c r="F58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DESCUENTOS_CONSULTAS_FORMULARIOS_DETALLE_FORMULARIOS</v>
      </c>
      <c r="G58" s="2" t="str">
        <f>CLEAN(PROPER(Tabla_Descuentos[[#This Row],[Nombre Opción]]))</f>
        <v>Detalle De Formularios</v>
      </c>
      <c r="H58" s="2" t="s">
        <v>1735</v>
      </c>
      <c r="I58" s="2" t="str">
        <f>_xlfn.XLOOKUP(Tabla_Descuentos[[#This Row],[id_padre]],Tabla_Descuentos[Id],Tabla_Descuentos[Codigo_Tecnico],"",0,1)</f>
        <v>DESCUENTOS_CONSULTAS_FORMULARIOS</v>
      </c>
      <c r="J58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/descuentos/consultas/formularios/detalle-formularios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detalle-formularios</v>
      </c>
      <c r="L58" s="2" t="s">
        <v>1460</v>
      </c>
      <c r="M58" s="2" t="s">
        <v>1800</v>
      </c>
      <c r="N58" s="4" t="s">
        <v>360</v>
      </c>
      <c r="O58" s="4" t="s">
        <v>360</v>
      </c>
      <c r="P58" s="4" t="s">
        <v>360</v>
      </c>
      <c r="Q58" s="4" t="s">
        <v>360</v>
      </c>
      <c r="R58" s="4" t="s">
        <v>360</v>
      </c>
      <c r="S58" s="4" t="s">
        <v>360</v>
      </c>
      <c r="T58" s="4" t="s">
        <v>360</v>
      </c>
      <c r="U58" s="4" t="s">
        <v>360</v>
      </c>
      <c r="V58" s="4" t="s">
        <v>360</v>
      </c>
      <c r="W58" s="2" t="str">
        <f>IF(Tabla_Descuentos[[#This Row],[id_padre]]=Tabla_Descuentos[[#This Row],[Id]],"NOK","OK")</f>
        <v>OK</v>
      </c>
      <c r="X58" s="2"/>
      <c r="Y58" s="2"/>
    </row>
    <row r="59" spans="1:25" hidden="1" x14ac:dyDescent="0.5">
      <c r="A59" s="2">
        <f>MAX(Tabla_Licencias_Medicas[Id])</f>
        <v>1011</v>
      </c>
      <c r="B59">
        <v>1067</v>
      </c>
      <c r="C59" s="5">
        <f>IF(Tabla_Descuentos[[#This Row],[id_padre]]="",0,_xlfn.XLOOKUP(Tabla_Descuentos[[#This Row],[id_padre]],Tabla_Descuentos[Id],Tabla_Descuentos[Nivel],0,0,1)+1)</f>
        <v>3</v>
      </c>
      <c r="D59" s="2" t="s">
        <v>923</v>
      </c>
      <c r="E59">
        <f>IF(Tabla_Descuentos[[#This Row],[Id_anterior]]=1,ROW()-1,SUM(ROW()-1,Tabla_Descuentos[[#This Row],[Id_anterior]]))</f>
        <v>1069</v>
      </c>
      <c r="F59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DESCUENTOS_CONSULTAS_FORMULARIOS_FORMULARIOS_PENDIENTES_ACTUALIZACION</v>
      </c>
      <c r="G59" s="2" t="str">
        <f>CLEAN(PROPER(Tabla_Descuentos[[#This Row],[Nombre Opción]]))</f>
        <v>Formularios Pendientes De Actualizacion</v>
      </c>
      <c r="H59" s="2" t="s">
        <v>1735</v>
      </c>
      <c r="I59" s="2" t="str">
        <f>_xlfn.XLOOKUP(Tabla_Descuentos[[#This Row],[id_padre]],Tabla_Descuentos[Id],Tabla_Descuentos[Codigo_Tecnico],"",0,1)</f>
        <v>DESCUENTOS_CONSULTAS_FORMULARIOS</v>
      </c>
      <c r="J59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/descuentos/consultas/formularios/formularios-pendientes-actualizacion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formularios-pendientes-actualizacion</v>
      </c>
      <c r="L59" s="2" t="s">
        <v>1501</v>
      </c>
      <c r="M59" s="2" t="s">
        <v>1800</v>
      </c>
      <c r="N59" s="4" t="s">
        <v>360</v>
      </c>
      <c r="O59" s="4" t="s">
        <v>360</v>
      </c>
      <c r="P59" s="4" t="s">
        <v>360</v>
      </c>
      <c r="Q59" s="4" t="s">
        <v>360</v>
      </c>
      <c r="R59" s="4" t="s">
        <v>360</v>
      </c>
      <c r="S59" s="4" t="s">
        <v>360</v>
      </c>
      <c r="T59" s="4" t="s">
        <v>360</v>
      </c>
      <c r="U59" s="4" t="s">
        <v>360</v>
      </c>
      <c r="V59" s="4" t="s">
        <v>360</v>
      </c>
      <c r="W59" s="2" t="str">
        <f>IF(Tabla_Descuentos[[#This Row],[id_padre]]=Tabla_Descuentos[[#This Row],[Id]],"NOK","OK")</f>
        <v>OK</v>
      </c>
      <c r="X59" s="2"/>
      <c r="Y59" s="2"/>
    </row>
    <row r="60" spans="1:25" hidden="1" x14ac:dyDescent="0.5">
      <c r="A60" s="2">
        <f>MAX(Tabla_Licencias_Medicas[Id])</f>
        <v>1011</v>
      </c>
      <c r="B60">
        <v>1067</v>
      </c>
      <c r="C60" s="5">
        <f>IF(Tabla_Descuentos[[#This Row],[id_padre]]="",0,_xlfn.XLOOKUP(Tabla_Descuentos[[#This Row],[id_padre]],Tabla_Descuentos[Id],Tabla_Descuentos[Nivel],0,0,1)+1)</f>
        <v>3</v>
      </c>
      <c r="D60" s="2" t="s">
        <v>924</v>
      </c>
      <c r="E60">
        <f>IF(Tabla_Descuentos[[#This Row],[Id_anterior]]=1,ROW()-1,SUM(ROW()-1,Tabla_Descuentos[[#This Row],[Id_anterior]]))</f>
        <v>1070</v>
      </c>
      <c r="F60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DESCUENTOS_CONSULTAS_FORMULARIOS_FORMULARIOS_ANULADOS</v>
      </c>
      <c r="G60" s="2" t="str">
        <f>CLEAN(PROPER(Tabla_Descuentos[[#This Row],[Nombre Opción]]))</f>
        <v>Formularios Anulados</v>
      </c>
      <c r="H60" s="2" t="s">
        <v>1735</v>
      </c>
      <c r="I60" s="2" t="str">
        <f>_xlfn.XLOOKUP(Tabla_Descuentos[[#This Row],[id_padre]],Tabla_Descuentos[Id],Tabla_Descuentos[Codigo_Tecnico],"",0,1)</f>
        <v>DESCUENTOS_CONSULTAS_FORMULARIOS</v>
      </c>
      <c r="J60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/descuentos/consultas/formularios/formularios-anulados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formularios-anulados</v>
      </c>
      <c r="L60" s="2" t="s">
        <v>1346</v>
      </c>
      <c r="M60" s="2" t="s">
        <v>1800</v>
      </c>
      <c r="N60" s="4" t="s">
        <v>360</v>
      </c>
      <c r="O60" s="4" t="s">
        <v>360</v>
      </c>
      <c r="P60" s="4" t="s">
        <v>360</v>
      </c>
      <c r="Q60" s="4" t="s">
        <v>360</v>
      </c>
      <c r="R60" s="4" t="s">
        <v>360</v>
      </c>
      <c r="S60" s="4" t="s">
        <v>360</v>
      </c>
      <c r="T60" s="4" t="s">
        <v>360</v>
      </c>
      <c r="U60" s="4" t="s">
        <v>360</v>
      </c>
      <c r="V60" s="4" t="s">
        <v>360</v>
      </c>
      <c r="W60" s="2" t="str">
        <f>IF(Tabla_Descuentos[[#This Row],[id_padre]]=Tabla_Descuentos[[#This Row],[Id]],"NOK","OK")</f>
        <v>OK</v>
      </c>
      <c r="X60" s="2"/>
      <c r="Y60" s="2"/>
    </row>
    <row r="61" spans="1:25" hidden="1" x14ac:dyDescent="0.5">
      <c r="A61" s="2">
        <f>MAX(Tabla_Licencias_Medicas[Id])</f>
        <v>1011</v>
      </c>
      <c r="B61">
        <v>1016</v>
      </c>
      <c r="C61" s="5">
        <f>IF(Tabla_Descuentos[[#This Row],[id_padre]]="",0,_xlfn.XLOOKUP(Tabla_Descuentos[[#This Row],[id_padre]],Tabla_Descuentos[Id],Tabla_Descuentos[Nivel],0,0,1)+1)</f>
        <v>2</v>
      </c>
      <c r="D61" s="2" t="s">
        <v>925</v>
      </c>
      <c r="E61">
        <f>IF(Tabla_Descuentos[[#This Row],[Id_anterior]]=1,ROW()-1,SUM(ROW()-1,Tabla_Descuentos[[#This Row],[Id_anterior]]))</f>
        <v>1071</v>
      </c>
      <c r="F61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DESCUENTOS_CONSULTAS_CODIGOS/SUBCODIGOS_HABILITADOS</v>
      </c>
      <c r="G61" s="2" t="str">
        <f>CLEAN(PROPER(Tabla_Descuentos[[#This Row],[Nombre Opción]]))</f>
        <v>Codigos/Subcodigos Habilitados</v>
      </c>
      <c r="H61" s="2" t="s">
        <v>1735</v>
      </c>
      <c r="I61" s="2" t="str">
        <f>_xlfn.XLOOKUP(Tabla_Descuentos[[#This Row],[id_padre]],Tabla_Descuentos[Id],Tabla_Descuentos[Codigo_Tecnico],"",0,1)</f>
        <v>DESCUENTOS_CONSULTAS</v>
      </c>
      <c r="J61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/descuentos/consultas/codigos/subcodigos-habilitados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codigos/subcodigos-habilitados</v>
      </c>
      <c r="L61" s="2" t="s">
        <v>1386</v>
      </c>
      <c r="M61" s="2" t="s">
        <v>1800</v>
      </c>
      <c r="N61" s="4" t="s">
        <v>360</v>
      </c>
      <c r="O61" s="4" t="s">
        <v>360</v>
      </c>
      <c r="P61" s="4" t="s">
        <v>360</v>
      </c>
      <c r="Q61" s="4" t="s">
        <v>360</v>
      </c>
      <c r="R61" s="4" t="s">
        <v>360</v>
      </c>
      <c r="S61" s="4" t="s">
        <v>360</v>
      </c>
      <c r="T61" s="4" t="s">
        <v>360</v>
      </c>
      <c r="U61" s="4" t="s">
        <v>360</v>
      </c>
      <c r="V61" s="4" t="s">
        <v>360</v>
      </c>
      <c r="W61" s="2" t="str">
        <f>IF(Tabla_Descuentos[[#This Row],[id_padre]]=Tabla_Descuentos[[#This Row],[Id]],"NOK","OK")</f>
        <v>OK</v>
      </c>
      <c r="X61" s="2"/>
      <c r="Y61" s="2"/>
    </row>
    <row r="62" spans="1:25" hidden="1" x14ac:dyDescent="0.5">
      <c r="A62" s="2">
        <f>MAX(Tabla_Licencias_Medicas[Id])</f>
        <v>1011</v>
      </c>
      <c r="B62">
        <v>1016</v>
      </c>
      <c r="C62" s="5">
        <f>IF(Tabla_Descuentos[[#This Row],[id_padre]]="",0,_xlfn.XLOOKUP(Tabla_Descuentos[[#This Row],[id_padre]],Tabla_Descuentos[Id],Tabla_Descuentos[Nivel],0,0,1)+1)</f>
        <v>2</v>
      </c>
      <c r="D62" s="2" t="s">
        <v>926</v>
      </c>
      <c r="E62">
        <f>IF(Tabla_Descuentos[[#This Row],[Id_anterior]]=1,ROW()-1,SUM(ROW()-1,Tabla_Descuentos[[#This Row],[Id_anterior]]))</f>
        <v>1072</v>
      </c>
      <c r="F62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DESCUENTOS_CONSULTAS_MOVIMIENTO_POR_CADETE</v>
      </c>
      <c r="G62" s="2" t="str">
        <f>CLEAN(PROPER(Tabla_Descuentos[[#This Row],[Nombre Opción]]))</f>
        <v>Movimiento Por Cadete</v>
      </c>
      <c r="H62" s="2" t="s">
        <v>1735</v>
      </c>
      <c r="I62" s="2" t="str">
        <f>_xlfn.XLOOKUP(Tabla_Descuentos[[#This Row],[id_padre]],Tabla_Descuentos[Id],Tabla_Descuentos[Codigo_Tecnico],"",0,1)</f>
        <v>DESCUENTOS_CONSULTAS</v>
      </c>
      <c r="J62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/descuentos/consultas/movimiento-por-cadete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movimiento-por-cadete</v>
      </c>
      <c r="L62" s="2" t="s">
        <v>1549</v>
      </c>
      <c r="M62" s="2" t="s">
        <v>1800</v>
      </c>
      <c r="N62" s="4" t="s">
        <v>360</v>
      </c>
      <c r="O62" s="4" t="s">
        <v>360</v>
      </c>
      <c r="P62" s="4" t="s">
        <v>360</v>
      </c>
      <c r="Q62" s="4" t="s">
        <v>360</v>
      </c>
      <c r="R62" s="4" t="s">
        <v>360</v>
      </c>
      <c r="S62" s="4" t="s">
        <v>360</v>
      </c>
      <c r="T62" s="4" t="s">
        <v>360</v>
      </c>
      <c r="U62" s="4" t="s">
        <v>360</v>
      </c>
      <c r="V62" s="4" t="s">
        <v>360</v>
      </c>
      <c r="W62" s="2" t="str">
        <f>IF(Tabla_Descuentos[[#This Row],[id_padre]]=Tabla_Descuentos[[#This Row],[Id]],"NOK","OK")</f>
        <v>OK</v>
      </c>
      <c r="X62" s="2"/>
      <c r="Y62" s="2"/>
    </row>
    <row r="63" spans="1:25" hidden="1" x14ac:dyDescent="0.5">
      <c r="A63" s="2">
        <f>MAX(Tabla_Licencias_Medicas[Id])</f>
        <v>1011</v>
      </c>
      <c r="B63">
        <v>1017</v>
      </c>
      <c r="C63" s="5">
        <f>IF(Tabla_Descuentos[[#This Row],[id_padre]]="",0,_xlfn.XLOOKUP(Tabla_Descuentos[[#This Row],[id_padre]],Tabla_Descuentos[Id],Tabla_Descuentos[Nivel],0,0,1)+1)</f>
        <v>2</v>
      </c>
      <c r="D63" s="2" t="s">
        <v>927</v>
      </c>
      <c r="E63">
        <f>IF(Tabla_Descuentos[[#This Row],[Id_anterior]]=1,ROW()-1,SUM(ROW()-1,Tabla_Descuentos[[#This Row],[Id_anterior]]))</f>
        <v>1073</v>
      </c>
      <c r="F63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DESCUENTOS_INFORMES_DESCUENTOS_POR_EMPLEADO</v>
      </c>
      <c r="G63" s="2" t="str">
        <f>CLEAN(PROPER(Tabla_Descuentos[[#This Row],[Nombre Opción]]))</f>
        <v>Descuentos Por Empleado</v>
      </c>
      <c r="H63" s="2" t="s">
        <v>1735</v>
      </c>
      <c r="I63" s="2" t="str">
        <f>_xlfn.XLOOKUP(Tabla_Descuentos[[#This Row],[id_padre]],Tabla_Descuentos[Id],Tabla_Descuentos[Codigo_Tecnico],"",0,1)</f>
        <v>DESCUENTOS_INFORMES</v>
      </c>
      <c r="J63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/descuentos/informes/descuentos-por-empleado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descuentos-por-empleado</v>
      </c>
      <c r="L63" s="2" t="s">
        <v>1594</v>
      </c>
      <c r="M63" s="2" t="s">
        <v>1800</v>
      </c>
      <c r="N63" s="4" t="s">
        <v>360</v>
      </c>
      <c r="O63" s="4" t="s">
        <v>360</v>
      </c>
      <c r="P63" s="4" t="s">
        <v>360</v>
      </c>
      <c r="Q63" s="4"/>
      <c r="R63" s="4" t="s">
        <v>360</v>
      </c>
      <c r="S63" s="4" t="s">
        <v>360</v>
      </c>
      <c r="V63" s="4" t="s">
        <v>360</v>
      </c>
      <c r="W63" s="2" t="str">
        <f>IF(Tabla_Descuentos[[#This Row],[id_padre]]=Tabla_Descuentos[[#This Row],[Id]],"NOK","OK")</f>
        <v>OK</v>
      </c>
      <c r="X63" s="2"/>
      <c r="Y63" s="2"/>
    </row>
    <row r="64" spans="1:25" hidden="1" x14ac:dyDescent="0.5">
      <c r="A64" s="2">
        <f>MAX(Tabla_Licencias_Medicas[Id])</f>
        <v>1011</v>
      </c>
      <c r="B64">
        <v>1073</v>
      </c>
      <c r="C64" s="5">
        <f>IF(Tabla_Descuentos[[#This Row],[id_padre]]="",0,_xlfn.XLOOKUP(Tabla_Descuentos[[#This Row],[id_padre]],Tabla_Descuentos[Id],Tabla_Descuentos[Nivel],0,0,1)+1)</f>
        <v>3</v>
      </c>
      <c r="D64" s="2" t="s">
        <v>912</v>
      </c>
      <c r="E64">
        <f>IF(Tabla_Descuentos[[#This Row],[Id_anterior]]=1,ROW()-1,SUM(ROW()-1,Tabla_Descuentos[[#This Row],[Id_anterior]]))</f>
        <v>1074</v>
      </c>
      <c r="F64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DESCUENTOS_INFORMES_DESCUENTOS_POR_EMPLEADO_DESCUENTOS_MENSUALES</v>
      </c>
      <c r="G64" s="2" t="str">
        <f>CLEAN(PROPER(Tabla_Descuentos[[#This Row],[Nombre Opción]]))</f>
        <v>Descuentos Mensuales</v>
      </c>
      <c r="H64" s="2" t="s">
        <v>1735</v>
      </c>
      <c r="I64" s="2" t="str">
        <f>_xlfn.XLOOKUP(Tabla_Descuentos[[#This Row],[id_padre]],Tabla_Descuentos[Id],Tabla_Descuentos[Codigo_Tecnico],"",0,1)</f>
        <v>DESCUENTOS_INFORMES_DESCUENTOS_POR_EMPLEADO</v>
      </c>
      <c r="J64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/descuentos/informes/descuentos-por-empleado/descuentos-mensuales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descuentos-mensuales</v>
      </c>
      <c r="L64" s="2" t="s">
        <v>1448</v>
      </c>
      <c r="M64" s="2" t="s">
        <v>1800</v>
      </c>
      <c r="N64" s="4" t="s">
        <v>360</v>
      </c>
      <c r="O64" s="4" t="s">
        <v>360</v>
      </c>
      <c r="P64" s="4" t="s">
        <v>360</v>
      </c>
      <c r="Q64" s="4"/>
      <c r="R64" s="4" t="s">
        <v>360</v>
      </c>
      <c r="S64" s="4" t="s">
        <v>360</v>
      </c>
      <c r="V64" s="4" t="s">
        <v>360</v>
      </c>
      <c r="W64" s="2" t="str">
        <f>IF(Tabla_Descuentos[[#This Row],[id_padre]]=Tabla_Descuentos[[#This Row],[Id]],"NOK","OK")</f>
        <v>OK</v>
      </c>
      <c r="X64" s="2"/>
      <c r="Y64" s="2"/>
    </row>
    <row r="65" spans="1:25" hidden="1" x14ac:dyDescent="0.5">
      <c r="A65" s="2">
        <f>MAX(Tabla_Licencias_Medicas[Id])</f>
        <v>1011</v>
      </c>
      <c r="B65">
        <v>1073</v>
      </c>
      <c r="C65" s="5">
        <f>IF(Tabla_Descuentos[[#This Row],[id_padre]]="",0,_xlfn.XLOOKUP(Tabla_Descuentos[[#This Row],[id_padre]],Tabla_Descuentos[Id],Tabla_Descuentos[Nivel],0,0,1)+1)</f>
        <v>3</v>
      </c>
      <c r="D65" s="2" t="s">
        <v>913</v>
      </c>
      <c r="E65">
        <f>IF(Tabla_Descuentos[[#This Row],[Id_anterior]]=1,ROW()-1,SUM(ROW()-1,Tabla_Descuentos[[#This Row],[Id_anterior]]))</f>
        <v>1075</v>
      </c>
      <c r="F65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DESCUENTOS_INFORMES_DESCUENTOS_POR_EMPLEADO_DESCUENTOS_ACUMULADOS</v>
      </c>
      <c r="G65" s="2" t="str">
        <f>CLEAN(PROPER(Tabla_Descuentos[[#This Row],[Nombre Opción]]))</f>
        <v>Descuentos Acumulados</v>
      </c>
      <c r="H65" s="2" t="s">
        <v>1735</v>
      </c>
      <c r="I65" s="2" t="str">
        <f>_xlfn.XLOOKUP(Tabla_Descuentos[[#This Row],[id_padre]],Tabla_Descuentos[Id],Tabla_Descuentos[Codigo_Tecnico],"",0,1)</f>
        <v>DESCUENTOS_INFORMES_DESCUENTOS_POR_EMPLEADO</v>
      </c>
      <c r="J65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/descuentos/informes/descuentos-por-empleado/descuentos-acumulados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descuentos-acumulados</v>
      </c>
      <c r="L65" s="2" t="s">
        <v>1502</v>
      </c>
      <c r="M65" s="2" t="s">
        <v>1800</v>
      </c>
      <c r="N65" s="4" t="s">
        <v>360</v>
      </c>
      <c r="O65" s="4" t="s">
        <v>360</v>
      </c>
      <c r="P65" s="4" t="s">
        <v>360</v>
      </c>
      <c r="Q65" s="4"/>
      <c r="R65" s="4" t="s">
        <v>360</v>
      </c>
      <c r="S65" s="4" t="s">
        <v>360</v>
      </c>
      <c r="V65" s="4" t="s">
        <v>360</v>
      </c>
      <c r="W65" s="2" t="str">
        <f>IF(Tabla_Descuentos[[#This Row],[id_padre]]=Tabla_Descuentos[[#This Row],[Id]],"NOK","OK")</f>
        <v>OK</v>
      </c>
      <c r="X65" s="2"/>
      <c r="Y65" s="2"/>
    </row>
    <row r="66" spans="1:25" hidden="1" x14ac:dyDescent="0.5">
      <c r="A66" s="2">
        <f>MAX(Tabla_Licencias_Medicas[Id])</f>
        <v>1011</v>
      </c>
      <c r="B66">
        <v>1017</v>
      </c>
      <c r="C66" s="5">
        <f>IF(Tabla_Descuentos[[#This Row],[id_padre]]="",0,_xlfn.XLOOKUP(Tabla_Descuentos[[#This Row],[id_padre]],Tabla_Descuentos[Id],Tabla_Descuentos[Nivel],0,0,1)+1)</f>
        <v>2</v>
      </c>
      <c r="D66" s="2" t="s">
        <v>916</v>
      </c>
      <c r="E66">
        <f>IF(Tabla_Descuentos[[#This Row],[Id_anterior]]=1,ROW()-1,SUM(ROW()-1,Tabla_Descuentos[[#This Row],[Id_anterior]]))</f>
        <v>1076</v>
      </c>
      <c r="F66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DESCUENTOS_INFORMES_DESCUENTOS_INGRESADOS_POR_MES</v>
      </c>
      <c r="G66" s="2" t="str">
        <f>CLEAN(PROPER(Tabla_Descuentos[[#This Row],[Nombre Opción]]))</f>
        <v>Descuentos Ingresados Por Mes</v>
      </c>
      <c r="H66" s="2" t="s">
        <v>1735</v>
      </c>
      <c r="I66" s="2" t="str">
        <f>_xlfn.XLOOKUP(Tabla_Descuentos[[#This Row],[id_padre]],Tabla_Descuentos[Id],Tabla_Descuentos[Codigo_Tecnico],"",0,1)</f>
        <v>DESCUENTOS_INFORMES</v>
      </c>
      <c r="J66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/descuentos/informes/descuentos-ingresados-por-mes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descuentos-ingresados-por-mes</v>
      </c>
      <c r="L66" s="2" t="s">
        <v>1436</v>
      </c>
      <c r="M66" s="2" t="s">
        <v>1800</v>
      </c>
      <c r="N66" s="4" t="s">
        <v>360</v>
      </c>
      <c r="O66" s="4" t="s">
        <v>360</v>
      </c>
      <c r="P66" s="4" t="s">
        <v>360</v>
      </c>
      <c r="Q66" s="4"/>
      <c r="R66" s="4" t="s">
        <v>360</v>
      </c>
      <c r="S66" s="4" t="s">
        <v>360</v>
      </c>
      <c r="V66" s="4" t="s">
        <v>360</v>
      </c>
      <c r="W66" s="2" t="str">
        <f>IF(Tabla_Descuentos[[#This Row],[id_padre]]=Tabla_Descuentos[[#This Row],[Id]],"NOK","OK")</f>
        <v>OK</v>
      </c>
      <c r="X66" s="2"/>
      <c r="Y66" s="2"/>
    </row>
    <row r="67" spans="1:25" hidden="1" x14ac:dyDescent="0.5">
      <c r="A67" s="2">
        <f>MAX(Tabla_Licencias_Medicas[Id])</f>
        <v>1011</v>
      </c>
      <c r="B67">
        <v>1017</v>
      </c>
      <c r="C67" s="5">
        <f>IF(Tabla_Descuentos[[#This Row],[id_padre]]="",0,_xlfn.XLOOKUP(Tabla_Descuentos[[#This Row],[id_padre]],Tabla_Descuentos[Id],Tabla_Descuentos[Nivel],0,0,1)+1)</f>
        <v>2</v>
      </c>
      <c r="D67" s="2" t="s">
        <v>928</v>
      </c>
      <c r="E67">
        <f>IF(Tabla_Descuentos[[#This Row],[Id_anterior]]=1,ROW()-1,SUM(ROW()-1,Tabla_Descuentos[[#This Row],[Id_anterior]]))</f>
        <v>1077</v>
      </c>
      <c r="F67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DESCUENTOS_INFORMES_DESCUENTOS_ANULADOS</v>
      </c>
      <c r="G67" s="2" t="str">
        <f>CLEAN(PROPER(Tabla_Descuentos[[#This Row],[Nombre Opción]]))</f>
        <v>Descuentos Anulados</v>
      </c>
      <c r="H67" s="2" t="s">
        <v>1735</v>
      </c>
      <c r="I67" s="2" t="str">
        <f>_xlfn.XLOOKUP(Tabla_Descuentos[[#This Row],[id_padre]],Tabla_Descuentos[Id],Tabla_Descuentos[Codigo_Tecnico],"",0,1)</f>
        <v>DESCUENTOS_INFORMES</v>
      </c>
      <c r="J67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/descuentos/informes/descuentos-anulados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descuentos-anulados</v>
      </c>
      <c r="L67" s="2" t="s">
        <v>1345</v>
      </c>
      <c r="M67" s="2" t="s">
        <v>1800</v>
      </c>
      <c r="N67" s="4" t="s">
        <v>360</v>
      </c>
      <c r="O67" s="4" t="s">
        <v>360</v>
      </c>
      <c r="P67" s="4" t="s">
        <v>360</v>
      </c>
      <c r="Q67" s="4"/>
      <c r="R67" s="4" t="s">
        <v>360</v>
      </c>
      <c r="S67" s="4" t="s">
        <v>360</v>
      </c>
      <c r="V67" s="4" t="s">
        <v>360</v>
      </c>
      <c r="W67" s="2" t="str">
        <f>IF(Tabla_Descuentos[[#This Row],[id_padre]]=Tabla_Descuentos[[#This Row],[Id]],"NOK","OK")</f>
        <v>OK</v>
      </c>
      <c r="X67" s="2"/>
      <c r="Y67" s="2"/>
    </row>
    <row r="68" spans="1:25" hidden="1" x14ac:dyDescent="0.5">
      <c r="A68" s="2">
        <f>MAX(Tabla_Licencias_Medicas[Id])</f>
        <v>1011</v>
      </c>
      <c r="B68">
        <v>1017</v>
      </c>
      <c r="C68" s="5">
        <f>IF(Tabla_Descuentos[[#This Row],[id_padre]]="",0,_xlfn.XLOOKUP(Tabla_Descuentos[[#This Row],[id_padre]],Tabla_Descuentos[Id],Tabla_Descuentos[Nivel],0,0,1)+1)</f>
        <v>2</v>
      </c>
      <c r="D68" s="2" t="s">
        <v>929</v>
      </c>
      <c r="E68">
        <f>IF(Tabla_Descuentos[[#This Row],[Id_anterior]]=1,ROW()-1,SUM(ROW()-1,Tabla_Descuentos[[#This Row],[Id_anterior]]))</f>
        <v>1078</v>
      </c>
      <c r="F68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DESCUENTOS_INFORMES_TOTALES_POR_CODIGO_SUBCODIGO</v>
      </c>
      <c r="G68" s="2" t="str">
        <f>CLEAN(PROPER(Tabla_Descuentos[[#This Row],[Nombre Opción]]))</f>
        <v>Totales Por Codigo / Subcodigo</v>
      </c>
      <c r="H68" s="2" t="s">
        <v>1735</v>
      </c>
      <c r="I68" s="2" t="str">
        <f>_xlfn.XLOOKUP(Tabla_Descuentos[[#This Row],[id_padre]],Tabla_Descuentos[Id],Tabla_Descuentos[Codigo_Tecnico],"",0,1)</f>
        <v>DESCUENTOS_INFORMES</v>
      </c>
      <c r="J68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/descuentos/informes/totales-por-codigo-subcodigo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totales-por-codigo-subcodigo</v>
      </c>
      <c r="L68" s="2" t="s">
        <v>1406</v>
      </c>
      <c r="M68" s="2" t="s">
        <v>1800</v>
      </c>
      <c r="N68" s="4" t="s">
        <v>360</v>
      </c>
      <c r="O68" s="4" t="s">
        <v>360</v>
      </c>
      <c r="P68" s="4" t="s">
        <v>360</v>
      </c>
      <c r="Q68" s="4"/>
      <c r="R68" s="4" t="s">
        <v>360</v>
      </c>
      <c r="S68" s="4" t="s">
        <v>360</v>
      </c>
      <c r="V68" s="4" t="s">
        <v>360</v>
      </c>
      <c r="W68" s="2" t="str">
        <f>IF(Tabla_Descuentos[[#This Row],[id_padre]]=Tabla_Descuentos[[#This Row],[Id]],"NOK","OK")</f>
        <v>OK</v>
      </c>
      <c r="X68" s="2"/>
      <c r="Y68" s="2"/>
    </row>
    <row r="69" spans="1:25" hidden="1" x14ac:dyDescent="0.5">
      <c r="A69" s="2">
        <f>MAX(Tabla_Licencias_Medicas[Id])</f>
        <v>1011</v>
      </c>
      <c r="B69">
        <v>1017</v>
      </c>
      <c r="C69" s="5">
        <f>IF(Tabla_Descuentos[[#This Row],[id_padre]]="",0,_xlfn.XLOOKUP(Tabla_Descuentos[[#This Row],[id_padre]],Tabla_Descuentos[Id],Tabla_Descuentos[Nivel],0,0,1)+1)</f>
        <v>2</v>
      </c>
      <c r="D69" s="2" t="s">
        <v>930</v>
      </c>
      <c r="E69">
        <f>IF(Tabla_Descuentos[[#This Row],[Id_anterior]]=1,ROW()-1,SUM(ROW()-1,Tabla_Descuentos[[#This Row],[Id_anterior]]))</f>
        <v>1079</v>
      </c>
      <c r="F69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DESCUENTOS_INFORMES_DEMOSTRACION_POR_CUENTA_SAFI</v>
      </c>
      <c r="G69" s="2" t="str">
        <f>CLEAN(PROPER(Tabla_Descuentos[[#This Row],[Nombre Opción]]))</f>
        <v>Demostracion Por Cuenta Safi</v>
      </c>
      <c r="H69" s="2" t="s">
        <v>1735</v>
      </c>
      <c r="I69" s="2" t="str">
        <f>_xlfn.XLOOKUP(Tabla_Descuentos[[#This Row],[id_padre]],Tabla_Descuentos[Id],Tabla_Descuentos[Codigo_Tecnico],"",0,1)</f>
        <v>DESCUENTOS_INFORMES</v>
      </c>
      <c r="J69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/descuentos/informes/demostracion-por-cuenta-safi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demostracion-por-cuenta-safi</v>
      </c>
      <c r="L69" s="2" t="s">
        <v>1395</v>
      </c>
      <c r="M69" s="2" t="s">
        <v>1800</v>
      </c>
      <c r="N69" s="4" t="s">
        <v>360</v>
      </c>
      <c r="O69" s="4" t="s">
        <v>360</v>
      </c>
      <c r="P69" s="4" t="s">
        <v>360</v>
      </c>
      <c r="Q69" s="4"/>
      <c r="R69" s="4" t="s">
        <v>360</v>
      </c>
      <c r="S69" s="4" t="s">
        <v>360</v>
      </c>
      <c r="V69" s="4" t="s">
        <v>360</v>
      </c>
      <c r="W69" s="2" t="str">
        <f>IF(Tabla_Descuentos[[#This Row],[id_padre]]=Tabla_Descuentos[[#This Row],[Id]],"NOK","OK")</f>
        <v>OK</v>
      </c>
      <c r="X69" s="2"/>
      <c r="Y69" s="2"/>
    </row>
    <row r="70" spans="1:25" hidden="1" x14ac:dyDescent="0.5">
      <c r="A70" s="2">
        <f>MAX(Tabla_Licencias_Medicas[Id])</f>
        <v>1011</v>
      </c>
      <c r="B70">
        <v>1017</v>
      </c>
      <c r="C70" s="5">
        <f>IF(Tabla_Descuentos[[#This Row],[id_padre]]="",0,_xlfn.XLOOKUP(Tabla_Descuentos[[#This Row],[id_padre]],Tabla_Descuentos[Id],Tabla_Descuentos[Nivel],0,0,1)+1)</f>
        <v>2</v>
      </c>
      <c r="D70" s="2" t="s">
        <v>931</v>
      </c>
      <c r="E70">
        <f>IF(Tabla_Descuentos[[#This Row],[Id_anterior]]=1,ROW()-1,SUM(ROW()-1,Tabla_Descuentos[[#This Row],[Id_anterior]]))</f>
        <v>1080</v>
      </c>
      <c r="F70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DESCUENTOS_INFORMES_FORMULARIOS_POR_ESTADO</v>
      </c>
      <c r="G70" s="2" t="str">
        <f>CLEAN(PROPER(Tabla_Descuentos[[#This Row],[Nombre Opción]]))</f>
        <v>Formularios Por Estado</v>
      </c>
      <c r="H70" s="2" t="s">
        <v>1735</v>
      </c>
      <c r="I70" s="2" t="str">
        <f>_xlfn.XLOOKUP(Tabla_Descuentos[[#This Row],[id_padre]],Tabla_Descuentos[Id],Tabla_Descuentos[Codigo_Tecnico],"",0,1)</f>
        <v>DESCUENTOS_INFORMES</v>
      </c>
      <c r="J70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/descuentos/informes/formularios-por-estado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formularios-por-estado</v>
      </c>
      <c r="L70" s="2" t="s">
        <v>1411</v>
      </c>
      <c r="M70" s="2" t="s">
        <v>1800</v>
      </c>
      <c r="N70" s="4" t="s">
        <v>360</v>
      </c>
      <c r="O70" s="4" t="s">
        <v>360</v>
      </c>
      <c r="P70" s="4" t="s">
        <v>360</v>
      </c>
      <c r="Q70" s="4"/>
      <c r="R70" s="4" t="s">
        <v>360</v>
      </c>
      <c r="S70" s="4" t="s">
        <v>360</v>
      </c>
      <c r="V70" s="4" t="s">
        <v>360</v>
      </c>
      <c r="W70" s="2" t="str">
        <f>IF(Tabla_Descuentos[[#This Row],[id_padre]]=Tabla_Descuentos[[#This Row],[Id]],"NOK","OK")</f>
        <v>OK</v>
      </c>
      <c r="X70" s="2"/>
      <c r="Y70" s="2"/>
    </row>
    <row r="71" spans="1:25" hidden="1" x14ac:dyDescent="0.5">
      <c r="A71" s="2">
        <f>MAX(Tabla_Licencias_Medicas[Id])</f>
        <v>1011</v>
      </c>
      <c r="B71">
        <v>1017</v>
      </c>
      <c r="C71" s="5">
        <f>IF(Tabla_Descuentos[[#This Row],[id_padre]]="",0,_xlfn.XLOOKUP(Tabla_Descuentos[[#This Row],[id_padre]],Tabla_Descuentos[Id],Tabla_Descuentos[Nivel],0,0,1)+1)</f>
        <v>2</v>
      </c>
      <c r="D71" s="2" t="s">
        <v>932</v>
      </c>
      <c r="E71">
        <f>IF(Tabla_Descuentos[[#This Row],[Id_anterior]]=1,ROW()-1,SUM(ROW()-1,Tabla_Descuentos[[#This Row],[Id_anterior]]))</f>
        <v>1081</v>
      </c>
      <c r="F71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DESCUENTOS_INFORMES_PAGO/ABONO_POR_CAJA_MENSUAL</v>
      </c>
      <c r="G71" s="2" t="str">
        <f>CLEAN(PROPER(Tabla_Descuentos[[#This Row],[Nombre Opción]]))</f>
        <v>Pago/Abono Por Caja Mensual</v>
      </c>
      <c r="H71" s="2" t="s">
        <v>1735</v>
      </c>
      <c r="I71" s="2" t="str">
        <f>_xlfn.XLOOKUP(Tabla_Descuentos[[#This Row],[id_padre]],Tabla_Descuentos[Id],Tabla_Descuentos[Codigo_Tecnico],"",0,1)</f>
        <v>DESCUENTOS_INFORMES</v>
      </c>
      <c r="J71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/descuentos/informes/pago/abono-por-caja-mensual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pago/abono-por-caja-mensual</v>
      </c>
      <c r="L71" s="2" t="s">
        <v>1371</v>
      </c>
      <c r="M71" s="2" t="s">
        <v>1800</v>
      </c>
      <c r="N71" s="4" t="s">
        <v>360</v>
      </c>
      <c r="O71" s="4" t="s">
        <v>360</v>
      </c>
      <c r="P71" s="4" t="s">
        <v>360</v>
      </c>
      <c r="Q71" s="4"/>
      <c r="R71" s="4" t="s">
        <v>360</v>
      </c>
      <c r="S71" s="4" t="s">
        <v>360</v>
      </c>
      <c r="V71" s="4" t="s">
        <v>360</v>
      </c>
      <c r="W71" s="2" t="str">
        <f>IF(Tabla_Descuentos[[#This Row],[id_padre]]=Tabla_Descuentos[[#This Row],[Id]],"NOK","OK")</f>
        <v>OK</v>
      </c>
      <c r="X71" s="2"/>
      <c r="Y71" s="2"/>
    </row>
    <row r="72" spans="1:25" hidden="1" x14ac:dyDescent="0.5">
      <c r="A72" s="2">
        <f>MAX(Tabla_Licencias_Medicas[Id])</f>
        <v>1011</v>
      </c>
      <c r="B72">
        <v>1017</v>
      </c>
      <c r="C72" s="5">
        <f>IF(Tabla_Descuentos[[#This Row],[id_padre]]="",0,_xlfn.XLOOKUP(Tabla_Descuentos[[#This Row],[id_padre]],Tabla_Descuentos[Id],Tabla_Descuentos[Nivel],0,0,1)+1)</f>
        <v>2</v>
      </c>
      <c r="D72" s="2" t="s">
        <v>933</v>
      </c>
      <c r="E72">
        <f>IF(Tabla_Descuentos[[#This Row],[Id_anterior]]=1,ROW()-1,SUM(ROW()-1,Tabla_Descuentos[[#This Row],[Id_anterior]]))</f>
        <v>1082</v>
      </c>
      <c r="F72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DESCUENTOS_INFORMES_DESCUENTOS_ENVIADOS_SISREM_CAPREDENA</v>
      </c>
      <c r="G72" s="2" t="str">
        <f>CLEAN(PROPER(Tabla_Descuentos[[#This Row],[Nombre Opción]]))</f>
        <v>Descuentos Enviados A Sisrem / Capredena</v>
      </c>
      <c r="H72" s="2" t="s">
        <v>1735</v>
      </c>
      <c r="I72" s="2" t="str">
        <f>_xlfn.XLOOKUP(Tabla_Descuentos[[#This Row],[id_padre]],Tabla_Descuentos[Id],Tabla_Descuentos[Codigo_Tecnico],"",0,1)</f>
        <v>DESCUENTOS_INFORMES</v>
      </c>
      <c r="J72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/descuentos/informes/descuentos-enviados-sisrem-capredena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descuentos-enviados-sisrem-capredena</v>
      </c>
      <c r="L72" s="2" t="s">
        <v>1376</v>
      </c>
      <c r="M72" s="2" t="s">
        <v>1800</v>
      </c>
      <c r="N72" s="4" t="s">
        <v>360</v>
      </c>
      <c r="O72" s="4" t="s">
        <v>360</v>
      </c>
      <c r="P72" s="4" t="s">
        <v>360</v>
      </c>
      <c r="Q72" s="4"/>
      <c r="R72" s="4" t="s">
        <v>360</v>
      </c>
      <c r="S72" s="4" t="s">
        <v>360</v>
      </c>
      <c r="V72" s="4" t="s">
        <v>360</v>
      </c>
      <c r="W72" s="2" t="str">
        <f>IF(Tabla_Descuentos[[#This Row],[id_padre]]=Tabla_Descuentos[[#This Row],[Id]],"NOK","OK")</f>
        <v>OK</v>
      </c>
      <c r="X72" s="2"/>
      <c r="Y72" s="2"/>
    </row>
    <row r="73" spans="1:25" hidden="1" x14ac:dyDescent="0.5">
      <c r="A73" s="2">
        <f>MAX(Tabla_Licencias_Medicas[Id])</f>
        <v>1011</v>
      </c>
      <c r="B73">
        <v>1017</v>
      </c>
      <c r="C73" s="5">
        <f>IF(Tabla_Descuentos[[#This Row],[id_padre]]="",0,_xlfn.XLOOKUP(Tabla_Descuentos[[#This Row],[id_padre]],Tabla_Descuentos[Id],Tabla_Descuentos[Nivel],0,0,1)+1)</f>
        <v>2</v>
      </c>
      <c r="D73" s="2" t="s">
        <v>934</v>
      </c>
      <c r="E73">
        <f>IF(Tabla_Descuentos[[#This Row],[Id_anterior]]=1,ROW()-1,SUM(ROW()-1,Tabla_Descuentos[[#This Row],[Id_anterior]]))</f>
        <v>1083</v>
      </c>
      <c r="F73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DESCUENTOS_INFORMES_DESCUENTOS_RECIBIDOS_SISREM_CAPREDENA</v>
      </c>
      <c r="G73" s="2" t="str">
        <f>CLEAN(PROPER(Tabla_Descuentos[[#This Row],[Nombre Opción]]))</f>
        <v>Descuentos Recibidos De Sisrem / Capredena</v>
      </c>
      <c r="H73" s="2" t="s">
        <v>1735</v>
      </c>
      <c r="I73" s="2" t="str">
        <f>_xlfn.XLOOKUP(Tabla_Descuentos[[#This Row],[id_padre]],Tabla_Descuentos[Id],Tabla_Descuentos[Codigo_Tecnico],"",0,1)</f>
        <v>DESCUENTOS_INFORMES</v>
      </c>
      <c r="J73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/descuentos/informes/descuentos-recibidos-sisrem-capredena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descuentos-recibidos-sisrem-capredena</v>
      </c>
      <c r="L73" s="2" t="s">
        <v>1375</v>
      </c>
      <c r="M73" s="2" t="s">
        <v>1800</v>
      </c>
      <c r="N73" s="4" t="s">
        <v>360</v>
      </c>
      <c r="O73" s="4" t="s">
        <v>360</v>
      </c>
      <c r="P73" s="4" t="s">
        <v>360</v>
      </c>
      <c r="Q73" s="4"/>
      <c r="R73" s="4" t="s">
        <v>360</v>
      </c>
      <c r="S73" s="4" t="s">
        <v>360</v>
      </c>
      <c r="V73" s="4" t="s">
        <v>360</v>
      </c>
      <c r="W73" s="2" t="str">
        <f>IF(Tabla_Descuentos[[#This Row],[id_padre]]=Tabla_Descuentos[[#This Row],[Id]],"NOK","OK")</f>
        <v>OK</v>
      </c>
      <c r="X73" s="2"/>
      <c r="Y73" s="2"/>
    </row>
    <row r="74" spans="1:25" hidden="1" x14ac:dyDescent="0.5">
      <c r="A74" s="2">
        <f>MAX(Tabla_Licencias_Medicas[Id])</f>
        <v>1011</v>
      </c>
      <c r="B74">
        <v>1017</v>
      </c>
      <c r="C74" s="5">
        <f>IF(Tabla_Descuentos[[#This Row],[id_padre]]="",0,_xlfn.XLOOKUP(Tabla_Descuentos[[#This Row],[id_padre]],Tabla_Descuentos[Id],Tabla_Descuentos[Nivel],0,0,1)+1)</f>
        <v>2</v>
      </c>
      <c r="D74" s="2" t="s">
        <v>935</v>
      </c>
      <c r="E74">
        <f>IF(Tabla_Descuentos[[#This Row],[Id_anterior]]=1,ROW()-1,SUM(ROW()-1,Tabla_Descuentos[[#This Row],[Id_anterior]]))</f>
        <v>1084</v>
      </c>
      <c r="F74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DESCUENTOS_INFORMES_DESCUENTOS_POR_CODIGO_SUBCODIGO</v>
      </c>
      <c r="G74" s="2" t="str">
        <f>CLEAN(PROPER(Tabla_Descuentos[[#This Row],[Nombre Opción]]))</f>
        <v>Descuentos Por Codigo / Subcodigo</v>
      </c>
      <c r="H74" s="2" t="s">
        <v>1735</v>
      </c>
      <c r="I74" s="2" t="str">
        <f>_xlfn.XLOOKUP(Tabla_Descuentos[[#This Row],[id_padre]],Tabla_Descuentos[Id],Tabla_Descuentos[Codigo_Tecnico],"",0,1)</f>
        <v>DESCUENTOS_INFORMES</v>
      </c>
      <c r="J74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/descuentos/informes/descuentos-por-codigo-subcodigo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descuentos-por-codigo-subcodigo</v>
      </c>
      <c r="L74" s="2" t="s">
        <v>1610</v>
      </c>
      <c r="M74" s="2" t="s">
        <v>1800</v>
      </c>
      <c r="N74" s="4" t="s">
        <v>360</v>
      </c>
      <c r="O74" s="4" t="s">
        <v>360</v>
      </c>
      <c r="P74" s="4" t="s">
        <v>360</v>
      </c>
      <c r="Q74" s="4" t="s">
        <v>360</v>
      </c>
      <c r="R74" s="4" t="s">
        <v>360</v>
      </c>
      <c r="S74" s="4" t="s">
        <v>360</v>
      </c>
      <c r="V74" s="4" t="s">
        <v>360</v>
      </c>
      <c r="W74" s="2" t="str">
        <f>IF(Tabla_Descuentos[[#This Row],[id_padre]]=Tabla_Descuentos[[#This Row],[Id]],"NOK","OK")</f>
        <v>OK</v>
      </c>
      <c r="X74" s="2"/>
      <c r="Y74" s="2"/>
    </row>
    <row r="75" spans="1:25" hidden="1" x14ac:dyDescent="0.5">
      <c r="A75" s="2">
        <f>MAX(Tabla_Licencias_Medicas[Id])</f>
        <v>1011</v>
      </c>
      <c r="B75">
        <v>1017</v>
      </c>
      <c r="C75" s="5">
        <f>IF(Tabla_Descuentos[[#This Row],[id_padre]]="",0,_xlfn.XLOOKUP(Tabla_Descuentos[[#This Row],[id_padre]],Tabla_Descuentos[Id],Tabla_Descuentos[Nivel],0,0,1)+1)</f>
        <v>2</v>
      </c>
      <c r="D75" s="2" t="s">
        <v>919</v>
      </c>
      <c r="E75">
        <f>IF(Tabla_Descuentos[[#This Row],[Id_anterior]]=1,ROW()-1,SUM(ROW()-1,Tabla_Descuentos[[#This Row],[Id_anterior]]))</f>
        <v>1085</v>
      </c>
      <c r="F75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DESCUENTOS_INFORMES_SALDOS_CREDITOS</v>
      </c>
      <c r="G75" s="2" t="str">
        <f>CLEAN(PROPER(Tabla_Descuentos[[#This Row],[Nombre Opción]]))</f>
        <v>Saldos Creditos</v>
      </c>
      <c r="H75" s="2" t="s">
        <v>1735</v>
      </c>
      <c r="I75" s="2" t="str">
        <f>_xlfn.XLOOKUP(Tabla_Descuentos[[#This Row],[id_padre]],Tabla_Descuentos[Id],Tabla_Descuentos[Codigo_Tecnico],"",0,1)</f>
        <v>DESCUENTOS_INFORMES</v>
      </c>
      <c r="J75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/descuentos/informes/saldos-creditos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saldos-creditos</v>
      </c>
      <c r="L75" s="2" t="s">
        <v>1347</v>
      </c>
      <c r="M75" s="2" t="s">
        <v>1800</v>
      </c>
      <c r="N75" s="4" t="s">
        <v>360</v>
      </c>
      <c r="O75" s="4" t="s">
        <v>360</v>
      </c>
      <c r="P75" s="4" t="s">
        <v>360</v>
      </c>
      <c r="Q75" s="4" t="s">
        <v>360</v>
      </c>
      <c r="R75" s="4" t="s">
        <v>360</v>
      </c>
      <c r="S75" s="4" t="s">
        <v>360</v>
      </c>
      <c r="T75" s="4" t="s">
        <v>360</v>
      </c>
      <c r="V75" s="4" t="s">
        <v>360</v>
      </c>
      <c r="W75" s="2" t="str">
        <f>IF(Tabla_Descuentos[[#This Row],[id_padre]]=Tabla_Descuentos[[#This Row],[Id]],"NOK","OK")</f>
        <v>OK</v>
      </c>
      <c r="X75" s="2"/>
      <c r="Y75" s="2"/>
    </row>
    <row r="76" spans="1:25" hidden="1" x14ac:dyDescent="0.5">
      <c r="A76" s="2">
        <f>MAX(Tabla_Licencias_Medicas[Id])</f>
        <v>1011</v>
      </c>
      <c r="B76">
        <v>1017</v>
      </c>
      <c r="C76" s="5">
        <f>IF(Tabla_Descuentos[[#This Row],[id_padre]]="",0,_xlfn.XLOOKUP(Tabla_Descuentos[[#This Row],[id_padre]],Tabla_Descuentos[Id],Tabla_Descuentos[Nivel],0,0,1)+1)</f>
        <v>2</v>
      </c>
      <c r="D76" s="2" t="s">
        <v>922</v>
      </c>
      <c r="E76">
        <f>IF(Tabla_Descuentos[[#This Row],[Id_anterior]]=1,ROW()-1,SUM(ROW()-1,Tabla_Descuentos[[#This Row],[Id_anterior]]))</f>
        <v>1086</v>
      </c>
      <c r="F76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DESCUENTOS_INFORMES_DETALLE_FORMULARIOS</v>
      </c>
      <c r="G76" s="2" t="str">
        <f>CLEAN(PROPER(Tabla_Descuentos[[#This Row],[Nombre Opción]]))</f>
        <v>Detalle De Formularios</v>
      </c>
      <c r="H76" s="2" t="s">
        <v>1735</v>
      </c>
      <c r="I76" s="2" t="str">
        <f>_xlfn.XLOOKUP(Tabla_Descuentos[[#This Row],[id_padre]],Tabla_Descuentos[Id],Tabla_Descuentos[Codigo_Tecnico],"",0,1)</f>
        <v>DESCUENTOS_INFORMES</v>
      </c>
      <c r="J76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/descuentos/informes/detalle-formularios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detalle-formularios</v>
      </c>
      <c r="L76" s="2" t="s">
        <v>1369</v>
      </c>
      <c r="M76" s="2" t="s">
        <v>1800</v>
      </c>
      <c r="N76" s="4" t="s">
        <v>360</v>
      </c>
      <c r="O76" s="4" t="s">
        <v>360</v>
      </c>
      <c r="P76" s="4" t="s">
        <v>360</v>
      </c>
      <c r="Q76" s="4" t="s">
        <v>360</v>
      </c>
      <c r="R76" s="4" t="s">
        <v>360</v>
      </c>
      <c r="S76" s="4" t="s">
        <v>360</v>
      </c>
      <c r="T76" s="4" t="s">
        <v>360</v>
      </c>
      <c r="U76" s="4" t="s">
        <v>360</v>
      </c>
      <c r="V76" s="4" t="s">
        <v>360</v>
      </c>
      <c r="W76" s="2" t="str">
        <f>IF(Tabla_Descuentos[[#This Row],[id_padre]]=Tabla_Descuentos[[#This Row],[Id]],"NOK","OK")</f>
        <v>OK</v>
      </c>
      <c r="X76" s="2"/>
      <c r="Y76" s="2"/>
    </row>
    <row r="77" spans="1:25" hidden="1" x14ac:dyDescent="0.5">
      <c r="A77" s="2">
        <f>MAX(Tabla_Licencias_Medicas[Id])</f>
        <v>1011</v>
      </c>
      <c r="B77">
        <v>1017</v>
      </c>
      <c r="C77" s="5">
        <f>IF(Tabla_Descuentos[[#This Row],[id_padre]]="",0,_xlfn.XLOOKUP(Tabla_Descuentos[[#This Row],[id_padre]],Tabla_Descuentos[Id],Tabla_Descuentos[Nivel],0,0,1)+1)</f>
        <v>2</v>
      </c>
      <c r="D77" s="2" t="s">
        <v>936</v>
      </c>
      <c r="E77">
        <f>IF(Tabla_Descuentos[[#This Row],[Id_anterior]]=1,ROW()-1,SUM(ROW()-1,Tabla_Descuentos[[#This Row],[Id_anterior]]))</f>
        <v>1087</v>
      </c>
      <c r="F77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DESCUENTOS_INFORMES_EMPLEADOS_ERRONEOS_DESCUENTOS_BATCH</v>
      </c>
      <c r="G77" s="2" t="str">
        <f>CLEAN(PROPER(Tabla_Descuentos[[#This Row],[Nombre Opción]]))</f>
        <v>Empleados Erroneos En Descuentos Batch</v>
      </c>
      <c r="H77" s="2" t="s">
        <v>1735</v>
      </c>
      <c r="I77" s="2" t="str">
        <f>_xlfn.XLOOKUP(Tabla_Descuentos[[#This Row],[id_padre]],Tabla_Descuentos[Id],Tabla_Descuentos[Codigo_Tecnico],"",0,1)</f>
        <v>DESCUENTOS_INFORMES</v>
      </c>
      <c r="J77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/descuentos/informes/empleados-erroneos-descuentos-batch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empleados-erroneos-descuentos-batch</v>
      </c>
      <c r="L77" s="2" t="s">
        <v>1611</v>
      </c>
      <c r="M77" s="2" t="s">
        <v>1800</v>
      </c>
      <c r="N77" s="4" t="s">
        <v>360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V77" s="4" t="s">
        <v>360</v>
      </c>
      <c r="W77" s="2" t="str">
        <f>IF(Tabla_Descuentos[[#This Row],[id_padre]]=Tabla_Descuentos[[#This Row],[Id]],"NOK","OK")</f>
        <v>OK</v>
      </c>
      <c r="X77" s="2"/>
      <c r="Y77" s="2"/>
    </row>
    <row r="78" spans="1:25" hidden="1" x14ac:dyDescent="0.5">
      <c r="A78" s="2">
        <f>MAX(Tabla_Licencias_Medicas[Id])</f>
        <v>1011</v>
      </c>
      <c r="B78">
        <v>1017</v>
      </c>
      <c r="C78" s="5">
        <f>IF(Tabla_Descuentos[[#This Row],[id_padre]]="",0,_xlfn.XLOOKUP(Tabla_Descuentos[[#This Row],[id_padre]],Tabla_Descuentos[Id],Tabla_Descuentos[Nivel],0,0,1)+1)</f>
        <v>2</v>
      </c>
      <c r="D78" s="2" t="s">
        <v>937</v>
      </c>
      <c r="E78">
        <f>IF(Tabla_Descuentos[[#This Row],[Id_anterior]]=1,ROW()-1,SUM(ROW()-1,Tabla_Descuentos[[#This Row],[Id_anterior]]))</f>
        <v>1088</v>
      </c>
      <c r="F78" s="2" t="str">
        <f>IF(Tabla_Descuentos[[#This Row],[id_padre]]="",SUBSTITUTE(UPPER(Tabla_Descuentos[[#This Row],[Slug]]),"-","_"),CONCATENATE(_xlfn.XLOOKUP(Tabla_Descuentos[[#This Row],[id_padre]],Tabla_Descuentos[Id],Tabla_Descuentos[Codigo_Tecnico],"",0,1),"_",SUBSTITUTE(UPPER(Tabla_Descuentos[[#This Row],[Slug]]),"-","_")))</f>
        <v>DESCUENTOS_INFORMES_LISTADO_CADETES</v>
      </c>
      <c r="G78" s="2" t="str">
        <f>CLEAN(PROPER(Tabla_Descuentos[[#This Row],[Nombre Opción]]))</f>
        <v>Listado De Cadetes</v>
      </c>
      <c r="H78" s="2" t="s">
        <v>1735</v>
      </c>
      <c r="I78" s="2" t="str">
        <f>_xlfn.XLOOKUP(Tabla_Descuentos[[#This Row],[id_padre]],Tabla_Descuentos[Id],Tabla_Descuentos[Codigo_Tecnico],"",0,1)</f>
        <v>DESCUENTOS_INFORMES</v>
      </c>
      <c r="J78" s="2" t="str">
        <f>IF(Tabla_Descuentos[[#This Row],[Nivel]]=0,CONCATENATE("/",Tabla_Descuentos[[#This Row],[Slug]]),CONCATENATE(_xlfn.XLOOKUP(Tabla_Descuentos[[#This Row],[id_padre]],Tabla_Descuentos[Id],Tabla_Descuentos[Ruta_Web],"",0,1),"/",Tabla_Descuentos[[#This Row],[Slug]]))</f>
        <v>/descuentos/informes/listado-cadetes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SUBSTITUTE(SUBSTITUTE(SUBSTITUTE(SUBSTITUTE(SUBSTITUTE(SUBSTITUTE(SUBSTITUTE(SUBSTITUTE(SUBSTITUTE(SUBSTITUTE(SUBSTITUTE(SUBSTITUTE(SUBSTITUTE(SUBSTITUTE(SUBSTITUTE(SUBSTITUTE(SUBSTITUTE(SUBSTITUTE(SUBSTITUTE(SUBSTITUTE(SUBSTITUTE(LOWER(Tabla_Descuentos[[#This Row],[Nombre Opción]])," ","-"),"á","a"),"é","e"),"í","i"),"ó","o"),"ú","u"),"/en-","/"),"/de-","/"),"-de-","-"),"-del-","-"),"-la-","-"),"-las-","-"),"-a-","-"),"-y/o-","-"),"-en-","-"),"o/c","o-c"),"-/-","-"),"-–-","-"),".",""),"(",""),")","")</f>
        <v>listado-cadetes</v>
      </c>
      <c r="L78" s="2" t="s">
        <v>1487</v>
      </c>
      <c r="M78" s="2" t="s">
        <v>1800</v>
      </c>
      <c r="N78" s="4" t="s">
        <v>360</v>
      </c>
      <c r="O78" s="4" t="s">
        <v>360</v>
      </c>
      <c r="P78" s="4" t="s">
        <v>360</v>
      </c>
      <c r="Q78" s="4"/>
      <c r="R78" s="4" t="s">
        <v>360</v>
      </c>
      <c r="S78" s="4" t="s">
        <v>360</v>
      </c>
      <c r="T78" s="4" t="s">
        <v>360</v>
      </c>
      <c r="V78" s="4" t="s">
        <v>360</v>
      </c>
      <c r="W78" s="2" t="str">
        <f>IF(Tabla_Descuentos[[#This Row],[id_padre]]=Tabla_Descuentos[[#This Row],[Id]],"NOK","OK")</f>
        <v>OK</v>
      </c>
      <c r="X78" s="2"/>
      <c r="Y78" s="2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78F6F0B-486A-44BF-BC13-707288806DA2}">
          <x14:formula1>
            <xm:f>Modulos!$C$2:$C$15</xm:f>
          </x14:formula1>
          <xm:sqref>M2:M78</xm:sqref>
        </x14:dataValidation>
        <x14:dataValidation type="list" allowBlank="1" showInputMessage="1" showErrorMessage="1" xr:uid="{232A5618-3E5E-48EC-9458-2C22AE98A39F}">
          <x14:formula1>
            <xm:f>Lista!$A$2:$A$3</xm:f>
          </x14:formula1>
          <xm:sqref>N2:V78</xm:sqref>
        </x14:dataValidation>
        <x14:dataValidation type="list" allowBlank="1" showInputMessage="1" showErrorMessage="1" xr:uid="{071A8E28-6559-48E3-8424-9F75CC1FB706}">
          <x14:formula1>
            <xm:f>Equipo!$B$2:$B$7</xm:f>
          </x14:formula1>
          <xm:sqref>X2:X78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8FE6-14C5-421F-A4C8-5A7F49498B82}">
  <sheetPr codeName="Hoja16"/>
  <dimension ref="A1:AA211"/>
  <sheetViews>
    <sheetView zoomScale="70" zoomScaleNormal="70"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D24" sqref="D24"/>
    </sheetView>
  </sheetViews>
  <sheetFormatPr baseColWidth="10" defaultColWidth="11.41015625" defaultRowHeight="14.35" x14ac:dyDescent="0.5"/>
  <cols>
    <col min="1" max="3" width="5.703125" customWidth="1"/>
    <col min="4" max="4" width="48.3515625" style="2" bestFit="1" customWidth="1"/>
    <col min="5" max="5" width="5.703125" customWidth="1"/>
    <col min="6" max="6" width="99.29296875" bestFit="1" customWidth="1"/>
    <col min="7" max="8" width="10.703125" hidden="1" customWidth="1"/>
    <col min="9" max="12" width="10.703125" style="4" hidden="1" customWidth="1"/>
    <col min="13" max="13" width="10.703125" style="2" hidden="1" customWidth="1"/>
    <col min="14" max="15" width="5.703125" style="4" hidden="1" customWidth="1"/>
    <col min="16" max="17" width="5.703125" hidden="1" customWidth="1"/>
    <col min="18" max="18" width="5.703125" style="2" hidden="1" customWidth="1"/>
    <col min="19" max="19" width="5.703125" style="5" hidden="1" customWidth="1"/>
    <col min="20" max="25" width="5.703125" style="4" hidden="1" customWidth="1"/>
    <col min="26" max="16384" width="11.41015625" style="2"/>
  </cols>
  <sheetData>
    <row r="1" spans="1:27" s="3" customFormat="1" ht="126.7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955</v>
      </c>
      <c r="O1" s="3" t="s">
        <v>956</v>
      </c>
      <c r="P1" s="3" t="s">
        <v>957</v>
      </c>
      <c r="Q1" s="3" t="s">
        <v>958</v>
      </c>
      <c r="R1" s="3" t="s">
        <v>959</v>
      </c>
      <c r="S1" s="3" t="s">
        <v>960</v>
      </c>
      <c r="T1" s="3" t="s">
        <v>961</v>
      </c>
      <c r="U1" s="3" t="s">
        <v>962</v>
      </c>
      <c r="V1" s="3" t="s">
        <v>963</v>
      </c>
      <c r="W1" s="3" t="s">
        <v>964</v>
      </c>
      <c r="X1" s="3" t="s">
        <v>965</v>
      </c>
      <c r="Y1" s="3" t="s">
        <v>1932</v>
      </c>
      <c r="Z1" s="3" t="s">
        <v>2005</v>
      </c>
      <c r="AA1" s="3" t="s">
        <v>2030</v>
      </c>
    </row>
    <row r="2" spans="1:27" x14ac:dyDescent="0.5">
      <c r="A2" s="2">
        <f>MAX(Tabla_Descuentos[Id])</f>
        <v>1088</v>
      </c>
      <c r="B2" t="s">
        <v>98</v>
      </c>
      <c r="C2" s="5">
        <f>IF(Tabla_Alimentacion[[#This Row],[id_padre]]="",0,_xlfn.XLOOKUP(Tabla_Alimentacion[[#This Row],[id_padre]],Tabla_Alimentacion[Id],Tabla_Alimentacion[Nivel],0,0,1)+1)</f>
        <v>0</v>
      </c>
      <c r="D2" s="2" t="s">
        <v>213</v>
      </c>
      <c r="E2">
        <f>IF(Tabla_Alimentacion[[#This Row],[Id_anterior]]=1,ROW()-1,SUM(ROW()-1,Tabla_Alimentacion[[#This Row],[Id_anterior]]))</f>
        <v>1089</v>
      </c>
      <c r="F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</v>
      </c>
      <c r="G2" s="2" t="str">
        <f>CLEAN(PROPER(Tabla_Alimentacion[[#This Row],[Nombre Opción]]))</f>
        <v>Alimentación</v>
      </c>
      <c r="H2" s="2" t="s">
        <v>1735</v>
      </c>
      <c r="I2" s="2" t="str">
        <f>_xlfn.XLOOKUP(Tabla_Alimentacion[[#This Row],[id_padre]],Tabla_Alimentacion[Id],Tabla_Alimentacion[Codigo_Tecnico],"",0,1)</f>
        <v/>
      </c>
      <c r="J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</v>
      </c>
      <c r="K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alimentacion</v>
      </c>
      <c r="L2" s="2" t="s">
        <v>1538</v>
      </c>
      <c r="M2" s="2" t="s">
        <v>1794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4" t="s">
        <v>360</v>
      </c>
      <c r="X2" s="4" t="s">
        <v>360</v>
      </c>
      <c r="Y2" s="4" t="s">
        <v>360</v>
      </c>
      <c r="Z2" s="2" t="str">
        <f>IF(Tabla_Alimentacion[[#This Row],[id_padre]]=Tabla_Alimentacion[[#This Row],[Id]],"NOK","OK")</f>
        <v>OK</v>
      </c>
    </row>
    <row r="3" spans="1:27" x14ac:dyDescent="0.5">
      <c r="A3" s="2">
        <f>MAX(Tabla_Descuentos[Id])</f>
        <v>1088</v>
      </c>
      <c r="B3">
        <v>1089</v>
      </c>
      <c r="C3" s="5">
        <f>IF(Tabla_Alimentacion[[#This Row],[id_padre]]="",0,_xlfn.XLOOKUP(Tabla_Alimentacion[[#This Row],[id_padre]],Tabla_Alimentacion[Id],Tabla_Alimentacion[Nivel],0,0,1)+1)</f>
        <v>1</v>
      </c>
      <c r="D3" s="2" t="s">
        <v>18</v>
      </c>
      <c r="E3">
        <f>IF(Tabla_Alimentacion[[#This Row],[Id_anterior]]=1,ROW()-1,SUM(ROW()-1,Tabla_Alimentacion[[#This Row],[Id_anterior]]))</f>
        <v>1090</v>
      </c>
      <c r="F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</v>
      </c>
      <c r="G3" s="2" t="str">
        <f>CLEAN(PROPER(Tabla_Alimentacion[[#This Row],[Nombre Opción]]))</f>
        <v>Parámetros</v>
      </c>
      <c r="H3" s="2" t="s">
        <v>1735</v>
      </c>
      <c r="I3" s="2" t="str">
        <f>_xlfn.XLOOKUP(Tabla_Alimentacion[[#This Row],[id_padre]],Tabla_Alimentacion[Id],Tabla_Alimentacion[Codigo_Tecnico],"",0,1)</f>
        <v>ALIMENTACION</v>
      </c>
      <c r="J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</v>
      </c>
      <c r="K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2" t="s">
        <v>1337</v>
      </c>
      <c r="M3" s="2" t="s">
        <v>1794</v>
      </c>
      <c r="O3" s="4" t="s">
        <v>360</v>
      </c>
      <c r="P3" s="4" t="s">
        <v>360</v>
      </c>
      <c r="Q3" s="4" t="s">
        <v>360</v>
      </c>
      <c r="R3" s="4"/>
      <c r="S3" s="4"/>
      <c r="W3" s="4" t="s">
        <v>360</v>
      </c>
      <c r="X3" s="4" t="s">
        <v>360</v>
      </c>
      <c r="Y3" s="4" t="s">
        <v>360</v>
      </c>
      <c r="Z3" s="2" t="str">
        <f>IF(Tabla_Alimentacion[[#This Row],[id_padre]]=Tabla_Alimentacion[[#This Row],[Id]],"NOK","OK")</f>
        <v>OK</v>
      </c>
    </row>
    <row r="4" spans="1:27" hidden="1" x14ac:dyDescent="0.5">
      <c r="A4" s="2">
        <f>MAX(Tabla_Descuentos[Id])</f>
        <v>1088</v>
      </c>
      <c r="B4">
        <v>1089</v>
      </c>
      <c r="C4" s="5">
        <f>IF(Tabla_Alimentacion[[#This Row],[id_padre]]="",0,_xlfn.XLOOKUP(Tabla_Alimentacion[[#This Row],[id_padre]],Tabla_Alimentacion[Id],Tabla_Alimentacion[Nivel],0,0,1)+1)</f>
        <v>1</v>
      </c>
      <c r="D4" s="2" t="s">
        <v>19</v>
      </c>
      <c r="E4">
        <f>IF(Tabla_Alimentacion[[#This Row],[Id_anterior]]=1,ROW()-1,SUM(ROW()-1,Tabla_Alimentacion[[#This Row],[Id_anterior]]))</f>
        <v>1091</v>
      </c>
      <c r="F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</v>
      </c>
      <c r="G4" s="2" t="str">
        <f>CLEAN(PROPER(Tabla_Alimentacion[[#This Row],[Nombre Opción]]))</f>
        <v>Procesos</v>
      </c>
      <c r="H4" s="2" t="s">
        <v>1735</v>
      </c>
      <c r="I4" s="2" t="str">
        <f>_xlfn.XLOOKUP(Tabla_Alimentacion[[#This Row],[id_padre]],Tabla_Alimentacion[Id],Tabla_Alimentacion[Codigo_Tecnico],"",0,1)</f>
        <v>ALIMENTACION</v>
      </c>
      <c r="J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</v>
      </c>
      <c r="K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2" t="s">
        <v>1338</v>
      </c>
      <c r="M4" s="2" t="s">
        <v>1794</v>
      </c>
      <c r="O4" s="4" t="s">
        <v>360</v>
      </c>
      <c r="P4" s="4" t="s">
        <v>360</v>
      </c>
      <c r="Q4" s="4" t="s">
        <v>360</v>
      </c>
      <c r="R4" s="4" t="s">
        <v>360</v>
      </c>
      <c r="S4" s="4" t="s">
        <v>360</v>
      </c>
      <c r="T4" s="4" t="s">
        <v>360</v>
      </c>
      <c r="U4" s="4" t="s">
        <v>360</v>
      </c>
      <c r="V4" s="4" t="s">
        <v>360</v>
      </c>
      <c r="X4" s="4" t="s">
        <v>360</v>
      </c>
      <c r="Y4" s="4" t="s">
        <v>360</v>
      </c>
      <c r="Z4" s="2" t="str">
        <f>IF(Tabla_Alimentacion[[#This Row],[id_padre]]=Tabla_Alimentacion[[#This Row],[Id]],"NOK","OK")</f>
        <v>OK</v>
      </c>
    </row>
    <row r="5" spans="1:27" hidden="1" x14ac:dyDescent="0.5">
      <c r="A5" s="2">
        <f>MAX(Tabla_Descuentos[Id])</f>
        <v>1088</v>
      </c>
      <c r="B5">
        <v>1089</v>
      </c>
      <c r="C5" s="5">
        <f>IF(Tabla_Alimentacion[[#This Row],[id_padre]]="",0,_xlfn.XLOOKUP(Tabla_Alimentacion[[#This Row],[id_padre]],Tabla_Alimentacion[Id],Tabla_Alimentacion[Nivel],0,0,1)+1)</f>
        <v>1</v>
      </c>
      <c r="D5" s="2" t="s">
        <v>20</v>
      </c>
      <c r="E5">
        <f>IF(Tabla_Alimentacion[[#This Row],[Id_anterior]]=1,ROW()-1,SUM(ROW()-1,Tabla_Alimentacion[[#This Row],[Id_anterior]]))</f>
        <v>1092</v>
      </c>
      <c r="F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</v>
      </c>
      <c r="G5" s="2" t="str">
        <f>CLEAN(PROPER(Tabla_Alimentacion[[#This Row],[Nombre Opción]]))</f>
        <v>Consultas</v>
      </c>
      <c r="H5" s="2" t="s">
        <v>1735</v>
      </c>
      <c r="I5" s="2" t="str">
        <f>_xlfn.XLOOKUP(Tabla_Alimentacion[[#This Row],[id_padre]],Tabla_Alimentacion[Id],Tabla_Alimentacion[Codigo_Tecnico],"",0,1)</f>
        <v>ALIMENTACION</v>
      </c>
      <c r="J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</v>
      </c>
      <c r="K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2" t="s">
        <v>1339</v>
      </c>
      <c r="M5" s="2" t="s">
        <v>1794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4" t="s">
        <v>360</v>
      </c>
      <c r="U5" s="4" t="s">
        <v>360</v>
      </c>
      <c r="V5" s="4" t="s">
        <v>360</v>
      </c>
      <c r="W5" s="4" t="s">
        <v>360</v>
      </c>
      <c r="X5" s="4" t="s">
        <v>360</v>
      </c>
      <c r="Y5" s="4" t="s">
        <v>360</v>
      </c>
      <c r="Z5" s="2" t="str">
        <f>IF(Tabla_Alimentacion[[#This Row],[id_padre]]=Tabla_Alimentacion[[#This Row],[Id]],"NOK","OK")</f>
        <v>OK</v>
      </c>
    </row>
    <row r="6" spans="1:27" hidden="1" x14ac:dyDescent="0.5">
      <c r="A6" s="2">
        <f>MAX(Tabla_Descuentos[Id])</f>
        <v>1088</v>
      </c>
      <c r="B6">
        <v>1089</v>
      </c>
      <c r="C6" s="5">
        <f>IF(Tabla_Alimentacion[[#This Row],[id_padre]]="",0,_xlfn.XLOOKUP(Tabla_Alimentacion[[#This Row],[id_padre]],Tabla_Alimentacion[Id],Tabla_Alimentacion[Nivel],0,0,1)+1)</f>
        <v>1</v>
      </c>
      <c r="D6" s="2" t="s">
        <v>21</v>
      </c>
      <c r="E6">
        <f>IF(Tabla_Alimentacion[[#This Row],[Id_anterior]]=1,ROW()-1,SUM(ROW()-1,Tabla_Alimentacion[[#This Row],[Id_anterior]]))</f>
        <v>1093</v>
      </c>
      <c r="F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</v>
      </c>
      <c r="G6" s="2" t="str">
        <f>CLEAN(PROPER(Tabla_Alimentacion[[#This Row],[Nombre Opción]]))</f>
        <v>Informes</v>
      </c>
      <c r="H6" s="2" t="s">
        <v>1735</v>
      </c>
      <c r="I6" s="2" t="str">
        <f>_xlfn.XLOOKUP(Tabla_Alimentacion[[#This Row],[id_padre]],Tabla_Alimentacion[Id],Tabla_Alimentacion[Codigo_Tecnico],"",0,1)</f>
        <v>ALIMENTACION</v>
      </c>
      <c r="J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</v>
      </c>
      <c r="K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2" t="s">
        <v>1340</v>
      </c>
      <c r="M6" s="2" t="s">
        <v>1794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U6" s="4" t="s">
        <v>360</v>
      </c>
      <c r="V6" s="4" t="s">
        <v>360</v>
      </c>
      <c r="W6" s="4" t="s">
        <v>360</v>
      </c>
      <c r="X6" s="4" t="s">
        <v>360</v>
      </c>
      <c r="Y6" s="4" t="s">
        <v>360</v>
      </c>
      <c r="Z6" s="2" t="str">
        <f>IF(Tabla_Alimentacion[[#This Row],[id_padre]]=Tabla_Alimentacion[[#This Row],[Id]],"NOK","OK")</f>
        <v>OK</v>
      </c>
    </row>
    <row r="7" spans="1:27" hidden="1" x14ac:dyDescent="0.5">
      <c r="A7" s="2">
        <f>MAX(Tabla_Descuentos[Id])</f>
        <v>1088</v>
      </c>
      <c r="B7">
        <v>1089</v>
      </c>
      <c r="C7" s="5">
        <f>IF(Tabla_Alimentacion[[#This Row],[id_padre]]="",0,_xlfn.XLOOKUP(Tabla_Alimentacion[[#This Row],[id_padre]],Tabla_Alimentacion[Id],Tabla_Alimentacion[Nivel],0,0,1)+1)</f>
        <v>1</v>
      </c>
      <c r="D7" s="2" t="s">
        <v>165</v>
      </c>
      <c r="E7">
        <f>IF(Tabla_Alimentacion[[#This Row],[Id_anterior]]=1,ROW()-1,SUM(ROW()-1,Tabla_Alimentacion[[#This Row],[Id_anterior]]))</f>
        <v>1094</v>
      </c>
      <c r="F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ALIMENTACION_CIERRES</v>
      </c>
      <c r="G7" s="2" t="str">
        <f>CLEAN(PROPER(Tabla_Alimentacion[[#This Row],[Nombre Opción]]))</f>
        <v>Cierres</v>
      </c>
      <c r="H7" s="2" t="s">
        <v>1735</v>
      </c>
      <c r="I7" s="2" t="str">
        <f>_xlfn.XLOOKUP(Tabla_Alimentacion[[#This Row],[id_padre]],Tabla_Alimentacion[Id],Tabla_Alimentacion[Codigo_Tecnico],"",0,1)</f>
        <v>ALIMENTACION</v>
      </c>
      <c r="J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/alimentacion/cierres</v>
      </c>
      <c r="K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cierres</v>
      </c>
      <c r="L7" s="2" t="s">
        <v>1400</v>
      </c>
      <c r="M7" s="2" t="s">
        <v>1794</v>
      </c>
      <c r="O7" s="4" t="s">
        <v>360</v>
      </c>
      <c r="P7" s="4" t="s">
        <v>360</v>
      </c>
      <c r="Q7" s="4" t="s">
        <v>360</v>
      </c>
      <c r="R7" s="4"/>
      <c r="S7" s="4"/>
      <c r="Y7" s="4" t="s">
        <v>360</v>
      </c>
      <c r="Z7" s="2" t="str">
        <f>IF(Tabla_Alimentacion[[#This Row],[id_padre]]=Tabla_Alimentacion[[#This Row],[Id]],"NOK","OK")</f>
        <v>OK</v>
      </c>
    </row>
    <row r="8" spans="1:27" x14ac:dyDescent="0.5">
      <c r="A8" s="2">
        <f>MAX(Tabla_Descuentos[Id])</f>
        <v>1088</v>
      </c>
      <c r="B8">
        <v>1090</v>
      </c>
      <c r="C8" s="5">
        <f>IF(Tabla_Alimentacion[[#This Row],[id_padre]]="",0,_xlfn.XLOOKUP(Tabla_Alimentacion[[#This Row],[id_padre]],Tabla_Alimentacion[Id],Tabla_Alimentacion[Nivel],0,0,1)+1)</f>
        <v>2</v>
      </c>
      <c r="D8" s="2" t="s">
        <v>966</v>
      </c>
      <c r="E8">
        <f>IF(Tabla_Alimentacion[[#This Row],[Id_anterior]]=1,ROW()-1,SUM(ROW()-1,Tabla_Alimentacion[[#This Row],[Id_anterior]]))</f>
        <v>1095</v>
      </c>
      <c r="F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ALIMENTACION_PARAMETROS_UNIDAD_INGRESO</v>
      </c>
      <c r="G8" s="2" t="str">
        <f>CLEAN(PROPER(Tabla_Alimentacion[[#This Row],[Nombre Opción]]))</f>
        <v>Unidad De Ingreso</v>
      </c>
      <c r="H8" s="2" t="s">
        <v>1735</v>
      </c>
      <c r="I8" s="2" t="str">
        <f>_xlfn.XLOOKUP(Tabla_Alimentacion[[#This Row],[id_padre]],Tabla_Alimentacion[Id],Tabla_Alimentacion[Codigo_Tecnico],"",0,1)</f>
        <v>ALIMENTACION_PARAMETROS</v>
      </c>
      <c r="J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/alimentacion/parametros/unidad-ingreso</v>
      </c>
      <c r="K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unidad-ingreso</v>
      </c>
      <c r="L8" s="2" t="s">
        <v>1341</v>
      </c>
      <c r="M8" s="2" t="s">
        <v>1794</v>
      </c>
      <c r="O8" s="4" t="s">
        <v>360</v>
      </c>
      <c r="P8" s="4" t="s">
        <v>360</v>
      </c>
      <c r="Q8" s="4" t="s">
        <v>360</v>
      </c>
      <c r="R8" s="4"/>
      <c r="S8" s="4"/>
      <c r="Y8" s="4" t="s">
        <v>360</v>
      </c>
      <c r="Z8" s="2" t="str">
        <f>IF(Tabla_Alimentacion[[#This Row],[id_padre]]=Tabla_Alimentacion[[#This Row],[Id]],"NOK","OK")</f>
        <v>OK</v>
      </c>
    </row>
    <row r="9" spans="1:27" x14ac:dyDescent="0.5">
      <c r="A9" s="2">
        <f>MAX(Tabla_Descuentos[Id])</f>
        <v>1088</v>
      </c>
      <c r="B9">
        <v>1090</v>
      </c>
      <c r="C9" s="5">
        <f>IF(Tabla_Alimentacion[[#This Row],[id_padre]]="",0,_xlfn.XLOOKUP(Tabla_Alimentacion[[#This Row],[id_padre]],Tabla_Alimentacion[Id],Tabla_Alimentacion[Nivel],0,0,1)+1)</f>
        <v>2</v>
      </c>
      <c r="D9" s="2" t="s">
        <v>967</v>
      </c>
      <c r="E9">
        <f>IF(Tabla_Alimentacion[[#This Row],[Id_anterior]]=1,ROW()-1,SUM(ROW()-1,Tabla_Alimentacion[[#This Row],[Id_anterior]]))</f>
        <v>1096</v>
      </c>
      <c r="F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ALIMENTACION_PARAMETROS_BODEGAS</v>
      </c>
      <c r="G9" s="2" t="str">
        <f>CLEAN(PROPER(Tabla_Alimentacion[[#This Row],[Nombre Opción]]))</f>
        <v>Bodegas</v>
      </c>
      <c r="H9" s="2" t="s">
        <v>1735</v>
      </c>
      <c r="I9" s="2" t="str">
        <f>_xlfn.XLOOKUP(Tabla_Alimentacion[[#This Row],[id_padre]],Tabla_Alimentacion[Id],Tabla_Alimentacion[Codigo_Tecnico],"",0,1)</f>
        <v>ALIMENTACION_PARAMETROS</v>
      </c>
      <c r="J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/alimentacion/parametros/bodegas</v>
      </c>
      <c r="K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bodegas</v>
      </c>
      <c r="L9" s="2" t="s">
        <v>1622</v>
      </c>
      <c r="M9" s="2" t="s">
        <v>1794</v>
      </c>
      <c r="O9" s="4" t="s">
        <v>360</v>
      </c>
      <c r="P9" s="4" t="s">
        <v>360</v>
      </c>
      <c r="Q9" s="4" t="s">
        <v>360</v>
      </c>
      <c r="R9" s="4"/>
      <c r="S9" s="4"/>
      <c r="Y9" s="4" t="s">
        <v>360</v>
      </c>
      <c r="Z9" s="2" t="str">
        <f>IF(Tabla_Alimentacion[[#This Row],[id_padre]]=Tabla_Alimentacion[[#This Row],[Id]],"NOK","OK")</f>
        <v>OK</v>
      </c>
    </row>
    <row r="10" spans="1:27" x14ac:dyDescent="0.5">
      <c r="A10" s="2">
        <f>MAX(Tabla_Descuentos[Id])</f>
        <v>1088</v>
      </c>
      <c r="B10">
        <v>1090</v>
      </c>
      <c r="C10" s="5">
        <f>IF(Tabla_Alimentacion[[#This Row],[id_padre]]="",0,_xlfn.XLOOKUP(Tabla_Alimentacion[[#This Row],[id_padre]],Tabla_Alimentacion[Id],Tabla_Alimentacion[Nivel],0,0,1)+1)</f>
        <v>2</v>
      </c>
      <c r="D10" s="2" t="s">
        <v>968</v>
      </c>
      <c r="E10">
        <f>IF(Tabla_Alimentacion[[#This Row],[Id_anterior]]=1,ROW()-1,SUM(ROW()-1,Tabla_Alimentacion[[#This Row],[Id_anterior]]))</f>
        <v>1097</v>
      </c>
      <c r="F1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ALIMENTACION_PARAMETROS_UNIDAD_APORCIONAMIENTO</v>
      </c>
      <c r="G10" s="2" t="str">
        <f>CLEAN(PROPER(Tabla_Alimentacion[[#This Row],[Nombre Opción]]))</f>
        <v>Unidad De Aporcionamiento</v>
      </c>
      <c r="H10" s="2" t="s">
        <v>1735</v>
      </c>
      <c r="I10" s="2" t="str">
        <f>_xlfn.XLOOKUP(Tabla_Alimentacion[[#This Row],[id_padre]],Tabla_Alimentacion[Id],Tabla_Alimentacion[Codigo_Tecnico],"",0,1)</f>
        <v>ALIMENTACION_PARAMETROS</v>
      </c>
      <c r="J1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/alimentacion/parametros/unidad-aporcionamiento</v>
      </c>
      <c r="K1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unidad-aporcionamiento</v>
      </c>
      <c r="L10" s="2" t="s">
        <v>1543</v>
      </c>
      <c r="M10" s="2" t="s">
        <v>1794</v>
      </c>
      <c r="O10" s="4" t="s">
        <v>360</v>
      </c>
      <c r="P10" s="4" t="s">
        <v>360</v>
      </c>
      <c r="Q10" s="4"/>
      <c r="R10" s="4"/>
      <c r="S10" s="4"/>
      <c r="Y10" s="4" t="s">
        <v>360</v>
      </c>
      <c r="Z10" s="2" t="str">
        <f>IF(Tabla_Alimentacion[[#This Row],[id_padre]]=Tabla_Alimentacion[[#This Row],[Id]],"NOK","OK")</f>
        <v>OK</v>
      </c>
    </row>
    <row r="11" spans="1:27" x14ac:dyDescent="0.5">
      <c r="A11" s="2">
        <f>MAX(Tabla_Descuentos[Id])</f>
        <v>1088</v>
      </c>
      <c r="B11">
        <v>1090</v>
      </c>
      <c r="C11" s="5">
        <f>IF(Tabla_Alimentacion[[#This Row],[id_padre]]="",0,_xlfn.XLOOKUP(Tabla_Alimentacion[[#This Row],[id_padre]],Tabla_Alimentacion[Id],Tabla_Alimentacion[Nivel],0,0,1)+1)</f>
        <v>2</v>
      </c>
      <c r="D11" s="2" t="s">
        <v>969</v>
      </c>
      <c r="E11">
        <f>IF(Tabla_Alimentacion[[#This Row],[Id_anterior]]=1,ROW()-1,SUM(ROW()-1,Tabla_Alimentacion[[#This Row],[Id_anterior]]))</f>
        <v>1098</v>
      </c>
      <c r="F1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ALIMENTACION_PARAMETROS_VALOR_APORCIONAMIENTO_FISCAL</v>
      </c>
      <c r="G11" s="2" t="str">
        <f>CLEAN(PROPER(Tabla_Alimentacion[[#This Row],[Nombre Opción]]))</f>
        <v>Valor Aporcionamiento Fiscal</v>
      </c>
      <c r="H11" s="2" t="s">
        <v>1735</v>
      </c>
      <c r="I11" s="2" t="str">
        <f>_xlfn.XLOOKUP(Tabla_Alimentacion[[#This Row],[id_padre]],Tabla_Alimentacion[Id],Tabla_Alimentacion[Codigo_Tecnico],"",0,1)</f>
        <v>ALIMENTACION_PARAMETROS</v>
      </c>
      <c r="J1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/alimentacion/parametros/valor-aporcionamiento-fiscal</v>
      </c>
      <c r="K1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valor-aporcionamiento-fiscal</v>
      </c>
      <c r="L11" s="2" t="s">
        <v>1415</v>
      </c>
      <c r="M11" s="2" t="s">
        <v>1794</v>
      </c>
      <c r="O11" s="4" t="s">
        <v>360</v>
      </c>
      <c r="P11" s="4" t="s">
        <v>360</v>
      </c>
      <c r="Q11" s="4"/>
      <c r="R11" s="4"/>
      <c r="S11" s="4"/>
      <c r="Y11" s="4" t="s">
        <v>360</v>
      </c>
      <c r="Z11" s="2" t="str">
        <f>IF(Tabla_Alimentacion[[#This Row],[id_padre]]=Tabla_Alimentacion[[#This Row],[Id]],"NOK","OK")</f>
        <v>OK</v>
      </c>
    </row>
    <row r="12" spans="1:27" x14ac:dyDescent="0.5">
      <c r="A12" s="2">
        <f>MAX(Tabla_Descuentos[Id])</f>
        <v>1088</v>
      </c>
      <c r="B12">
        <v>1090</v>
      </c>
      <c r="C12" s="5">
        <f>IF(Tabla_Alimentacion[[#This Row],[id_padre]]="",0,_xlfn.XLOOKUP(Tabla_Alimentacion[[#This Row],[id_padre]],Tabla_Alimentacion[Id],Tabla_Alimentacion[Nivel],0,0,1)+1)</f>
        <v>2</v>
      </c>
      <c r="D12" s="2" t="s">
        <v>970</v>
      </c>
      <c r="E12">
        <f>IF(Tabla_Alimentacion[[#This Row],[Id_anterior]]=1,ROW()-1,SUM(ROW()-1,Tabla_Alimentacion[[#This Row],[Id_anterior]]))</f>
        <v>1099</v>
      </c>
      <c r="F1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ALIMENTACION_PARAMETROS_CASINOS</v>
      </c>
      <c r="G12" s="2" t="str">
        <f>CLEAN(PROPER(Tabla_Alimentacion[[#This Row],[Nombre Opción]]))</f>
        <v>Casinos</v>
      </c>
      <c r="H12" s="2" t="s">
        <v>1735</v>
      </c>
      <c r="I12" s="2" t="str">
        <f>_xlfn.XLOOKUP(Tabla_Alimentacion[[#This Row],[id_padre]],Tabla_Alimentacion[Id],Tabla_Alimentacion[Codigo_Tecnico],"",0,1)</f>
        <v>ALIMENTACION_PARAMETROS</v>
      </c>
      <c r="J1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/alimentacion/parametros/casinos</v>
      </c>
      <c r="K1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casinos</v>
      </c>
      <c r="L12" s="2" t="s">
        <v>1539</v>
      </c>
      <c r="M12" s="2" t="s">
        <v>1794</v>
      </c>
      <c r="O12" s="4" t="s">
        <v>360</v>
      </c>
      <c r="P12" s="4" t="s">
        <v>360</v>
      </c>
      <c r="Q12" s="4"/>
      <c r="R12" s="4"/>
      <c r="S12" s="4"/>
      <c r="Y12" s="4" t="s">
        <v>360</v>
      </c>
      <c r="Z12" s="2" t="str">
        <f>IF(Tabla_Alimentacion[[#This Row],[id_padre]]=Tabla_Alimentacion[[#This Row],[Id]],"NOK","OK")</f>
        <v>OK</v>
      </c>
    </row>
    <row r="13" spans="1:27" x14ac:dyDescent="0.5">
      <c r="A13" s="2">
        <f>MAX(Tabla_Descuentos[Id])</f>
        <v>1088</v>
      </c>
      <c r="B13">
        <v>1090</v>
      </c>
      <c r="C13" s="5">
        <f>IF(Tabla_Alimentacion[[#This Row],[id_padre]]="",0,_xlfn.XLOOKUP(Tabla_Alimentacion[[#This Row],[id_padre]],Tabla_Alimentacion[Id],Tabla_Alimentacion[Nivel],0,0,1)+1)</f>
        <v>2</v>
      </c>
      <c r="D13" s="2" t="s">
        <v>971</v>
      </c>
      <c r="E13">
        <f>IF(Tabla_Alimentacion[[#This Row],[Id_anterior]]=1,ROW()-1,SUM(ROW()-1,Tabla_Alimentacion[[#This Row],[Id_anterior]]))</f>
        <v>1100</v>
      </c>
      <c r="F1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ALIMENTACION_PARAMETROS_PIES_FIRMA_PARTE_ALIMENTACION</v>
      </c>
      <c r="G13" s="2" t="str">
        <f>CLEAN(PROPER(Tabla_Alimentacion[[#This Row],[Nombre Opción]]))</f>
        <v>Pies De Firma Parte Alimentacion</v>
      </c>
      <c r="H13" s="2" t="s">
        <v>1735</v>
      </c>
      <c r="I13" s="2" t="str">
        <f>_xlfn.XLOOKUP(Tabla_Alimentacion[[#This Row],[id_padre]],Tabla_Alimentacion[Id],Tabla_Alimentacion[Codigo_Tecnico],"",0,1)</f>
        <v>ALIMENTACION_PARAMETROS</v>
      </c>
      <c r="J1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/alimentacion/parametros/pies-firma-parte-alimentacion</v>
      </c>
      <c r="K1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pies-firma-parte-alimentacion</v>
      </c>
      <c r="L13" s="2" t="s">
        <v>1471</v>
      </c>
      <c r="M13" s="2" t="s">
        <v>1794</v>
      </c>
      <c r="O13" s="4" t="s">
        <v>360</v>
      </c>
      <c r="P13" s="4" t="s">
        <v>360</v>
      </c>
      <c r="Q13" s="4" t="s">
        <v>360</v>
      </c>
      <c r="R13" s="4"/>
      <c r="S13" s="4" t="s">
        <v>360</v>
      </c>
      <c r="X13" s="4" t="s">
        <v>360</v>
      </c>
      <c r="Y13" s="4" t="s">
        <v>360</v>
      </c>
      <c r="Z13" s="2" t="str">
        <f>IF(Tabla_Alimentacion[[#This Row],[id_padre]]=Tabla_Alimentacion[[#This Row],[Id]],"NOK","OK")</f>
        <v>OK</v>
      </c>
    </row>
    <row r="14" spans="1:27" x14ac:dyDescent="0.5">
      <c r="A14" s="2">
        <f>MAX(Tabla_Descuentos[Id])</f>
        <v>1088</v>
      </c>
      <c r="B14">
        <v>1090</v>
      </c>
      <c r="C14" s="5">
        <f>IF(Tabla_Alimentacion[[#This Row],[id_padre]]="",0,_xlfn.XLOOKUP(Tabla_Alimentacion[[#This Row],[id_padre]],Tabla_Alimentacion[Id],Tabla_Alimentacion[Nivel],0,0,1)+1)</f>
        <v>2</v>
      </c>
      <c r="D14" s="2" t="s">
        <v>972</v>
      </c>
      <c r="E14">
        <f>IF(Tabla_Alimentacion[[#This Row],[Id_anterior]]=1,ROW()-1,SUM(ROW()-1,Tabla_Alimentacion[[#This Row],[Id_anterior]]))</f>
        <v>1101</v>
      </c>
      <c r="F1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ALIMENTACION_PARAMETROS_TIPOS_ACTIVIDADES</v>
      </c>
      <c r="G14" s="2" t="str">
        <f>CLEAN(PROPER(Tabla_Alimentacion[[#This Row],[Nombre Opción]]))</f>
        <v>Tipos De Actividades</v>
      </c>
      <c r="H14" s="2" t="s">
        <v>1735</v>
      </c>
      <c r="I14" s="2" t="str">
        <f>_xlfn.XLOOKUP(Tabla_Alimentacion[[#This Row],[id_padre]],Tabla_Alimentacion[Id],Tabla_Alimentacion[Codigo_Tecnico],"",0,1)</f>
        <v>ALIMENTACION_PARAMETROS</v>
      </c>
      <c r="J1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/alimentacion/parametros/tipos-actividades</v>
      </c>
      <c r="K1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tipos-actividades</v>
      </c>
      <c r="L14" s="2" t="s">
        <v>1466</v>
      </c>
      <c r="M14" s="2" t="s">
        <v>1794</v>
      </c>
      <c r="O14" s="4" t="s">
        <v>360</v>
      </c>
      <c r="P14" s="4" t="s">
        <v>360</v>
      </c>
      <c r="Q14" s="4"/>
      <c r="R14" s="4"/>
      <c r="S14" s="4"/>
      <c r="Y14" s="4" t="s">
        <v>360</v>
      </c>
      <c r="Z14" s="2" t="str">
        <f>IF(Tabla_Alimentacion[[#This Row],[id_padre]]=Tabla_Alimentacion[[#This Row],[Id]],"NOK","OK")</f>
        <v>OK</v>
      </c>
    </row>
    <row r="15" spans="1:27" x14ac:dyDescent="0.5">
      <c r="A15" s="2">
        <f>MAX(Tabla_Descuentos[Id])</f>
        <v>1088</v>
      </c>
      <c r="B15">
        <v>1090</v>
      </c>
      <c r="C15" s="5">
        <f>IF(Tabla_Alimentacion[[#This Row],[id_padre]]="",0,_xlfn.XLOOKUP(Tabla_Alimentacion[[#This Row],[id_padre]],Tabla_Alimentacion[Id],Tabla_Alimentacion[Nivel],0,0,1)+1)</f>
        <v>2</v>
      </c>
      <c r="D15" s="2" t="s">
        <v>973</v>
      </c>
      <c r="E15">
        <f>IF(Tabla_Alimentacion[[#This Row],[Id_anterior]]=1,ROW()-1,SUM(ROW()-1,Tabla_Alimentacion[[#This Row],[Id_anterior]]))</f>
        <v>1102</v>
      </c>
      <c r="F1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ALIMENTACION_PARAMETROS_TIPOS_CENTRO_CONSUMO</v>
      </c>
      <c r="G15" s="2" t="str">
        <f>CLEAN(PROPER(Tabla_Alimentacion[[#This Row],[Nombre Opción]]))</f>
        <v>Tipos De Centro De Consumo</v>
      </c>
      <c r="H15" s="2" t="s">
        <v>1735</v>
      </c>
      <c r="I15" s="2" t="str">
        <f>_xlfn.XLOOKUP(Tabla_Alimentacion[[#This Row],[id_padre]],Tabla_Alimentacion[Id],Tabla_Alimentacion[Codigo_Tecnico],"",0,1)</f>
        <v>ALIMENTACION_PARAMETROS</v>
      </c>
      <c r="J1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/alimentacion/parametros/tipos-centro-consumo</v>
      </c>
      <c r="K1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tipos-centro-consumo</v>
      </c>
      <c r="L15" s="2" t="s">
        <v>1407</v>
      </c>
      <c r="M15" s="2" t="s">
        <v>1794</v>
      </c>
      <c r="O15" s="4" t="s">
        <v>360</v>
      </c>
      <c r="P15" s="4" t="s">
        <v>360</v>
      </c>
      <c r="Q15" s="4"/>
      <c r="R15" s="4"/>
      <c r="S15" s="4"/>
      <c r="Y15" s="4" t="s">
        <v>360</v>
      </c>
      <c r="Z15" s="2" t="str">
        <f>IF(Tabla_Alimentacion[[#This Row],[id_padre]]=Tabla_Alimentacion[[#This Row],[Id]],"NOK","OK")</f>
        <v>OK</v>
      </c>
    </row>
    <row r="16" spans="1:27" x14ac:dyDescent="0.5">
      <c r="A16" s="2">
        <f>MAX(Tabla_Descuentos[Id])</f>
        <v>1088</v>
      </c>
      <c r="B16">
        <v>1090</v>
      </c>
      <c r="C16" s="5">
        <f>IF(Tabla_Alimentacion[[#This Row],[id_padre]]="",0,_xlfn.XLOOKUP(Tabla_Alimentacion[[#This Row],[id_padre]],Tabla_Alimentacion[Id],Tabla_Alimentacion[Nivel],0,0,1)+1)</f>
        <v>2</v>
      </c>
      <c r="D16" s="2" t="s">
        <v>974</v>
      </c>
      <c r="E16">
        <f>IF(Tabla_Alimentacion[[#This Row],[Id_anterior]]=1,ROW()-1,SUM(ROW()-1,Tabla_Alimentacion[[#This Row],[Id_anterior]]))</f>
        <v>1103</v>
      </c>
      <c r="F1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ALIMENTACION_PARAMETROS_CENTROS_CONSUMOS_POR_UNIDAD</v>
      </c>
      <c r="G16" s="2" t="str">
        <f>CLEAN(PROPER(Tabla_Alimentacion[[#This Row],[Nombre Opción]]))</f>
        <v>Centros De Consumos Por Unidad</v>
      </c>
      <c r="H16" s="2" t="s">
        <v>1735</v>
      </c>
      <c r="I16" s="2" t="str">
        <f>_xlfn.XLOOKUP(Tabla_Alimentacion[[#This Row],[id_padre]],Tabla_Alimentacion[Id],Tabla_Alimentacion[Codigo_Tecnico],"",0,1)</f>
        <v>ALIMENTACION_PARAMETROS</v>
      </c>
      <c r="J1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/alimentacion/parametros/centros-consumos-por-unidad</v>
      </c>
      <c r="K1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centros-consumos-por-unidad</v>
      </c>
      <c r="L16" s="2" t="s">
        <v>1389</v>
      </c>
      <c r="M16" s="2" t="s">
        <v>1794</v>
      </c>
      <c r="O16" s="4" t="s">
        <v>360</v>
      </c>
      <c r="P16" s="4" t="s">
        <v>360</v>
      </c>
      <c r="Q16" s="4"/>
      <c r="R16" s="4"/>
      <c r="S16" s="4"/>
      <c r="Y16" s="4" t="s">
        <v>360</v>
      </c>
      <c r="Z16" s="2" t="str">
        <f>IF(Tabla_Alimentacion[[#This Row],[id_padre]]=Tabla_Alimentacion[[#This Row],[Id]],"NOK","OK")</f>
        <v>OK</v>
      </c>
    </row>
    <row r="17" spans="1:26" x14ac:dyDescent="0.5">
      <c r="A17" s="2">
        <f>MAX(Tabla_Descuentos[Id])</f>
        <v>1088</v>
      </c>
      <c r="B17">
        <v>1090</v>
      </c>
      <c r="C17" s="5">
        <f>IF(Tabla_Alimentacion[[#This Row],[id_padre]]="",0,_xlfn.XLOOKUP(Tabla_Alimentacion[[#This Row],[id_padre]],Tabla_Alimentacion[Id],Tabla_Alimentacion[Nivel],0,0,1)+1)</f>
        <v>2</v>
      </c>
      <c r="D17" s="2" t="s">
        <v>376</v>
      </c>
      <c r="E17">
        <f>IF(Tabla_Alimentacion[[#This Row],[Id_anterior]]=1,ROW()-1,SUM(ROW()-1,Tabla_Alimentacion[[#This Row],[Id_anterior]]))</f>
        <v>1104</v>
      </c>
      <c r="F1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ALIMENTACION_PARAMETROS_EMPLEADOS_AUTORIZADOS</v>
      </c>
      <c r="G17" s="2" t="str">
        <f>CLEAN(PROPER(Tabla_Alimentacion[[#This Row],[Nombre Opción]]))</f>
        <v>Empleados Autorizados</v>
      </c>
      <c r="H17" s="2" t="s">
        <v>1735</v>
      </c>
      <c r="I17" s="2" t="str">
        <f>_xlfn.XLOOKUP(Tabla_Alimentacion[[#This Row],[id_padre]],Tabla_Alimentacion[Id],Tabla_Alimentacion[Codigo_Tecnico],"",0,1)</f>
        <v>ALIMENTACION_PARAMETROS</v>
      </c>
      <c r="J1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/alimentacion/parametros/empleados-autorizados</v>
      </c>
      <c r="K1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empleados-autorizados</v>
      </c>
      <c r="L17" s="2" t="s">
        <v>1515</v>
      </c>
      <c r="M17" s="2" t="s">
        <v>1794</v>
      </c>
      <c r="O17" s="4" t="s">
        <v>360</v>
      </c>
      <c r="P17" s="4" t="s">
        <v>360</v>
      </c>
      <c r="Q17" s="4"/>
      <c r="R17" s="4"/>
      <c r="S17" s="4"/>
      <c r="Y17" s="4" t="s">
        <v>360</v>
      </c>
      <c r="Z17" s="2" t="str">
        <f>IF(Tabla_Alimentacion[[#This Row],[id_padre]]=Tabla_Alimentacion[[#This Row],[Id]],"NOK","OK")</f>
        <v>OK</v>
      </c>
    </row>
    <row r="18" spans="1:26" x14ac:dyDescent="0.5">
      <c r="A18" s="2">
        <f>MAX(Tabla_Descuentos[Id])</f>
        <v>1088</v>
      </c>
      <c r="B18">
        <v>1090</v>
      </c>
      <c r="C18" s="5">
        <f>IF(Tabla_Alimentacion[[#This Row],[id_padre]]="",0,_xlfn.XLOOKUP(Tabla_Alimentacion[[#This Row],[id_padre]],Tabla_Alimentacion[Id],Tabla_Alimentacion[Nivel],0,0,1)+1)</f>
        <v>2</v>
      </c>
      <c r="D18" s="2" t="s">
        <v>975</v>
      </c>
      <c r="E18">
        <f>IF(Tabla_Alimentacion[[#This Row],[Id_anterior]]=1,ROW()-1,SUM(ROW()-1,Tabla_Alimentacion[[#This Row],[Id_anterior]]))</f>
        <v>1105</v>
      </c>
      <c r="F1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ALIMENTACION_PARAMETROS_CUENTAS_POR_COBRAR</v>
      </c>
      <c r="G18" s="2" t="str">
        <f>CLEAN(PROPER(Tabla_Alimentacion[[#This Row],[Nombre Opción]]))</f>
        <v>Cuentas Por Cobrar</v>
      </c>
      <c r="H18" s="2" t="s">
        <v>1735</v>
      </c>
      <c r="I18" s="2" t="str">
        <f>_xlfn.XLOOKUP(Tabla_Alimentacion[[#This Row],[id_padre]],Tabla_Alimentacion[Id],Tabla_Alimentacion[Codigo_Tecnico],"",0,1)</f>
        <v>ALIMENTACION_PARAMETROS</v>
      </c>
      <c r="J1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/alimentacion/parametros/cuentas-por-cobrar</v>
      </c>
      <c r="K1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cuentas-por-cobrar</v>
      </c>
      <c r="L18" s="2" t="s">
        <v>1395</v>
      </c>
      <c r="M18" s="2" t="s">
        <v>1794</v>
      </c>
      <c r="O18" s="4" t="s">
        <v>360</v>
      </c>
      <c r="P18" s="4" t="s">
        <v>360</v>
      </c>
      <c r="Q18" s="4"/>
      <c r="R18" s="4"/>
      <c r="S18" s="4"/>
      <c r="W18" s="4" t="s">
        <v>360</v>
      </c>
      <c r="Y18" s="4" t="s">
        <v>360</v>
      </c>
      <c r="Z18" s="2" t="str">
        <f>IF(Tabla_Alimentacion[[#This Row],[id_padre]]=Tabla_Alimentacion[[#This Row],[Id]],"NOK","OK")</f>
        <v>OK</v>
      </c>
    </row>
    <row r="19" spans="1:26" x14ac:dyDescent="0.5">
      <c r="A19" s="2">
        <f>MAX(Tabla_Descuentos[Id])</f>
        <v>1088</v>
      </c>
      <c r="B19">
        <v>1090</v>
      </c>
      <c r="C19" s="5">
        <f>IF(Tabla_Alimentacion[[#This Row],[id_padre]]="",0,_xlfn.XLOOKUP(Tabla_Alimentacion[[#This Row],[id_padre]],Tabla_Alimentacion[Id],Tabla_Alimentacion[Nivel],0,0,1)+1)</f>
        <v>2</v>
      </c>
      <c r="D19" s="2" t="s">
        <v>1642</v>
      </c>
      <c r="E19">
        <f>IF(Tabla_Alimentacion[[#This Row],[Id_anterior]]=1,ROW()-1,SUM(ROW()-1,Tabla_Alimentacion[[#This Row],[Id_anterior]]))</f>
        <v>1106</v>
      </c>
      <c r="F1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ALIMENTACION_PARAMETROS_PLANILLAS_FISCAL</v>
      </c>
      <c r="G19" s="2" t="str">
        <f>CLEAN(PROPER(Tabla_Alimentacion[[#This Row],[Nombre Opción]]))</f>
        <v>Planillas Fiscal</v>
      </c>
      <c r="H19" s="2" t="s">
        <v>1735</v>
      </c>
      <c r="I19" s="2" t="str">
        <f>_xlfn.XLOOKUP(Tabla_Alimentacion[[#This Row],[id_padre]],Tabla_Alimentacion[Id],Tabla_Alimentacion[Codigo_Tecnico],"",0,1)</f>
        <v>ALIMENTACION_PARAMETROS</v>
      </c>
      <c r="J1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/alimentacion/parametros/planillas-fiscal</v>
      </c>
      <c r="K1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planillas-fiscal</v>
      </c>
      <c r="L19" s="2" t="s">
        <v>1364</v>
      </c>
      <c r="M19" s="2" t="s">
        <v>1794</v>
      </c>
      <c r="O19" s="4" t="s">
        <v>360</v>
      </c>
      <c r="P19" s="4" t="s">
        <v>360</v>
      </c>
      <c r="Q19" s="4"/>
      <c r="R19" s="4"/>
      <c r="S19" s="4"/>
      <c r="W19" s="4" t="s">
        <v>360</v>
      </c>
      <c r="Y19" s="4" t="s">
        <v>360</v>
      </c>
      <c r="Z19" s="2" t="str">
        <f>IF(Tabla_Alimentacion[[#This Row],[id_padre]]=Tabla_Alimentacion[[#This Row],[Id]],"NOK","OK")</f>
        <v>OK</v>
      </c>
    </row>
    <row r="20" spans="1:26" x14ac:dyDescent="0.5">
      <c r="A20" s="2">
        <f>MAX(Tabla_Descuentos[Id])</f>
        <v>1088</v>
      </c>
      <c r="B20">
        <v>1090</v>
      </c>
      <c r="C20" s="5">
        <f>IF(Tabla_Alimentacion[[#This Row],[id_padre]]="",0,_xlfn.XLOOKUP(Tabla_Alimentacion[[#This Row],[id_padre]],Tabla_Alimentacion[Id],Tabla_Alimentacion[Nivel],0,0,1)+1)</f>
        <v>2</v>
      </c>
      <c r="D20" s="2" t="s">
        <v>1643</v>
      </c>
      <c r="E20">
        <f>IF(Tabla_Alimentacion[[#This Row],[Id_anterior]]=1,ROW()-1,SUM(ROW()-1,Tabla_Alimentacion[[#This Row],[Id_anterior]]))</f>
        <v>1107</v>
      </c>
      <c r="F2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ALIMENTACION_PARAMETROS_PLANILLAS_EXTRA</v>
      </c>
      <c r="G20" s="2" t="str">
        <f>CLEAN(PROPER(Tabla_Alimentacion[[#This Row],[Nombre Opción]]))</f>
        <v>Planillas Extra</v>
      </c>
      <c r="H20" s="2" t="s">
        <v>1735</v>
      </c>
      <c r="I20" s="2" t="str">
        <f>_xlfn.XLOOKUP(Tabla_Alimentacion[[#This Row],[id_padre]],Tabla_Alimentacion[Id],Tabla_Alimentacion[Codigo_Tecnico],"",0,1)</f>
        <v>ALIMENTACION_PARAMETROS</v>
      </c>
      <c r="J2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/alimentacion/parametros/planillas-extra</v>
      </c>
      <c r="K2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planillas-extra</v>
      </c>
      <c r="L20" s="2" t="s">
        <v>1349</v>
      </c>
      <c r="M20" s="2" t="s">
        <v>1794</v>
      </c>
      <c r="O20" s="4" t="s">
        <v>360</v>
      </c>
      <c r="P20" s="4" t="s">
        <v>360</v>
      </c>
      <c r="Q20" s="4"/>
      <c r="R20" s="4"/>
      <c r="S20" s="4"/>
      <c r="W20" s="4" t="s">
        <v>360</v>
      </c>
      <c r="Y20" s="4" t="s">
        <v>360</v>
      </c>
      <c r="Z20" s="2" t="str">
        <f>IF(Tabla_Alimentacion[[#This Row],[id_padre]]=Tabla_Alimentacion[[#This Row],[Id]],"NOK","OK")</f>
        <v>OK</v>
      </c>
    </row>
    <row r="21" spans="1:26" x14ac:dyDescent="0.5">
      <c r="A21" s="2">
        <f>MAX(Tabla_Descuentos[Id])</f>
        <v>1088</v>
      </c>
      <c r="B21">
        <v>1090</v>
      </c>
      <c r="C21" s="5">
        <f>IF(Tabla_Alimentacion[[#This Row],[id_padre]]="",0,_xlfn.XLOOKUP(Tabla_Alimentacion[[#This Row],[id_padre]],Tabla_Alimentacion[Id],Tabla_Alimentacion[Nivel],0,0,1)+1)</f>
        <v>2</v>
      </c>
      <c r="D21" s="2" t="s">
        <v>976</v>
      </c>
      <c r="E21">
        <f>IF(Tabla_Alimentacion[[#This Row],[Id_anterior]]=1,ROW()-1,SUM(ROW()-1,Tabla_Alimentacion[[#This Row],[Id_anterior]]))</f>
        <v>1108</v>
      </c>
      <c r="F2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ALIMENTACION_PARAMETROS_CUENTAS_POR_SALIDA_BODEGA</v>
      </c>
      <c r="G21" s="2" t="str">
        <f>CLEAN(PROPER(Tabla_Alimentacion[[#This Row],[Nombre Opción]]))</f>
        <v>Cuentas Por Salida De Bodega</v>
      </c>
      <c r="H21" s="2" t="s">
        <v>1735</v>
      </c>
      <c r="I21" s="2" t="str">
        <f>_xlfn.XLOOKUP(Tabla_Alimentacion[[#This Row],[id_padre]],Tabla_Alimentacion[Id],Tabla_Alimentacion[Codigo_Tecnico],"",0,1)</f>
        <v>ALIMENTACION_PARAMETROS</v>
      </c>
      <c r="J2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/alimentacion/parametros/cuentas-por-salida-bodega</v>
      </c>
      <c r="K2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cuentas-por-salida-bodega</v>
      </c>
      <c r="L21" s="2" t="s">
        <v>1435</v>
      </c>
      <c r="M21" s="2" t="s">
        <v>1794</v>
      </c>
      <c r="O21" s="4" t="s">
        <v>360</v>
      </c>
      <c r="P21" s="4" t="s">
        <v>360</v>
      </c>
      <c r="Q21" s="4"/>
      <c r="R21" s="4"/>
      <c r="S21" s="4"/>
      <c r="W21" s="4" t="s">
        <v>360</v>
      </c>
      <c r="Y21" s="4" t="s">
        <v>360</v>
      </c>
      <c r="Z21" s="2" t="str">
        <f>IF(Tabla_Alimentacion[[#This Row],[id_padre]]=Tabla_Alimentacion[[#This Row],[Id]],"NOK","OK")</f>
        <v>OK</v>
      </c>
    </row>
    <row r="22" spans="1:26" x14ac:dyDescent="0.5">
      <c r="A22" s="2">
        <f>MAX(Tabla_Descuentos[Id])</f>
        <v>1088</v>
      </c>
      <c r="B22">
        <v>1090</v>
      </c>
      <c r="C22" s="5">
        <f>IF(Tabla_Alimentacion[[#This Row],[id_padre]]="",0,_xlfn.XLOOKUP(Tabla_Alimentacion[[#This Row],[id_padre]],Tabla_Alimentacion[Id],Tabla_Alimentacion[Nivel],0,0,1)+1)</f>
        <v>2</v>
      </c>
      <c r="D22" s="2" t="s">
        <v>977</v>
      </c>
      <c r="E22">
        <f>IF(Tabla_Alimentacion[[#This Row],[Id_anterior]]=1,ROW()-1,SUM(ROW()-1,Tabla_Alimentacion[[#This Row],[Id_anterior]]))</f>
        <v>1109</v>
      </c>
      <c r="F2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ALIMENTACION_PARAMETROS_CUENTAS_POR_PAGAR</v>
      </c>
      <c r="G22" s="2" t="str">
        <f>CLEAN(PROPER(Tabla_Alimentacion[[#This Row],[Nombre Opción]]))</f>
        <v>Cuentas Por Pagar</v>
      </c>
      <c r="H22" s="2" t="s">
        <v>1735</v>
      </c>
      <c r="I22" s="2" t="str">
        <f>_xlfn.XLOOKUP(Tabla_Alimentacion[[#This Row],[id_padre]],Tabla_Alimentacion[Id],Tabla_Alimentacion[Codigo_Tecnico],"",0,1)</f>
        <v>ALIMENTACION_PARAMETROS</v>
      </c>
      <c r="J2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/alimentacion/parametros/cuentas-por-pagar</v>
      </c>
      <c r="K2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cuentas-por-pagar</v>
      </c>
      <c r="L22" s="2" t="s">
        <v>1353</v>
      </c>
      <c r="M22" s="2" t="s">
        <v>1794</v>
      </c>
      <c r="O22" s="4" t="s">
        <v>360</v>
      </c>
      <c r="P22" s="4" t="s">
        <v>360</v>
      </c>
      <c r="Q22" s="4"/>
      <c r="R22" s="4"/>
      <c r="S22" s="4"/>
      <c r="W22" s="4" t="s">
        <v>360</v>
      </c>
      <c r="Y22" s="4" t="s">
        <v>360</v>
      </c>
      <c r="Z22" s="2" t="str">
        <f>IF(Tabla_Alimentacion[[#This Row],[id_padre]]=Tabla_Alimentacion[[#This Row],[Id]],"NOK","OK")</f>
        <v>OK</v>
      </c>
    </row>
    <row r="23" spans="1:26" x14ac:dyDescent="0.5">
      <c r="A23" s="2">
        <f>MAX(Tabla_Descuentos[Id])</f>
        <v>1088</v>
      </c>
      <c r="B23">
        <v>1109</v>
      </c>
      <c r="C23" s="5">
        <f>IF(Tabla_Alimentacion[[#This Row],[id_padre]]="",0,_xlfn.XLOOKUP(Tabla_Alimentacion[[#This Row],[id_padre]],Tabla_Alimentacion[Id],Tabla_Alimentacion[Nivel],0,0,1)+1)</f>
        <v>3</v>
      </c>
      <c r="D23" s="2" t="s">
        <v>2046</v>
      </c>
      <c r="E23">
        <f>IF(Tabla_Alimentacion[[#This Row],[Id_anterior]]=1,ROW()-1,SUM(ROW()-1,Tabla_Alimentacion[[#This Row],[Id_anterior]]))</f>
        <v>1110</v>
      </c>
      <c r="F2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ALIMENTACION_PARAMETROS_CUENTAS_POR_PAGAR_LEY_PPTO</v>
      </c>
      <c r="G23" s="2" t="str">
        <f>CLEAN(PROPER(Tabla_Alimentacion[[#This Row],[Nombre Opción]]))</f>
        <v>Ley De Ppto</v>
      </c>
      <c r="H23" s="2" t="s">
        <v>1735</v>
      </c>
      <c r="I23" s="2" t="str">
        <f>_xlfn.XLOOKUP(Tabla_Alimentacion[[#This Row],[id_padre]],Tabla_Alimentacion[Id],Tabla_Alimentacion[Codigo_Tecnico],"",0,1)</f>
        <v>ALIMENTACION_PARAMETROS_CUENTAS_POR_PAGAR</v>
      </c>
      <c r="J2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/alimentacion/parametros/cuentas-por-pagar/ley-ppto</v>
      </c>
      <c r="K2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ley-ppto</v>
      </c>
      <c r="L23" s="2" t="s">
        <v>1457</v>
      </c>
      <c r="M23" s="2" t="s">
        <v>1794</v>
      </c>
      <c r="O23" s="4" t="s">
        <v>360</v>
      </c>
      <c r="P23" s="4" t="s">
        <v>360</v>
      </c>
      <c r="Q23" s="4"/>
      <c r="R23" s="4"/>
      <c r="S23" s="4"/>
      <c r="W23" s="4" t="s">
        <v>360</v>
      </c>
      <c r="Y23" s="4" t="s">
        <v>360</v>
      </c>
      <c r="Z23" s="2" t="str">
        <f>IF(Tabla_Alimentacion[[#This Row],[id_padre]]=Tabla_Alimentacion[[#This Row],[Id]],"NOK","OK")</f>
        <v>OK</v>
      </c>
    </row>
    <row r="24" spans="1:26" x14ac:dyDescent="0.5">
      <c r="A24" s="2">
        <f>MAX(Tabla_Descuentos[Id])</f>
        <v>1088</v>
      </c>
      <c r="B24">
        <v>1090</v>
      </c>
      <c r="C24" s="5">
        <f>IF(Tabla_Alimentacion[[#This Row],[id_padre]]="",0,_xlfn.XLOOKUP(Tabla_Alimentacion[[#This Row],[id_padre]],Tabla_Alimentacion[Id],Tabla_Alimentacion[Nivel],0,0,1)+1)</f>
        <v>2</v>
      </c>
      <c r="D24" s="2" t="s">
        <v>978</v>
      </c>
      <c r="E24">
        <f>IF(Tabla_Alimentacion[[#This Row],[Id_anterior]]=1,ROW()-1,SUM(ROW()-1,Tabla_Alimentacion[[#This Row],[Id_anterior]]))</f>
        <v>1111</v>
      </c>
      <c r="F2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ALIMENTACION_PARAMETROS_EXISTENCIAS</v>
      </c>
      <c r="G24" s="2" t="str">
        <f>CLEAN(PROPER(Tabla_Alimentacion[[#This Row],[Nombre Opción]]))</f>
        <v>Existencias</v>
      </c>
      <c r="H24" s="2" t="s">
        <v>1735</v>
      </c>
      <c r="I24" s="2" t="str">
        <f>_xlfn.XLOOKUP(Tabla_Alimentacion[[#This Row],[id_padre]],Tabla_Alimentacion[Id],Tabla_Alimentacion[Codigo_Tecnico],"",0,1)</f>
        <v>ALIMENTACION_PARAMETROS</v>
      </c>
      <c r="J2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/alimentacion/parametros/existencias</v>
      </c>
      <c r="K2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existencias</v>
      </c>
      <c r="L24" s="2" t="s">
        <v>1412</v>
      </c>
      <c r="M24" s="2" t="s">
        <v>1794</v>
      </c>
      <c r="O24" s="4" t="s">
        <v>360</v>
      </c>
      <c r="P24" s="4" t="s">
        <v>360</v>
      </c>
      <c r="Q24" s="4"/>
      <c r="R24" s="4"/>
      <c r="S24" s="4"/>
      <c r="Y24" s="4" t="s">
        <v>360</v>
      </c>
      <c r="Z24" s="2" t="str">
        <f>IF(Tabla_Alimentacion[[#This Row],[id_padre]]=Tabla_Alimentacion[[#This Row],[Id]],"NOK","OK")</f>
        <v>OK</v>
      </c>
    </row>
    <row r="25" spans="1:26" x14ac:dyDescent="0.5">
      <c r="A25" s="2">
        <f>MAX(Tabla_Descuentos[Id])</f>
        <v>1088</v>
      </c>
      <c r="B25">
        <v>1111</v>
      </c>
      <c r="C25" s="5">
        <f>IF(Tabla_Alimentacion[[#This Row],[id_padre]]="",0,_xlfn.XLOOKUP(Tabla_Alimentacion[[#This Row],[id_padre]],Tabla_Alimentacion[Id],Tabla_Alimentacion[Nivel],0,0,1)+1)</f>
        <v>3</v>
      </c>
      <c r="D25" s="2" t="s">
        <v>979</v>
      </c>
      <c r="E25">
        <f>IF(Tabla_Alimentacion[[#This Row],[Id_anterior]]=1,ROW()-1,SUM(ROW()-1,Tabla_Alimentacion[[#This Row],[Id_anterior]]))</f>
        <v>1112</v>
      </c>
      <c r="F2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ALIMENTACION_PARAMETROS_EXISTENCIAS_TIPOS_MOVIMIENTOS</v>
      </c>
      <c r="G25" s="2" t="str">
        <f>CLEAN(PROPER(Tabla_Alimentacion[[#This Row],[Nombre Opción]]))</f>
        <v>Tipos De Movimientos</v>
      </c>
      <c r="H25" s="2" t="s">
        <v>1735</v>
      </c>
      <c r="I25" s="2" t="str">
        <f>_xlfn.XLOOKUP(Tabla_Alimentacion[[#This Row],[id_padre]],Tabla_Alimentacion[Id],Tabla_Alimentacion[Codigo_Tecnico],"",0,1)</f>
        <v>ALIMENTACION_PARAMETROS_EXISTENCIAS</v>
      </c>
      <c r="J2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/alimentacion/parametros/existencias/tipos-movimientos</v>
      </c>
      <c r="K2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tipos-movimientos</v>
      </c>
      <c r="L25" s="2" t="s">
        <v>1379</v>
      </c>
      <c r="M25" s="2" t="s">
        <v>1794</v>
      </c>
      <c r="O25" s="4" t="s">
        <v>360</v>
      </c>
      <c r="P25" s="4" t="s">
        <v>360</v>
      </c>
      <c r="Q25" s="4"/>
      <c r="R25" s="4"/>
      <c r="S25" s="4"/>
      <c r="Y25" s="4" t="s">
        <v>360</v>
      </c>
      <c r="Z25" s="2" t="str">
        <f>IF(Tabla_Alimentacion[[#This Row],[id_padre]]=Tabla_Alimentacion[[#This Row],[Id]],"NOK","OK")</f>
        <v>OK</v>
      </c>
    </row>
    <row r="26" spans="1:26" x14ac:dyDescent="0.5">
      <c r="A26" s="2">
        <f>MAX(Tabla_Descuentos[Id])</f>
        <v>1088</v>
      </c>
      <c r="B26">
        <v>1111</v>
      </c>
      <c r="C26" s="5">
        <f>IF(Tabla_Alimentacion[[#This Row],[id_padre]]="",0,_xlfn.XLOOKUP(Tabla_Alimentacion[[#This Row],[id_padre]],Tabla_Alimentacion[Id],Tabla_Alimentacion[Nivel],0,0,1)+1)</f>
        <v>3</v>
      </c>
      <c r="D26" s="2" t="s">
        <v>983</v>
      </c>
      <c r="E26">
        <f>IF(Tabla_Alimentacion[[#This Row],[Id_anterior]]=1,ROW()-1,SUM(ROW()-1,Tabla_Alimentacion[[#This Row],[Id_anterior]]))</f>
        <v>1113</v>
      </c>
      <c r="F2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ALIMENTACION_PARAMETROS_EXISTENCIAS_TIPOS_CLASES</v>
      </c>
      <c r="G26" s="2" t="str">
        <f>CLEAN(PROPER(Tabla_Alimentacion[[#This Row],[Nombre Opción]]))</f>
        <v>Tipos De Clases</v>
      </c>
      <c r="H26" s="2" t="s">
        <v>1735</v>
      </c>
      <c r="I26" s="2" t="str">
        <f>_xlfn.XLOOKUP(Tabla_Alimentacion[[#This Row],[id_padre]],Tabla_Alimentacion[Id],Tabla_Alimentacion[Codigo_Tecnico],"",0,1)</f>
        <v>ALIMENTACION_PARAMETROS_EXISTENCIAS</v>
      </c>
      <c r="J2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/alimentacion/parametros/existencias/tipos-clases</v>
      </c>
      <c r="K2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tipos-clases</v>
      </c>
      <c r="L26" s="2" t="s">
        <v>1514</v>
      </c>
      <c r="M26" s="2" t="s">
        <v>1794</v>
      </c>
      <c r="O26" s="4" t="s">
        <v>360</v>
      </c>
      <c r="P26" s="4" t="s">
        <v>360</v>
      </c>
      <c r="Q26" s="4"/>
      <c r="R26" s="4"/>
      <c r="S26" s="4"/>
      <c r="Y26" s="4" t="s">
        <v>360</v>
      </c>
      <c r="Z26" s="2" t="str">
        <f>IF(Tabla_Alimentacion[[#This Row],[id_padre]]=Tabla_Alimentacion[[#This Row],[Id]],"NOK","OK")</f>
        <v>OK</v>
      </c>
    </row>
    <row r="27" spans="1:26" x14ac:dyDescent="0.5">
      <c r="A27" s="2">
        <f>MAX(Tabla_Descuentos[Id])</f>
        <v>1088</v>
      </c>
      <c r="B27">
        <v>1111</v>
      </c>
      <c r="C27" s="5">
        <f>IF(Tabla_Alimentacion[[#This Row],[id_padre]]="",0,_xlfn.XLOOKUP(Tabla_Alimentacion[[#This Row],[id_padre]],Tabla_Alimentacion[Id],Tabla_Alimentacion[Nivel],0,0,1)+1)</f>
        <v>3</v>
      </c>
      <c r="D27" s="2" t="s">
        <v>980</v>
      </c>
      <c r="E27">
        <f>IF(Tabla_Alimentacion[[#This Row],[Id_anterior]]=1,ROW()-1,SUM(ROW()-1,Tabla_Alimentacion[[#This Row],[Id_anterior]]))</f>
        <v>1114</v>
      </c>
      <c r="F2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ALIMENTACION_PARAMETROS_EXISTENCIAS_ARTICULOS</v>
      </c>
      <c r="G27" s="2" t="str">
        <f>CLEAN(PROPER(Tabla_Alimentacion[[#This Row],[Nombre Opción]]))</f>
        <v>Articulos</v>
      </c>
      <c r="H27" s="2" t="s">
        <v>1735</v>
      </c>
      <c r="I27" s="2" t="str">
        <f>_xlfn.XLOOKUP(Tabla_Alimentacion[[#This Row],[id_padre]],Tabla_Alimentacion[Id],Tabla_Alimentacion[Codigo_Tecnico],"",0,1)</f>
        <v>ALIMENTACION_PARAMETROS_EXISTENCIAS</v>
      </c>
      <c r="J2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/alimentacion/parametros/existencias/articulos</v>
      </c>
      <c r="K2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articulos</v>
      </c>
      <c r="L27" s="2" t="s">
        <v>1407</v>
      </c>
      <c r="M27" s="2" t="s">
        <v>1794</v>
      </c>
      <c r="O27" s="4" t="s">
        <v>360</v>
      </c>
      <c r="P27" s="4" t="s">
        <v>360</v>
      </c>
      <c r="Q27" s="4"/>
      <c r="R27" s="4"/>
      <c r="S27" s="4"/>
      <c r="Y27" s="4" t="s">
        <v>360</v>
      </c>
      <c r="Z27" s="2" t="str">
        <f>IF(Tabla_Alimentacion[[#This Row],[id_padre]]=Tabla_Alimentacion[[#This Row],[Id]],"NOK","OK")</f>
        <v>OK</v>
      </c>
    </row>
    <row r="28" spans="1:26" x14ac:dyDescent="0.5">
      <c r="A28" s="2">
        <f>MAX(Tabla_Descuentos[Id])</f>
        <v>1088</v>
      </c>
      <c r="B28">
        <v>1111</v>
      </c>
      <c r="C28" s="5">
        <f>IF(Tabla_Alimentacion[[#This Row],[id_padre]]="",0,_xlfn.XLOOKUP(Tabla_Alimentacion[[#This Row],[id_padre]],Tabla_Alimentacion[Id],Tabla_Alimentacion[Nivel],0,0,1)+1)</f>
        <v>3</v>
      </c>
      <c r="D28" s="2" t="s">
        <v>981</v>
      </c>
      <c r="E28">
        <f>IF(Tabla_Alimentacion[[#This Row],[Id_anterior]]=1,ROW()-1,SUM(ROW()-1,Tabla_Alimentacion[[#This Row],[Id_anterior]]))</f>
        <v>1115</v>
      </c>
      <c r="F2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ALIMENTACION_PARAMETROS_EXISTENCIAS_HOMOLOGAR_VIVERES_MERCADO_PUBLICO</v>
      </c>
      <c r="G28" s="2" t="str">
        <f>CLEAN(PROPER(Tabla_Alimentacion[[#This Row],[Nombre Opción]]))</f>
        <v>Homologar Viveres Mercado Publico</v>
      </c>
      <c r="H28" s="2" t="s">
        <v>1735</v>
      </c>
      <c r="I28" s="2" t="str">
        <f>_xlfn.XLOOKUP(Tabla_Alimentacion[[#This Row],[id_padre]],Tabla_Alimentacion[Id],Tabla_Alimentacion[Codigo_Tecnico],"",0,1)</f>
        <v>ALIMENTACION_PARAMETROS_EXISTENCIAS</v>
      </c>
      <c r="J2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/alimentacion/parametros/existencias/homologar-viveres-mercado-publico</v>
      </c>
      <c r="K2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homologar-viveres-mercado-publico</v>
      </c>
      <c r="L28" s="2" t="s">
        <v>1399</v>
      </c>
      <c r="M28" s="2" t="s">
        <v>1794</v>
      </c>
      <c r="O28" s="4" t="s">
        <v>360</v>
      </c>
      <c r="P28" s="4" t="s">
        <v>360</v>
      </c>
      <c r="Q28" s="4"/>
      <c r="R28" s="4"/>
      <c r="S28" s="4"/>
      <c r="Y28" s="4" t="s">
        <v>360</v>
      </c>
      <c r="Z28" s="2" t="str">
        <f>IF(Tabla_Alimentacion[[#This Row],[id_padre]]=Tabla_Alimentacion[[#This Row],[Id]],"NOK","OK")</f>
        <v>OK</v>
      </c>
    </row>
    <row r="29" spans="1:26" x14ac:dyDescent="0.5">
      <c r="A29" s="2">
        <f>MAX(Tabla_Descuentos[Id])</f>
        <v>1088</v>
      </c>
      <c r="B29">
        <v>1111</v>
      </c>
      <c r="C29" s="5">
        <f>IF(Tabla_Alimentacion[[#This Row],[id_padre]]="",0,_xlfn.XLOOKUP(Tabla_Alimentacion[[#This Row],[id_padre]],Tabla_Alimentacion[Id],Tabla_Alimentacion[Nivel],0,0,1)+1)</f>
        <v>3</v>
      </c>
      <c r="D29" s="2" t="s">
        <v>982</v>
      </c>
      <c r="E29">
        <f>IF(Tabla_Alimentacion[[#This Row],[Id_anterior]]=1,ROW()-1,SUM(ROW()-1,Tabla_Alimentacion[[#This Row],[Id_anterior]]))</f>
        <v>1116</v>
      </c>
      <c r="F2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ALIMENTACION_PARAMETROS_EXISTENCIAS_CARGO_EXISTENCIA_INICIAL</v>
      </c>
      <c r="G29" s="2" t="str">
        <f>CLEAN(PROPER(Tabla_Alimentacion[[#This Row],[Nombre Opción]]))</f>
        <v>Cargo Existencia Inicial</v>
      </c>
      <c r="H29" s="2" t="s">
        <v>1735</v>
      </c>
      <c r="I29" s="2" t="str">
        <f>_xlfn.XLOOKUP(Tabla_Alimentacion[[#This Row],[id_padre]],Tabla_Alimentacion[Id],Tabla_Alimentacion[Codigo_Tecnico],"",0,1)</f>
        <v>ALIMENTACION_PARAMETROS_EXISTENCIAS</v>
      </c>
      <c r="J2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/alimentacion/parametros/existencias/cargo-existencia-inicial</v>
      </c>
      <c r="K2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cargo-existencia-inicial</v>
      </c>
      <c r="L29" s="2" t="s">
        <v>1623</v>
      </c>
      <c r="M29" s="2" t="s">
        <v>1794</v>
      </c>
      <c r="O29" s="4" t="s">
        <v>360</v>
      </c>
      <c r="P29" s="4" t="s">
        <v>360</v>
      </c>
      <c r="Q29" s="4"/>
      <c r="R29" s="4"/>
      <c r="S29" s="4"/>
      <c r="Y29" s="4" t="s">
        <v>360</v>
      </c>
      <c r="Z29" s="2" t="str">
        <f>IF(Tabla_Alimentacion[[#This Row],[id_padre]]=Tabla_Alimentacion[[#This Row],[Id]],"NOK","OK")</f>
        <v>OK</v>
      </c>
    </row>
    <row r="30" spans="1:26" x14ac:dyDescent="0.5">
      <c r="A30" s="2">
        <f>MAX(Tabla_Descuentos[Id])</f>
        <v>1088</v>
      </c>
      <c r="B30">
        <v>1111</v>
      </c>
      <c r="C30" s="5">
        <f>IF(Tabla_Alimentacion[[#This Row],[id_padre]]="",0,_xlfn.XLOOKUP(Tabla_Alimentacion[[#This Row],[id_padre]],Tabla_Alimentacion[Id],Tabla_Alimentacion[Nivel],0,0,1)+1)</f>
        <v>3</v>
      </c>
      <c r="D30" s="2" t="s">
        <v>605</v>
      </c>
      <c r="E30">
        <f>IF(Tabla_Alimentacion[[#This Row],[Id_anterior]]=1,ROW()-1,SUM(ROW()-1,Tabla_Alimentacion[[#This Row],[Id_anterior]]))</f>
        <v>1117</v>
      </c>
      <c r="F3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ALIMENTACION_PARAMETROS_EXISTENCIAS_PROVEEDORES</v>
      </c>
      <c r="G30" s="2" t="str">
        <f>CLEAN(PROPER(Tabla_Alimentacion[[#This Row],[Nombre Opción]]))</f>
        <v>Proveedores</v>
      </c>
      <c r="H30" s="2" t="s">
        <v>1735</v>
      </c>
      <c r="I30" s="2" t="str">
        <f>_xlfn.XLOOKUP(Tabla_Alimentacion[[#This Row],[id_padre]],Tabla_Alimentacion[Id],Tabla_Alimentacion[Codigo_Tecnico],"",0,1)</f>
        <v>ALIMENTACION_PARAMETROS_EXISTENCIAS</v>
      </c>
      <c r="J3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/alimentacion/parametros/existencias/proveedores</v>
      </c>
      <c r="K3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proveedores</v>
      </c>
      <c r="L30" s="2" t="s">
        <v>1348</v>
      </c>
      <c r="M30" s="2" t="s">
        <v>1794</v>
      </c>
      <c r="O30" s="4" t="s">
        <v>360</v>
      </c>
      <c r="P30" s="4" t="s">
        <v>360</v>
      </c>
      <c r="Q30" s="4" t="s">
        <v>360</v>
      </c>
      <c r="R30" s="4"/>
      <c r="S30" s="4" t="s">
        <v>360</v>
      </c>
      <c r="Y30" s="4" t="s">
        <v>360</v>
      </c>
      <c r="Z30" s="2" t="str">
        <f>IF(Tabla_Alimentacion[[#This Row],[id_padre]]=Tabla_Alimentacion[[#This Row],[Id]],"NOK","OK")</f>
        <v>OK</v>
      </c>
    </row>
    <row r="31" spans="1:26" x14ac:dyDescent="0.5">
      <c r="A31" s="2">
        <f>MAX(Tabla_Descuentos[Id])</f>
        <v>1088</v>
      </c>
      <c r="B31">
        <v>1090</v>
      </c>
      <c r="C31" s="5">
        <f>IF(Tabla_Alimentacion[[#This Row],[id_padre]]="",0,_xlfn.XLOOKUP(Tabla_Alimentacion[[#This Row],[id_padre]],Tabla_Alimentacion[Id],Tabla_Alimentacion[Nivel],0,0,1)+1)</f>
        <v>2</v>
      </c>
      <c r="D31" s="2" t="s">
        <v>984</v>
      </c>
      <c r="E31">
        <f>IF(Tabla_Alimentacion[[#This Row],[Id_anterior]]=1,ROW()-1,SUM(ROW()-1,Tabla_Alimentacion[[#This Row],[Id_anterior]]))</f>
        <v>1118</v>
      </c>
      <c r="F3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ALIMENTACION_PARAMETROS_PRODUCCION</v>
      </c>
      <c r="G31" s="2" t="str">
        <f>CLEAN(PROPER(Tabla_Alimentacion[[#This Row],[Nombre Opción]]))</f>
        <v>Producción</v>
      </c>
      <c r="H31" s="2" t="s">
        <v>1735</v>
      </c>
      <c r="I31" s="2" t="str">
        <f>_xlfn.XLOOKUP(Tabla_Alimentacion[[#This Row],[id_padre]],Tabla_Alimentacion[Id],Tabla_Alimentacion[Codigo_Tecnico],"",0,1)</f>
        <v>ALIMENTACION_PARAMETROS</v>
      </c>
      <c r="J3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/alimentacion/parametros/produccion</v>
      </c>
      <c r="K3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produccion</v>
      </c>
      <c r="L31" s="2" t="s">
        <v>1624</v>
      </c>
      <c r="M31" s="2" t="s">
        <v>1794</v>
      </c>
      <c r="O31" s="4" t="s">
        <v>360</v>
      </c>
      <c r="P31" s="4" t="s">
        <v>360</v>
      </c>
      <c r="Q31" s="4"/>
      <c r="R31" s="4"/>
      <c r="S31" s="4"/>
      <c r="Y31" s="4" t="s">
        <v>360</v>
      </c>
      <c r="Z31" s="2" t="str">
        <f>IF(Tabla_Alimentacion[[#This Row],[id_padre]]=Tabla_Alimentacion[[#This Row],[Id]],"NOK","OK")</f>
        <v>OK</v>
      </c>
    </row>
    <row r="32" spans="1:26" x14ac:dyDescent="0.5">
      <c r="A32" s="2">
        <f>MAX(Tabla_Descuentos[Id])</f>
        <v>1088</v>
      </c>
      <c r="B32">
        <v>1118</v>
      </c>
      <c r="C32" s="5">
        <f>IF(Tabla_Alimentacion[[#This Row],[id_padre]]="",0,_xlfn.XLOOKUP(Tabla_Alimentacion[[#This Row],[id_padre]],Tabla_Alimentacion[Id],Tabla_Alimentacion[Nivel],0,0,1)+1)</f>
        <v>3</v>
      </c>
      <c r="D32" s="2" t="s">
        <v>985</v>
      </c>
      <c r="E32">
        <f>IF(Tabla_Alimentacion[[#This Row],[Id_anterior]]=1,ROW()-1,SUM(ROW()-1,Tabla_Alimentacion[[#This Row],[Id_anterior]]))</f>
        <v>1119</v>
      </c>
      <c r="F3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ALIMENTACION_PARAMETROS_PRODUCCION_TIPOS_REGIMEN</v>
      </c>
      <c r="G32" s="2" t="str">
        <f>CLEAN(PROPER(Tabla_Alimentacion[[#This Row],[Nombre Opción]]))</f>
        <v>Tipos De Regimen</v>
      </c>
      <c r="H32" s="2" t="s">
        <v>1735</v>
      </c>
      <c r="I32" s="2" t="str">
        <f>_xlfn.XLOOKUP(Tabla_Alimentacion[[#This Row],[id_padre]],Tabla_Alimentacion[Id],Tabla_Alimentacion[Codigo_Tecnico],"",0,1)</f>
        <v>ALIMENTACION_PARAMETROS_PRODUCCION</v>
      </c>
      <c r="J3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/alimentacion/parametros/produccion/tipos-regimen</v>
      </c>
      <c r="K3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tipos-regimen</v>
      </c>
      <c r="L32" s="2" t="s">
        <v>1585</v>
      </c>
      <c r="M32" s="2" t="s">
        <v>1794</v>
      </c>
      <c r="O32" s="4" t="s">
        <v>360</v>
      </c>
      <c r="P32" s="4" t="s">
        <v>360</v>
      </c>
      <c r="Q32" s="4"/>
      <c r="R32" s="4"/>
      <c r="S32" s="4"/>
      <c r="Y32" s="4" t="s">
        <v>360</v>
      </c>
      <c r="Z32" s="2" t="str">
        <f>IF(Tabla_Alimentacion[[#This Row],[id_padre]]=Tabla_Alimentacion[[#This Row],[Id]],"NOK","OK")</f>
        <v>OK</v>
      </c>
    </row>
    <row r="33" spans="1:26" x14ac:dyDescent="0.5">
      <c r="A33" s="2">
        <f>MAX(Tabla_Descuentos[Id])</f>
        <v>1088</v>
      </c>
      <c r="B33">
        <v>1118</v>
      </c>
      <c r="C33" s="5">
        <f>IF(Tabla_Alimentacion[[#This Row],[id_padre]]="",0,_xlfn.XLOOKUP(Tabla_Alimentacion[[#This Row],[id_padre]],Tabla_Alimentacion[Id],Tabla_Alimentacion[Nivel],0,0,1)+1)</f>
        <v>3</v>
      </c>
      <c r="D33" s="2" t="s">
        <v>986</v>
      </c>
      <c r="E33">
        <f>IF(Tabla_Alimentacion[[#This Row],[Id_anterior]]=1,ROW()-1,SUM(ROW()-1,Tabla_Alimentacion[[#This Row],[Id_anterior]]))</f>
        <v>1120</v>
      </c>
      <c r="F3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ALIMENTACION_PARAMETROS_PRODUCCION_TIPOS_COMIDAS</v>
      </c>
      <c r="G33" s="2" t="str">
        <f>CLEAN(PROPER(Tabla_Alimentacion[[#This Row],[Nombre Opción]]))</f>
        <v>Tipos De Comidas</v>
      </c>
      <c r="H33" s="2" t="s">
        <v>1735</v>
      </c>
      <c r="I33" s="2" t="str">
        <f>_xlfn.XLOOKUP(Tabla_Alimentacion[[#This Row],[id_padre]],Tabla_Alimentacion[Id],Tabla_Alimentacion[Codigo_Tecnico],"",0,1)</f>
        <v>ALIMENTACION_PARAMETROS_PRODUCCION</v>
      </c>
      <c r="J3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/alimentacion/parametros/produccion/tipos-comidas</v>
      </c>
      <c r="K3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tipos-comidas</v>
      </c>
      <c r="L33" s="2" t="s">
        <v>1625</v>
      </c>
      <c r="M33" s="2" t="s">
        <v>1794</v>
      </c>
      <c r="O33" s="4" t="s">
        <v>360</v>
      </c>
      <c r="P33" s="4" t="s">
        <v>360</v>
      </c>
      <c r="Q33" s="4"/>
      <c r="R33" s="4"/>
      <c r="S33" s="4"/>
      <c r="Y33" s="4" t="s">
        <v>360</v>
      </c>
      <c r="Z33" s="2" t="str">
        <f>IF(Tabla_Alimentacion[[#This Row],[id_padre]]=Tabla_Alimentacion[[#This Row],[Id]],"NOK","OK")</f>
        <v>OK</v>
      </c>
    </row>
    <row r="34" spans="1:26" x14ac:dyDescent="0.5">
      <c r="A34" s="2">
        <f>MAX(Tabla_Descuentos[Id])</f>
        <v>1088</v>
      </c>
      <c r="B34">
        <v>1118</v>
      </c>
      <c r="C34" s="5">
        <f>IF(Tabla_Alimentacion[[#This Row],[id_padre]]="",0,_xlfn.XLOOKUP(Tabla_Alimentacion[[#This Row],[id_padre]],Tabla_Alimentacion[Id],Tabla_Alimentacion[Nivel],0,0,1)+1)</f>
        <v>3</v>
      </c>
      <c r="D34" s="2" t="s">
        <v>987</v>
      </c>
      <c r="E34">
        <f>IF(Tabla_Alimentacion[[#This Row],[Id_anterior]]=1,ROW()-1,SUM(ROW()-1,Tabla_Alimentacion[[#This Row],[Id_anterior]]))</f>
        <v>1121</v>
      </c>
      <c r="F3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ALIMENTACION_PARAMETROS_PRODUCCION_TIPOS_ALIMENTACION</v>
      </c>
      <c r="G34" s="2" t="str">
        <f>CLEAN(PROPER(Tabla_Alimentacion[[#This Row],[Nombre Opción]]))</f>
        <v>Tipos De Alimentación</v>
      </c>
      <c r="H34" s="2" t="s">
        <v>1735</v>
      </c>
      <c r="I34" s="2" t="str">
        <f>_xlfn.XLOOKUP(Tabla_Alimentacion[[#This Row],[id_padre]],Tabla_Alimentacion[Id],Tabla_Alimentacion[Codigo_Tecnico],"",0,1)</f>
        <v>ALIMENTACION_PARAMETROS_PRODUCCION</v>
      </c>
      <c r="J3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/alimentacion/parametros/produccion/tipos-alimentacion</v>
      </c>
      <c r="K3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tipos-alimentacion</v>
      </c>
      <c r="L34" s="2" t="s">
        <v>1626</v>
      </c>
      <c r="M34" s="2" t="s">
        <v>1794</v>
      </c>
      <c r="O34" s="4" t="s">
        <v>360</v>
      </c>
      <c r="P34" s="4" t="s">
        <v>360</v>
      </c>
      <c r="Q34" s="4"/>
      <c r="R34" s="4"/>
      <c r="S34" s="4"/>
      <c r="Y34" s="4" t="s">
        <v>360</v>
      </c>
      <c r="Z34" s="2" t="str">
        <f>IF(Tabla_Alimentacion[[#This Row],[id_padre]]=Tabla_Alimentacion[[#This Row],[Id]],"NOK","OK")</f>
        <v>OK</v>
      </c>
    </row>
    <row r="35" spans="1:26" x14ac:dyDescent="0.5">
      <c r="A35" s="2">
        <f>MAX(Tabla_Descuentos[Id])</f>
        <v>1088</v>
      </c>
      <c r="B35">
        <v>1118</v>
      </c>
      <c r="C35" s="5">
        <f>IF(Tabla_Alimentacion[[#This Row],[id_padre]]="",0,_xlfn.XLOOKUP(Tabla_Alimentacion[[#This Row],[id_padre]],Tabla_Alimentacion[Id],Tabla_Alimentacion[Nivel],0,0,1)+1)</f>
        <v>3</v>
      </c>
      <c r="D35" s="2" t="s">
        <v>988</v>
      </c>
      <c r="E35">
        <f>IF(Tabla_Alimentacion[[#This Row],[Id_anterior]]=1,ROW()-1,SUM(ROW()-1,Tabla_Alimentacion[[#This Row],[Id_anterior]]))</f>
        <v>1122</v>
      </c>
      <c r="F3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ALIMENTACION_PARAMETROS_PRODUCCION_PLATOS</v>
      </c>
      <c r="G35" s="2" t="str">
        <f>CLEAN(PROPER(Tabla_Alimentacion[[#This Row],[Nombre Opción]]))</f>
        <v>Platos</v>
      </c>
      <c r="H35" s="2" t="s">
        <v>1735</v>
      </c>
      <c r="I35" s="2" t="str">
        <f>_xlfn.XLOOKUP(Tabla_Alimentacion[[#This Row],[id_padre]],Tabla_Alimentacion[Id],Tabla_Alimentacion[Codigo_Tecnico],"",0,1)</f>
        <v>ALIMENTACION_PARAMETROS_PRODUCCION</v>
      </c>
      <c r="J3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/alimentacion/parametros/produccion/platos</v>
      </c>
      <c r="K3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platos</v>
      </c>
      <c r="L35" s="2" t="s">
        <v>1627</v>
      </c>
      <c r="M35" s="2" t="s">
        <v>1794</v>
      </c>
      <c r="O35" s="4" t="s">
        <v>360</v>
      </c>
      <c r="P35" s="4" t="s">
        <v>360</v>
      </c>
      <c r="Q35" s="4"/>
      <c r="R35" s="4"/>
      <c r="S35" s="4"/>
      <c r="Y35" s="4" t="s">
        <v>360</v>
      </c>
      <c r="Z35" s="2" t="str">
        <f>IF(Tabla_Alimentacion[[#This Row],[id_padre]]=Tabla_Alimentacion[[#This Row],[Id]],"NOK","OK")</f>
        <v>OK</v>
      </c>
    </row>
    <row r="36" spans="1:26" x14ac:dyDescent="0.5">
      <c r="A36" s="2">
        <f>MAX(Tabla_Descuentos[Id])</f>
        <v>1088</v>
      </c>
      <c r="B36">
        <v>1118</v>
      </c>
      <c r="C36" s="5">
        <f>IF(Tabla_Alimentacion[[#This Row],[id_padre]]="",0,_xlfn.XLOOKUP(Tabla_Alimentacion[[#This Row],[id_padre]],Tabla_Alimentacion[Id],Tabla_Alimentacion[Nivel],0,0,1)+1)</f>
        <v>3</v>
      </c>
      <c r="D36" s="2" t="s">
        <v>989</v>
      </c>
      <c r="E36">
        <f>IF(Tabla_Alimentacion[[#This Row],[Id_anterior]]=1,ROW()-1,SUM(ROW()-1,Tabla_Alimentacion[[#This Row],[Id_anterior]]))</f>
        <v>1123</v>
      </c>
      <c r="F3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ALIMENTACION_PARAMETROS_PRODUCCION_DEPORTES</v>
      </c>
      <c r="G36" s="2" t="str">
        <f>CLEAN(PROPER(Tabla_Alimentacion[[#This Row],[Nombre Opción]]))</f>
        <v>Deportes</v>
      </c>
      <c r="H36" s="2" t="s">
        <v>1735</v>
      </c>
      <c r="I36" s="2" t="str">
        <f>_xlfn.XLOOKUP(Tabla_Alimentacion[[#This Row],[id_padre]],Tabla_Alimentacion[Id],Tabla_Alimentacion[Codigo_Tecnico],"",0,1)</f>
        <v>ALIMENTACION_PARAMETROS_PRODUCCION</v>
      </c>
      <c r="J3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/alimentacion/parametros/produccion/deportes</v>
      </c>
      <c r="K3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deportes</v>
      </c>
      <c r="L36" s="2" t="s">
        <v>1628</v>
      </c>
      <c r="M36" s="2" t="s">
        <v>1794</v>
      </c>
      <c r="O36" s="4" t="s">
        <v>360</v>
      </c>
      <c r="P36" s="4" t="s">
        <v>360</v>
      </c>
      <c r="Q36" s="4"/>
      <c r="R36" s="4"/>
      <c r="S36" s="4"/>
      <c r="Y36" s="4" t="s">
        <v>360</v>
      </c>
      <c r="Z36" s="2" t="str">
        <f>IF(Tabla_Alimentacion[[#This Row],[id_padre]]=Tabla_Alimentacion[[#This Row],[Id]],"NOK","OK")</f>
        <v>OK</v>
      </c>
    </row>
    <row r="37" spans="1:26" x14ac:dyDescent="0.5">
      <c r="A37" s="2">
        <f>MAX(Tabla_Descuentos[Id])</f>
        <v>1088</v>
      </c>
      <c r="B37">
        <v>1090</v>
      </c>
      <c r="C37" s="5">
        <f>IF(Tabla_Alimentacion[[#This Row],[id_padre]]="",0,_xlfn.XLOOKUP(Tabla_Alimentacion[[#This Row],[id_padre]],Tabla_Alimentacion[Id],Tabla_Alimentacion[Nivel],0,0,1)+1)</f>
        <v>2</v>
      </c>
      <c r="D37" s="2" t="s">
        <v>990</v>
      </c>
      <c r="E37">
        <f>IF(Tabla_Alimentacion[[#This Row],[Id_anterior]]=1,ROW()-1,SUM(ROW()-1,Tabla_Alimentacion[[#This Row],[Id_anterior]]))</f>
        <v>1124</v>
      </c>
      <c r="F3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ALIMENTACION_PARAMETROS_DIVIDENDO</v>
      </c>
      <c r="G37" s="2" t="str">
        <f>CLEAN(PROPER(Tabla_Alimentacion[[#This Row],[Nombre Opción]]))</f>
        <v>Dividendo</v>
      </c>
      <c r="H37" s="2" t="s">
        <v>1735</v>
      </c>
      <c r="I37" s="2" t="str">
        <f>_xlfn.XLOOKUP(Tabla_Alimentacion[[#This Row],[id_padre]],Tabla_Alimentacion[Id],Tabla_Alimentacion[Codigo_Tecnico],"",0,1)</f>
        <v>ALIMENTACION_PARAMETROS</v>
      </c>
      <c r="J3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/alimentacion/parametros/dividendo</v>
      </c>
      <c r="K3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dividendo</v>
      </c>
      <c r="L37" s="2" t="s">
        <v>1411</v>
      </c>
      <c r="M37" s="2" t="s">
        <v>1794</v>
      </c>
      <c r="O37" s="4" t="s">
        <v>360</v>
      </c>
      <c r="P37" s="4" t="s">
        <v>360</v>
      </c>
      <c r="Q37" s="4"/>
      <c r="R37" s="4"/>
      <c r="S37" s="4"/>
      <c r="Y37" s="4" t="s">
        <v>360</v>
      </c>
      <c r="Z37" s="2" t="str">
        <f>IF(Tabla_Alimentacion[[#This Row],[id_padre]]=Tabla_Alimentacion[[#This Row],[Id]],"NOK","OK")</f>
        <v>OK</v>
      </c>
    </row>
    <row r="38" spans="1:26" x14ac:dyDescent="0.5">
      <c r="A38" s="2">
        <f>MAX(Tabla_Descuentos[Id])</f>
        <v>1088</v>
      </c>
      <c r="B38">
        <v>1090</v>
      </c>
      <c r="C38" s="5">
        <f>IF(Tabla_Alimentacion[[#This Row],[id_padre]]="",0,_xlfn.XLOOKUP(Tabla_Alimentacion[[#This Row],[id_padre]],Tabla_Alimentacion[Id],Tabla_Alimentacion[Nivel],0,0,1)+1)</f>
        <v>2</v>
      </c>
      <c r="D38" s="2" t="s">
        <v>991</v>
      </c>
      <c r="E38">
        <f>IF(Tabla_Alimentacion[[#This Row],[Id_anterior]]=1,ROW()-1,SUM(ROW()-1,Tabla_Alimentacion[[#This Row],[Id_anterior]]))</f>
        <v>1125</v>
      </c>
      <c r="F3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ALIMENTACION_PARAMETROS_TITULOS</v>
      </c>
      <c r="G38" s="2" t="str">
        <f>CLEAN(PROPER(Tabla_Alimentacion[[#This Row],[Nombre Opción]]))</f>
        <v>Titulos</v>
      </c>
      <c r="H38" s="2" t="s">
        <v>1735</v>
      </c>
      <c r="I38" s="2" t="str">
        <f>_xlfn.XLOOKUP(Tabla_Alimentacion[[#This Row],[id_padre]],Tabla_Alimentacion[Id],Tabla_Alimentacion[Codigo_Tecnico],"",0,1)</f>
        <v>ALIMENTACION_PARAMETROS</v>
      </c>
      <c r="J3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/alimentacion/parametros/titulos</v>
      </c>
      <c r="K3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titulos</v>
      </c>
      <c r="L38" s="2" t="s">
        <v>1629</v>
      </c>
      <c r="M38" s="2" t="s">
        <v>1794</v>
      </c>
      <c r="O38" s="4" t="s">
        <v>360</v>
      </c>
      <c r="P38" s="4" t="s">
        <v>360</v>
      </c>
      <c r="Q38" s="4"/>
      <c r="R38" s="4"/>
      <c r="S38" s="4"/>
      <c r="Y38" s="4" t="s">
        <v>360</v>
      </c>
      <c r="Z38" s="2" t="str">
        <f>IF(Tabla_Alimentacion[[#This Row],[id_padre]]=Tabla_Alimentacion[[#This Row],[Id]],"NOK","OK")</f>
        <v>OK</v>
      </c>
    </row>
    <row r="39" spans="1:26" x14ac:dyDescent="0.5">
      <c r="A39" s="2">
        <f>MAX(Tabla_Descuentos[Id])</f>
        <v>1088</v>
      </c>
      <c r="B39">
        <v>1090</v>
      </c>
      <c r="C39" s="5">
        <f>IF(Tabla_Alimentacion[[#This Row],[id_padre]]="",0,_xlfn.XLOOKUP(Tabla_Alimentacion[[#This Row],[id_padre]],Tabla_Alimentacion[Id],Tabla_Alimentacion[Nivel],0,0,1)+1)</f>
        <v>2</v>
      </c>
      <c r="D39" s="2" t="s">
        <v>992</v>
      </c>
      <c r="E39">
        <f>IF(Tabla_Alimentacion[[#This Row],[Id_anterior]]=1,ROW()-1,SUM(ROW()-1,Tabla_Alimentacion[[#This Row],[Id_anterior]]))</f>
        <v>1126</v>
      </c>
      <c r="F3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ALIMENTACION_PARAMETROS_NIVEL_1</v>
      </c>
      <c r="G39" s="2" t="str">
        <f>CLEAN(PROPER(Tabla_Alimentacion[[#This Row],[Nombre Opción]]))</f>
        <v>Nivel 1</v>
      </c>
      <c r="H39" s="2" t="s">
        <v>1735</v>
      </c>
      <c r="I39" s="2" t="str">
        <f>_xlfn.XLOOKUP(Tabla_Alimentacion[[#This Row],[id_padre]],Tabla_Alimentacion[Id],Tabla_Alimentacion[Codigo_Tecnico],"",0,1)</f>
        <v>ALIMENTACION_PARAMETROS</v>
      </c>
      <c r="J3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/alimentacion/parametros/nivel-1</v>
      </c>
      <c r="K3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nivel-1</v>
      </c>
      <c r="L39" s="2" t="s">
        <v>1630</v>
      </c>
      <c r="M39" s="2" t="s">
        <v>1794</v>
      </c>
      <c r="O39" s="4" t="s">
        <v>360</v>
      </c>
      <c r="P39" s="4" t="s">
        <v>360</v>
      </c>
      <c r="Q39" s="4"/>
      <c r="R39" s="4"/>
      <c r="S39" s="4"/>
      <c r="Y39" s="4" t="s">
        <v>360</v>
      </c>
      <c r="Z39" s="2" t="str">
        <f>IF(Tabla_Alimentacion[[#This Row],[id_padre]]=Tabla_Alimentacion[[#This Row],[Id]],"NOK","OK")</f>
        <v>OK</v>
      </c>
    </row>
    <row r="40" spans="1:26" x14ac:dyDescent="0.5">
      <c r="A40" s="2">
        <f>MAX(Tabla_Descuentos[Id])</f>
        <v>1088</v>
      </c>
      <c r="B40">
        <v>1090</v>
      </c>
      <c r="C40" s="5">
        <f>IF(Tabla_Alimentacion[[#This Row],[id_padre]]="",0,_xlfn.XLOOKUP(Tabla_Alimentacion[[#This Row],[id_padre]],Tabla_Alimentacion[Id],Tabla_Alimentacion[Nivel],0,0,1)+1)</f>
        <v>2</v>
      </c>
      <c r="D40" s="2" t="s">
        <v>993</v>
      </c>
      <c r="E40">
        <f>IF(Tabla_Alimentacion[[#This Row],[Id_anterior]]=1,ROW()-1,SUM(ROW()-1,Tabla_Alimentacion[[#This Row],[Id_anterior]]))</f>
        <v>1127</v>
      </c>
      <c r="F4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ALIMENTACION_PARAMETROS_TIPOS_MOVIMIENTO</v>
      </c>
      <c r="G40" s="2" t="str">
        <f>CLEAN(PROPER(Tabla_Alimentacion[[#This Row],[Nombre Opción]]))</f>
        <v>Tipos De Movimiento</v>
      </c>
      <c r="H40" s="2" t="s">
        <v>1735</v>
      </c>
      <c r="I40" s="2" t="str">
        <f>_xlfn.XLOOKUP(Tabla_Alimentacion[[#This Row],[id_padre]],Tabla_Alimentacion[Id],Tabla_Alimentacion[Codigo_Tecnico],"",0,1)</f>
        <v>ALIMENTACION_PARAMETROS</v>
      </c>
      <c r="J4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/alimentacion/parametros/tipos-movimiento</v>
      </c>
      <c r="K4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tipos-movimiento</v>
      </c>
      <c r="L40" s="2" t="s">
        <v>1379</v>
      </c>
      <c r="M40" s="2" t="s">
        <v>1794</v>
      </c>
      <c r="O40" s="4" t="s">
        <v>360</v>
      </c>
      <c r="P40" s="4" t="s">
        <v>360</v>
      </c>
      <c r="Q40" s="4"/>
      <c r="R40" s="4"/>
      <c r="S40" s="4"/>
      <c r="Y40" s="4" t="s">
        <v>360</v>
      </c>
      <c r="Z40" s="2" t="str">
        <f>IF(Tabla_Alimentacion[[#This Row],[id_padre]]=Tabla_Alimentacion[[#This Row],[Id]],"NOK","OK")</f>
        <v>OK</v>
      </c>
    </row>
    <row r="41" spans="1:26" x14ac:dyDescent="0.5">
      <c r="A41" s="2">
        <f>MAX(Tabla_Descuentos[Id])</f>
        <v>1088</v>
      </c>
      <c r="B41">
        <v>1090</v>
      </c>
      <c r="C41" s="5">
        <f>IF(Tabla_Alimentacion[[#This Row],[id_padre]]="",0,_xlfn.XLOOKUP(Tabla_Alimentacion[[#This Row],[id_padre]],Tabla_Alimentacion[Id],Tabla_Alimentacion[Nivel],0,0,1)+1)</f>
        <v>2</v>
      </c>
      <c r="D41" s="2" t="s">
        <v>27</v>
      </c>
      <c r="E41">
        <f>IF(Tabla_Alimentacion[[#This Row],[Id_anterior]]=1,ROW()-1,SUM(ROW()-1,Tabla_Alimentacion[[#This Row],[Id_anterior]]))</f>
        <v>1128</v>
      </c>
      <c r="F4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ALIMENTACION_PARAMETROS_UNIDADES_INTERNAS</v>
      </c>
      <c r="G41" s="2" t="str">
        <f>CLEAN(PROPER(Tabla_Alimentacion[[#This Row],[Nombre Opción]]))</f>
        <v>Unidades Internas</v>
      </c>
      <c r="H41" s="2" t="s">
        <v>1735</v>
      </c>
      <c r="I41" s="2" t="str">
        <f>_xlfn.XLOOKUP(Tabla_Alimentacion[[#This Row],[id_padre]],Tabla_Alimentacion[Id],Tabla_Alimentacion[Codigo_Tecnico],"",0,1)</f>
        <v>ALIMENTACION_PARAMETROS</v>
      </c>
      <c r="J4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/alimentacion/parametros/unidades-internas</v>
      </c>
      <c r="K4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unidades-internas</v>
      </c>
      <c r="L41" s="2" t="s">
        <v>1341</v>
      </c>
      <c r="M41" s="2" t="s">
        <v>1794</v>
      </c>
      <c r="O41" s="4" t="s">
        <v>360</v>
      </c>
      <c r="P41" s="4" t="s">
        <v>360</v>
      </c>
      <c r="Q41" s="4"/>
      <c r="R41" s="4"/>
      <c r="S41" s="4"/>
      <c r="Y41" s="4" t="s">
        <v>360</v>
      </c>
      <c r="Z41" s="2" t="str">
        <f>IF(Tabla_Alimentacion[[#This Row],[id_padre]]=Tabla_Alimentacion[[#This Row],[Id]],"NOK","OK")</f>
        <v>OK</v>
      </c>
    </row>
    <row r="42" spans="1:26" hidden="1" x14ac:dyDescent="0.5">
      <c r="A42" s="2">
        <f>MAX(Tabla_Descuentos[Id])</f>
        <v>1088</v>
      </c>
      <c r="B42">
        <v>1091</v>
      </c>
      <c r="C42" s="5">
        <f>IF(Tabla_Alimentacion[[#This Row],[id_padre]]="",0,_xlfn.XLOOKUP(Tabla_Alimentacion[[#This Row],[id_padre]],Tabla_Alimentacion[Id],Tabla_Alimentacion[Nivel],0,0,1)+1)</f>
        <v>2</v>
      </c>
      <c r="D42" s="2" t="s">
        <v>978</v>
      </c>
      <c r="E42">
        <f>IF(Tabla_Alimentacion[[#This Row],[Id_anterior]]=1,ROW()-1,SUM(ROW()-1,Tabla_Alimentacion[[#This Row],[Id_anterior]]))</f>
        <v>1129</v>
      </c>
      <c r="F4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</v>
      </c>
      <c r="G42" s="2" t="str">
        <f>CLEAN(PROPER(Tabla_Alimentacion[[#This Row],[Nombre Opción]]))</f>
        <v>Existencias</v>
      </c>
      <c r="H42" s="2" t="s">
        <v>1735</v>
      </c>
      <c r="I42" s="2" t="str">
        <f>_xlfn.XLOOKUP(Tabla_Alimentacion[[#This Row],[id_padre]],Tabla_Alimentacion[Id],Tabla_Alimentacion[Codigo_Tecnico],"",0,1)</f>
        <v>ALIMENTACION_PROCESOS</v>
      </c>
      <c r="J4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</v>
      </c>
      <c r="K4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existencias</v>
      </c>
      <c r="L42" s="2" t="s">
        <v>1412</v>
      </c>
      <c r="M42" s="2" t="s">
        <v>1794</v>
      </c>
      <c r="O42" s="4" t="s">
        <v>360</v>
      </c>
      <c r="P42" s="4" t="s">
        <v>360</v>
      </c>
      <c r="Q42" s="4" t="s">
        <v>360</v>
      </c>
      <c r="R42" s="4" t="s">
        <v>360</v>
      </c>
      <c r="S42" s="4" t="s">
        <v>360</v>
      </c>
      <c r="Y42" s="4" t="s">
        <v>360</v>
      </c>
      <c r="Z42" s="2" t="str">
        <f>IF(Tabla_Alimentacion[[#This Row],[id_padre]]=Tabla_Alimentacion[[#This Row],[Id]],"NOK","OK")</f>
        <v>OK</v>
      </c>
    </row>
    <row r="43" spans="1:26" hidden="1" x14ac:dyDescent="0.5">
      <c r="A43" s="2">
        <f>MAX(Tabla_Descuentos[Id])</f>
        <v>1088</v>
      </c>
      <c r="B43">
        <v>1129</v>
      </c>
      <c r="C43" s="5">
        <f>IF(Tabla_Alimentacion[[#This Row],[id_padre]]="",0,_xlfn.XLOOKUP(Tabla_Alimentacion[[#This Row],[id_padre]],Tabla_Alimentacion[Id],Tabla_Alimentacion[Nivel],0,0,1)+1)</f>
        <v>3</v>
      </c>
      <c r="D43" s="2" t="s">
        <v>994</v>
      </c>
      <c r="E43">
        <f>IF(Tabla_Alimentacion[[#This Row],[Id_anterior]]=1,ROW()-1,SUM(ROW()-1,Tabla_Alimentacion[[#This Row],[Id_anterior]]))</f>
        <v>1130</v>
      </c>
      <c r="F4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ALIMENTACION_PROCESOS_EXISTENCIAS_ENTRADA_MOVIMIENTOS</v>
      </c>
      <c r="G43" s="2" t="str">
        <f>CLEAN(PROPER(Tabla_Alimentacion[[#This Row],[Nombre Opción]]))</f>
        <v>Entrada De Movimientos</v>
      </c>
      <c r="H43" s="2" t="s">
        <v>1735</v>
      </c>
      <c r="I43" s="2" t="str">
        <f>_xlfn.XLOOKUP(Tabla_Alimentacion[[#This Row],[id_padre]],Tabla_Alimentacion[Id],Tabla_Alimentacion[Codigo_Tecnico],"",0,1)</f>
        <v>ALIMENTACION_PROCESOS_EXISTENCIAS</v>
      </c>
      <c r="J4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/alimentacion/procesos/existencias/entrada-movimientos</v>
      </c>
      <c r="K4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entrada-movimientos</v>
      </c>
      <c r="L43" s="2" t="s">
        <v>1365</v>
      </c>
      <c r="M43" s="2" t="s">
        <v>1794</v>
      </c>
      <c r="O43" s="4" t="s">
        <v>360</v>
      </c>
      <c r="P43" s="4" t="s">
        <v>360</v>
      </c>
      <c r="Q43" s="4" t="s">
        <v>360</v>
      </c>
      <c r="R43" s="4" t="s">
        <v>360</v>
      </c>
      <c r="S43" s="4" t="s">
        <v>360</v>
      </c>
      <c r="Y43" s="4" t="s">
        <v>360</v>
      </c>
      <c r="Z43" s="2" t="str">
        <f>IF(Tabla_Alimentacion[[#This Row],[id_padre]]=Tabla_Alimentacion[[#This Row],[Id]],"NOK","OK")</f>
        <v>OK</v>
      </c>
    </row>
    <row r="44" spans="1:26" hidden="1" x14ac:dyDescent="0.5">
      <c r="A44" s="2">
        <f>MAX(Tabla_Descuentos[Id])</f>
        <v>1088</v>
      </c>
      <c r="B44">
        <v>1129</v>
      </c>
      <c r="C44" s="5">
        <f>IF(Tabla_Alimentacion[[#This Row],[id_padre]]="",0,_xlfn.XLOOKUP(Tabla_Alimentacion[[#This Row],[id_padre]],Tabla_Alimentacion[Id],Tabla_Alimentacion[Nivel],0,0,1)+1)</f>
        <v>3</v>
      </c>
      <c r="D44" s="2" t="s">
        <v>1004</v>
      </c>
      <c r="E44">
        <f>IF(Tabla_Alimentacion[[#This Row],[Id_anterior]]=1,ROW()-1,SUM(ROW()-1,Tabla_Alimentacion[[#This Row],[Id_anterior]]))</f>
        <v>1131</v>
      </c>
      <c r="F4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ALIMENTACION_PROCESOS_EXISTENCIAS_MODIFICA_DATOS_FONDO_FIJO</v>
      </c>
      <c r="G44" s="2" t="str">
        <f>CLEAN(PROPER(Tabla_Alimentacion[[#This Row],[Nombre Opción]]))</f>
        <v>Modifica Datos Fondo Fijo</v>
      </c>
      <c r="H44" s="2" t="s">
        <v>1735</v>
      </c>
      <c r="I44" s="2" t="str">
        <f>_xlfn.XLOOKUP(Tabla_Alimentacion[[#This Row],[id_padre]],Tabla_Alimentacion[Id],Tabla_Alimentacion[Codigo_Tecnico],"",0,1)</f>
        <v>ALIMENTACION_PROCESOS_EXISTENCIAS</v>
      </c>
      <c r="J4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/alimentacion/procesos/existencias/modifica-datos-fondo-fijo</v>
      </c>
      <c r="K4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modifica-datos-fondo-fijo</v>
      </c>
      <c r="L44" s="2" t="s">
        <v>1472</v>
      </c>
      <c r="M44" s="2" t="s">
        <v>1794</v>
      </c>
      <c r="O44" s="4" t="s">
        <v>360</v>
      </c>
      <c r="P44" s="4" t="s">
        <v>360</v>
      </c>
      <c r="Q44" s="4" t="s">
        <v>360</v>
      </c>
      <c r="R44" s="4" t="s">
        <v>360</v>
      </c>
      <c r="S44" s="4" t="s">
        <v>360</v>
      </c>
      <c r="Y44" s="4" t="s">
        <v>360</v>
      </c>
      <c r="Z44" s="2" t="str">
        <f>IF(Tabla_Alimentacion[[#This Row],[id_padre]]=Tabla_Alimentacion[[#This Row],[Id]],"NOK","OK")</f>
        <v>OK</v>
      </c>
    </row>
    <row r="45" spans="1:26" hidden="1" x14ac:dyDescent="0.5">
      <c r="A45" s="2">
        <f>MAX(Tabla_Descuentos[Id])</f>
        <v>1088</v>
      </c>
      <c r="B45">
        <v>1129</v>
      </c>
      <c r="C45" s="5">
        <f>IF(Tabla_Alimentacion[[#This Row],[id_padre]]="",0,_xlfn.XLOOKUP(Tabla_Alimentacion[[#This Row],[id_padre]],Tabla_Alimentacion[Id],Tabla_Alimentacion[Nivel],0,0,1)+1)</f>
        <v>3</v>
      </c>
      <c r="D45" s="2" t="s">
        <v>995</v>
      </c>
      <c r="E45">
        <f>IF(Tabla_Alimentacion[[#This Row],[Id_anterior]]=1,ROW()-1,SUM(ROW()-1,Tabla_Alimentacion[[#This Row],[Id_anterior]]))</f>
        <v>1132</v>
      </c>
      <c r="F4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ALIMENTACION_PROCESOS_EXISTENCIAS_ACTUALIZA_ACTA_RECEPCION_O_C</v>
      </c>
      <c r="G45" s="2" t="str">
        <f>CLEAN(PROPER(Tabla_Alimentacion[[#This Row],[Nombre Opción]]))</f>
        <v>Actualiza Acta De Recepcion (O/C)</v>
      </c>
      <c r="H45" s="2" t="s">
        <v>1735</v>
      </c>
      <c r="I45" s="2" t="str">
        <f>_xlfn.XLOOKUP(Tabla_Alimentacion[[#This Row],[id_padre]],Tabla_Alimentacion[Id],Tabla_Alimentacion[Codigo_Tecnico],"",0,1)</f>
        <v>ALIMENTACION_PROCESOS_EXISTENCIAS</v>
      </c>
      <c r="J4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/alimentacion/procesos/existencias/actualiza-acta-recepcion-o-c</v>
      </c>
      <c r="K4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actualiza-acta-recepcion-o-c</v>
      </c>
      <c r="L45" s="2" t="s">
        <v>1420</v>
      </c>
      <c r="M45" s="2" t="s">
        <v>1794</v>
      </c>
      <c r="O45" s="4" t="s">
        <v>360</v>
      </c>
      <c r="P45" s="4" t="s">
        <v>360</v>
      </c>
      <c r="Q45" s="4" t="s">
        <v>360</v>
      </c>
      <c r="R45" s="4"/>
      <c r="S45" s="4"/>
      <c r="U45" s="4" t="s">
        <v>360</v>
      </c>
      <c r="Y45" s="4" t="s">
        <v>360</v>
      </c>
      <c r="Z45" s="2" t="str">
        <f>IF(Tabla_Alimentacion[[#This Row],[id_padre]]=Tabla_Alimentacion[[#This Row],[Id]],"NOK","OK")</f>
        <v>OK</v>
      </c>
    </row>
    <row r="46" spans="1:26" hidden="1" x14ac:dyDescent="0.5">
      <c r="A46" s="2">
        <f>MAX(Tabla_Descuentos[Id])</f>
        <v>1088</v>
      </c>
      <c r="B46">
        <v>1129</v>
      </c>
      <c r="C46" s="5">
        <f>IF(Tabla_Alimentacion[[#This Row],[id_padre]]="",0,_xlfn.XLOOKUP(Tabla_Alimentacion[[#This Row],[id_padre]],Tabla_Alimentacion[Id],Tabla_Alimentacion[Nivel],0,0,1)+1)</f>
        <v>3</v>
      </c>
      <c r="D46" s="2" t="s">
        <v>996</v>
      </c>
      <c r="E46">
        <f>IF(Tabla_Alimentacion[[#This Row],[Id_anterior]]=1,ROW()-1,SUM(ROW()-1,Tabla_Alimentacion[[#This Row],[Id_anterior]]))</f>
        <v>1133</v>
      </c>
      <c r="F4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ALIMENTACION_PROCESOS_EXISTENCIAS_RECEPCION_ENTREGA_MERCADERIA</v>
      </c>
      <c r="G46" s="2" t="str">
        <f>CLEAN(PROPER(Tabla_Alimentacion[[#This Row],[Nombre Opción]]))</f>
        <v>Recepcion / Entrega Mercaderia</v>
      </c>
      <c r="H46" s="2" t="s">
        <v>1735</v>
      </c>
      <c r="I46" s="2" t="str">
        <f>_xlfn.XLOOKUP(Tabla_Alimentacion[[#This Row],[id_padre]],Tabla_Alimentacion[Id],Tabla_Alimentacion[Codigo_Tecnico],"",0,1)</f>
        <v>ALIMENTACION_PROCESOS_EXISTENCIAS</v>
      </c>
      <c r="J4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/alimentacion/procesos/existencias/recepcion-entrega-mercaderia</v>
      </c>
      <c r="K4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recepcion-entrega-mercaderia</v>
      </c>
      <c r="L46" s="2" t="s">
        <v>1388</v>
      </c>
      <c r="M46" s="2" t="s">
        <v>1794</v>
      </c>
      <c r="O46" s="4" t="s">
        <v>360</v>
      </c>
      <c r="P46" s="4" t="s">
        <v>360</v>
      </c>
      <c r="Q46" s="4" t="s">
        <v>360</v>
      </c>
      <c r="R46" s="4"/>
      <c r="S46" s="4"/>
      <c r="U46" s="4" t="s">
        <v>360</v>
      </c>
      <c r="Y46" s="4" t="s">
        <v>360</v>
      </c>
      <c r="Z46" s="2" t="str">
        <f>IF(Tabla_Alimentacion[[#This Row],[id_padre]]=Tabla_Alimentacion[[#This Row],[Id]],"NOK","OK")</f>
        <v>OK</v>
      </c>
    </row>
    <row r="47" spans="1:26" hidden="1" x14ac:dyDescent="0.5">
      <c r="A47" s="2">
        <f>MAX(Tabla_Descuentos[Id])</f>
        <v>1088</v>
      </c>
      <c r="B47">
        <v>1129</v>
      </c>
      <c r="C47" s="5">
        <f>IF(Tabla_Alimentacion[[#This Row],[id_padre]]="",0,_xlfn.XLOOKUP(Tabla_Alimentacion[[#This Row],[id_padre]],Tabla_Alimentacion[Id],Tabla_Alimentacion[Nivel],0,0,1)+1)</f>
        <v>3</v>
      </c>
      <c r="D47" s="2" t="s">
        <v>997</v>
      </c>
      <c r="E47">
        <f>IF(Tabla_Alimentacion[[#This Row],[Id_anterior]]=1,ROW()-1,SUM(ROW()-1,Tabla_Alimentacion[[#This Row],[Id_anterior]]))</f>
        <v>1134</v>
      </c>
      <c r="F4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ALIMENTACION_PROCESOS_EXISTENCIAS_INGRESO_NOTAS_CREDITO</v>
      </c>
      <c r="G47" s="2" t="str">
        <f>CLEAN(PROPER(Tabla_Alimentacion[[#This Row],[Nombre Opción]]))</f>
        <v>Ingreso Notas De Credito</v>
      </c>
      <c r="H47" s="2" t="s">
        <v>1735</v>
      </c>
      <c r="I47" s="2" t="str">
        <f>_xlfn.XLOOKUP(Tabla_Alimentacion[[#This Row],[id_padre]],Tabla_Alimentacion[Id],Tabla_Alimentacion[Codigo_Tecnico],"",0,1)</f>
        <v>ALIMENTACION_PROCESOS_EXISTENCIAS</v>
      </c>
      <c r="J4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/alimentacion/procesos/existencias/ingreso-notas-credito</v>
      </c>
      <c r="K4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ingreso-notas-credito</v>
      </c>
      <c r="L47" s="2" t="s">
        <v>1359</v>
      </c>
      <c r="M47" s="2" t="s">
        <v>1794</v>
      </c>
      <c r="O47" s="4" t="s">
        <v>360</v>
      </c>
      <c r="P47" s="4" t="s">
        <v>360</v>
      </c>
      <c r="Q47" s="4" t="s">
        <v>360</v>
      </c>
      <c r="R47" s="4"/>
      <c r="S47" s="4" t="s">
        <v>360</v>
      </c>
      <c r="U47" s="4" t="s">
        <v>360</v>
      </c>
      <c r="Y47" s="4" t="s">
        <v>360</v>
      </c>
      <c r="Z47" s="2" t="str">
        <f>IF(Tabla_Alimentacion[[#This Row],[id_padre]]=Tabla_Alimentacion[[#This Row],[Id]],"NOK","OK")</f>
        <v>OK</v>
      </c>
    </row>
    <row r="48" spans="1:26" hidden="1" x14ac:dyDescent="0.5">
      <c r="A48" s="2">
        <f>MAX(Tabla_Descuentos[Id])</f>
        <v>1088</v>
      </c>
      <c r="B48">
        <v>1129</v>
      </c>
      <c r="C48" s="5">
        <f>IF(Tabla_Alimentacion[[#This Row],[id_padre]]="",0,_xlfn.XLOOKUP(Tabla_Alimentacion[[#This Row],[id_padre]],Tabla_Alimentacion[Id],Tabla_Alimentacion[Nivel],0,0,1)+1)</f>
        <v>3</v>
      </c>
      <c r="D48" s="2" t="s">
        <v>998</v>
      </c>
      <c r="E48">
        <f>IF(Tabla_Alimentacion[[#This Row],[Id_anterior]]=1,ROW()-1,SUM(ROW()-1,Tabla_Alimentacion[[#This Row],[Id_anterior]]))</f>
        <v>1135</v>
      </c>
      <c r="F4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ALIMENTACION_PROCESOS_EXISTENCIAS_DEVOLUCION_MERCADERIA</v>
      </c>
      <c r="G48" s="2" t="str">
        <f>CLEAN(PROPER(Tabla_Alimentacion[[#This Row],[Nombre Opción]]))</f>
        <v>Devolucion De Mercaderia</v>
      </c>
      <c r="H48" s="2" t="s">
        <v>1735</v>
      </c>
      <c r="I48" s="2" t="str">
        <f>_xlfn.XLOOKUP(Tabla_Alimentacion[[#This Row],[id_padre]],Tabla_Alimentacion[Id],Tabla_Alimentacion[Codigo_Tecnico],"",0,1)</f>
        <v>ALIMENTACION_PROCESOS_EXISTENCIAS</v>
      </c>
      <c r="J4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/alimentacion/procesos/existencias/devolucion-mercaderia</v>
      </c>
      <c r="K4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devolucion-mercaderia</v>
      </c>
      <c r="L48" s="2" t="s">
        <v>1385</v>
      </c>
      <c r="M48" s="2" t="s">
        <v>1794</v>
      </c>
      <c r="O48" s="4" t="s">
        <v>360</v>
      </c>
      <c r="P48" s="4" t="s">
        <v>360</v>
      </c>
      <c r="Q48" s="4" t="s">
        <v>360</v>
      </c>
      <c r="R48" s="4"/>
      <c r="S48" s="4" t="s">
        <v>360</v>
      </c>
      <c r="U48" s="4" t="s">
        <v>360</v>
      </c>
      <c r="Y48" s="4" t="s">
        <v>360</v>
      </c>
      <c r="Z48" s="2" t="str">
        <f>IF(Tabla_Alimentacion[[#This Row],[id_padre]]=Tabla_Alimentacion[[#This Row],[Id]],"NOK","OK")</f>
        <v>OK</v>
      </c>
    </row>
    <row r="49" spans="1:26" hidden="1" x14ac:dyDescent="0.5">
      <c r="A49" s="2">
        <f>MAX(Tabla_Descuentos[Id])</f>
        <v>1088</v>
      </c>
      <c r="B49">
        <v>1129</v>
      </c>
      <c r="C49" s="5">
        <f>IF(Tabla_Alimentacion[[#This Row],[id_padre]]="",0,_xlfn.XLOOKUP(Tabla_Alimentacion[[#This Row],[id_padre]],Tabla_Alimentacion[Id],Tabla_Alimentacion[Nivel],0,0,1)+1)</f>
        <v>3</v>
      </c>
      <c r="D49" s="2" t="s">
        <v>999</v>
      </c>
      <c r="E49">
        <f>IF(Tabla_Alimentacion[[#This Row],[Id_anterior]]=1,ROW()-1,SUM(ROW()-1,Tabla_Alimentacion[[#This Row],[Id_anterior]]))</f>
        <v>1136</v>
      </c>
      <c r="F4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ALIMENTACION_PROCESOS_EXISTENCIAS_INGRESO_TOMA_EXISTENCIA</v>
      </c>
      <c r="G49" s="2" t="str">
        <f>CLEAN(PROPER(Tabla_Alimentacion[[#This Row],[Nombre Opción]]))</f>
        <v>Ingreso Toma De Existencia</v>
      </c>
      <c r="H49" s="2" t="s">
        <v>1735</v>
      </c>
      <c r="I49" s="2" t="str">
        <f>_xlfn.XLOOKUP(Tabla_Alimentacion[[#This Row],[id_padre]],Tabla_Alimentacion[Id],Tabla_Alimentacion[Codigo_Tecnico],"",0,1)</f>
        <v>ALIMENTACION_PROCESOS_EXISTENCIAS</v>
      </c>
      <c r="J4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/alimentacion/procesos/existencias/ingreso-toma-existencia</v>
      </c>
      <c r="K4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ingreso-toma-existencia</v>
      </c>
      <c r="L49" s="2" t="s">
        <v>1386</v>
      </c>
      <c r="M49" s="2" t="s">
        <v>1794</v>
      </c>
      <c r="O49" s="4" t="s">
        <v>360</v>
      </c>
      <c r="P49" s="4" t="s">
        <v>360</v>
      </c>
      <c r="Q49" s="4" t="s">
        <v>360</v>
      </c>
      <c r="R49" s="4"/>
      <c r="S49" s="4" t="s">
        <v>360</v>
      </c>
      <c r="Y49" s="4" t="s">
        <v>360</v>
      </c>
      <c r="Z49" s="2" t="str">
        <f>IF(Tabla_Alimentacion[[#This Row],[id_padre]]=Tabla_Alimentacion[[#This Row],[Id]],"NOK","OK")</f>
        <v>OK</v>
      </c>
    </row>
    <row r="50" spans="1:26" hidden="1" x14ac:dyDescent="0.5">
      <c r="A50" s="2">
        <f>MAX(Tabla_Descuentos[Id])</f>
        <v>1088</v>
      </c>
      <c r="B50">
        <v>1129</v>
      </c>
      <c r="C50" s="5">
        <f>IF(Tabla_Alimentacion[[#This Row],[id_padre]]="",0,_xlfn.XLOOKUP(Tabla_Alimentacion[[#This Row],[id_padre]],Tabla_Alimentacion[Id],Tabla_Alimentacion[Nivel],0,0,1)+1)</f>
        <v>3</v>
      </c>
      <c r="D50" s="2" t="s">
        <v>1000</v>
      </c>
      <c r="E50">
        <f>IF(Tabla_Alimentacion[[#This Row],[Id_anterior]]=1,ROW()-1,SUM(ROW()-1,Tabla_Alimentacion[[#This Row],[Id_anterior]]))</f>
        <v>1137</v>
      </c>
      <c r="F5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ALIMENTACION_PROCESOS_EXISTENCIAS_INGRESO_TOMA_EXISTENCIA_DESPLAZAMIENTO</v>
      </c>
      <c r="G50" s="2" t="str">
        <f>CLEAN(PROPER(Tabla_Alimentacion[[#This Row],[Nombre Opción]]))</f>
        <v>Ingreso Toma De Existencia Desplazamiento</v>
      </c>
      <c r="H50" s="2" t="s">
        <v>1735</v>
      </c>
      <c r="I50" s="2" t="str">
        <f>_xlfn.XLOOKUP(Tabla_Alimentacion[[#This Row],[id_padre]],Tabla_Alimentacion[Id],Tabla_Alimentacion[Codigo_Tecnico],"",0,1)</f>
        <v>ALIMENTACION_PROCESOS_EXISTENCIAS</v>
      </c>
      <c r="J5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/alimentacion/procesos/existencias/ingreso-toma-existencia-desplazamiento</v>
      </c>
      <c r="K5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ingreso-toma-existencia-desplazamiento</v>
      </c>
      <c r="L50" s="2" t="s">
        <v>1505</v>
      </c>
      <c r="M50" s="2" t="s">
        <v>1794</v>
      </c>
      <c r="O50" s="4" t="s">
        <v>360</v>
      </c>
      <c r="P50" s="4" t="s">
        <v>360</v>
      </c>
      <c r="Q50" s="4" t="s">
        <v>360</v>
      </c>
      <c r="R50" s="4"/>
      <c r="S50" s="4" t="s">
        <v>360</v>
      </c>
      <c r="Y50" s="4" t="s">
        <v>360</v>
      </c>
      <c r="Z50" s="2" t="str">
        <f>IF(Tabla_Alimentacion[[#This Row],[id_padre]]=Tabla_Alimentacion[[#This Row],[Id]],"NOK","OK")</f>
        <v>OK</v>
      </c>
    </row>
    <row r="51" spans="1:26" hidden="1" x14ac:dyDescent="0.5">
      <c r="A51" s="2">
        <f>MAX(Tabla_Descuentos[Id])</f>
        <v>1088</v>
      </c>
      <c r="B51">
        <v>1129</v>
      </c>
      <c r="C51" s="5">
        <f>IF(Tabla_Alimentacion[[#This Row],[id_padre]]="",0,_xlfn.XLOOKUP(Tabla_Alimentacion[[#This Row],[id_padre]],Tabla_Alimentacion[Id],Tabla_Alimentacion[Nivel],0,0,1)+1)</f>
        <v>3</v>
      </c>
      <c r="D51" s="2" t="s">
        <v>1001</v>
      </c>
      <c r="E51">
        <f>IF(Tabla_Alimentacion[[#This Row],[Id_anterior]]=1,ROW()-1,SUM(ROW()-1,Tabla_Alimentacion[[#This Row],[Id_anterior]]))</f>
        <v>1138</v>
      </c>
      <c r="F5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ALIMENTACION_PROCESOS_EXISTENCIAS_MODIFICA_TOMA_EXISTENCIA</v>
      </c>
      <c r="G51" s="2" t="str">
        <f>CLEAN(PROPER(Tabla_Alimentacion[[#This Row],[Nombre Opción]]))</f>
        <v>Modifica Toma De Existencia</v>
      </c>
      <c r="H51" s="2" t="s">
        <v>1735</v>
      </c>
      <c r="I51" s="2" t="str">
        <f>_xlfn.XLOOKUP(Tabla_Alimentacion[[#This Row],[id_padre]],Tabla_Alimentacion[Id],Tabla_Alimentacion[Codigo_Tecnico],"",0,1)</f>
        <v>ALIMENTACION_PROCESOS_EXISTENCIAS</v>
      </c>
      <c r="J5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/alimentacion/procesos/existencias/modifica-toma-existencia</v>
      </c>
      <c r="K5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modifica-toma-existencia</v>
      </c>
      <c r="L51" s="2" t="s">
        <v>1352</v>
      </c>
      <c r="M51" s="2" t="s">
        <v>1794</v>
      </c>
      <c r="O51" s="4" t="s">
        <v>360</v>
      </c>
      <c r="P51" s="4" t="s">
        <v>360</v>
      </c>
      <c r="Q51" s="4"/>
      <c r="R51" s="4"/>
      <c r="S51" s="4"/>
      <c r="Y51" s="4" t="s">
        <v>360</v>
      </c>
      <c r="Z51" s="2" t="str">
        <f>IF(Tabla_Alimentacion[[#This Row],[id_padre]]=Tabla_Alimentacion[[#This Row],[Id]],"NOK","OK")</f>
        <v>OK</v>
      </c>
    </row>
    <row r="52" spans="1:26" hidden="1" x14ac:dyDescent="0.5">
      <c r="A52" s="2">
        <f>MAX(Tabla_Descuentos[Id])</f>
        <v>1088</v>
      </c>
      <c r="B52">
        <v>1129</v>
      </c>
      <c r="C52" s="5">
        <f>IF(Tabla_Alimentacion[[#This Row],[id_padre]]="",0,_xlfn.XLOOKUP(Tabla_Alimentacion[[#This Row],[id_padre]],Tabla_Alimentacion[Id],Tabla_Alimentacion[Nivel],0,0,1)+1)</f>
        <v>3</v>
      </c>
      <c r="D52" s="2" t="s">
        <v>1002</v>
      </c>
      <c r="E52">
        <f>IF(Tabla_Alimentacion[[#This Row],[Id_anterior]]=1,ROW()-1,SUM(ROW()-1,Tabla_Alimentacion[[#This Row],[Id_anterior]]))</f>
        <v>1139</v>
      </c>
      <c r="F5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ALIMENTACION_PROCESOS_EXISTENCIAS_TRANSFERENCIA_MERCADERIA_ENTRE_BODEGAS</v>
      </c>
      <c r="G52" s="2" t="str">
        <f>CLEAN(PROPER(Tabla_Alimentacion[[#This Row],[Nombre Opción]]))</f>
        <v>Transferencia De Mercaderia Entre Bodegas</v>
      </c>
      <c r="H52" s="2" t="s">
        <v>1735</v>
      </c>
      <c r="I52" s="2" t="str">
        <f>_xlfn.XLOOKUP(Tabla_Alimentacion[[#This Row],[id_padre]],Tabla_Alimentacion[Id],Tabla_Alimentacion[Codigo_Tecnico],"",0,1)</f>
        <v>ALIMENTACION_PROCESOS_EXISTENCIAS</v>
      </c>
      <c r="J5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/alimentacion/procesos/existencias/transferencia-mercaderia-entre-bodegas</v>
      </c>
      <c r="K5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transferencia-mercaderia-entre-bodegas</v>
      </c>
      <c r="L52" s="2" t="s">
        <v>1354</v>
      </c>
      <c r="M52" s="2" t="s">
        <v>1794</v>
      </c>
      <c r="O52" s="4" t="s">
        <v>360</v>
      </c>
      <c r="P52" s="4" t="s">
        <v>360</v>
      </c>
      <c r="Q52" s="4" t="s">
        <v>360</v>
      </c>
      <c r="R52" s="4"/>
      <c r="S52" s="4"/>
      <c r="U52" s="4" t="s">
        <v>360</v>
      </c>
      <c r="Y52" s="4" t="s">
        <v>360</v>
      </c>
      <c r="Z52" s="2" t="str">
        <f>IF(Tabla_Alimentacion[[#This Row],[id_padre]]=Tabla_Alimentacion[[#This Row],[Id]],"NOK","OK")</f>
        <v>OK</v>
      </c>
    </row>
    <row r="53" spans="1:26" hidden="1" x14ac:dyDescent="0.5">
      <c r="A53" s="2">
        <f>MAX(Tabla_Descuentos[Id])</f>
        <v>1088</v>
      </c>
      <c r="B53">
        <v>1129</v>
      </c>
      <c r="C53" s="5">
        <f>IF(Tabla_Alimentacion[[#This Row],[id_padre]]="",0,_xlfn.XLOOKUP(Tabla_Alimentacion[[#This Row],[id_padre]],Tabla_Alimentacion[Id],Tabla_Alimentacion[Nivel],0,0,1)+1)</f>
        <v>3</v>
      </c>
      <c r="D53" s="2" t="s">
        <v>1003</v>
      </c>
      <c r="E53">
        <f>IF(Tabla_Alimentacion[[#This Row],[Id_anterior]]=1,ROW()-1,SUM(ROW()-1,Tabla_Alimentacion[[#This Row],[Id_anterior]]))</f>
        <v>1140</v>
      </c>
      <c r="F5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ALIMENTACION_PROCESOS_EXISTENCIAS_DEVOLUCION_MERCADERIA_ENTRE_BODEGAS</v>
      </c>
      <c r="G53" s="2" t="str">
        <f>CLEAN(PROPER(Tabla_Alimentacion[[#This Row],[Nombre Opción]]))</f>
        <v>Devolucion De Mercaderia Entre Bodegas</v>
      </c>
      <c r="H53" s="2" t="s">
        <v>1735</v>
      </c>
      <c r="I53" s="2" t="str">
        <f>_xlfn.XLOOKUP(Tabla_Alimentacion[[#This Row],[id_padre]],Tabla_Alimentacion[Id],Tabla_Alimentacion[Codigo_Tecnico],"",0,1)</f>
        <v>ALIMENTACION_PROCESOS_EXISTENCIAS</v>
      </c>
      <c r="J5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/alimentacion/procesos/existencias/devolucion-mercaderia-entre-bodegas</v>
      </c>
      <c r="K5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devolucion-mercaderia-entre-bodegas</v>
      </c>
      <c r="L53" s="2" t="s">
        <v>1631</v>
      </c>
      <c r="M53" s="2" t="s">
        <v>1794</v>
      </c>
      <c r="O53" s="4" t="s">
        <v>360</v>
      </c>
      <c r="P53" s="4" t="s">
        <v>360</v>
      </c>
      <c r="Q53" s="4" t="s">
        <v>360</v>
      </c>
      <c r="R53" s="4"/>
      <c r="S53" s="4" t="s">
        <v>360</v>
      </c>
      <c r="U53" s="4" t="s">
        <v>360</v>
      </c>
      <c r="Y53" s="4" t="s">
        <v>360</v>
      </c>
      <c r="Z53" s="2" t="str">
        <f>IF(Tabla_Alimentacion[[#This Row],[id_padre]]=Tabla_Alimentacion[[#This Row],[Id]],"NOK","OK")</f>
        <v>OK</v>
      </c>
    </row>
    <row r="54" spans="1:26" hidden="1" x14ac:dyDescent="0.5">
      <c r="A54" s="2">
        <f>MAX(Tabla_Descuentos[Id])</f>
        <v>1088</v>
      </c>
      <c r="B54">
        <v>1129</v>
      </c>
      <c r="C54" s="5">
        <f>IF(Tabla_Alimentacion[[#This Row],[id_padre]]="",0,_xlfn.XLOOKUP(Tabla_Alimentacion[[#This Row],[id_padre]],Tabla_Alimentacion[Id],Tabla_Alimentacion[Nivel],0,0,1)+1)</f>
        <v>3</v>
      </c>
      <c r="D54" s="2" t="s">
        <v>1005</v>
      </c>
      <c r="E54">
        <f>IF(Tabla_Alimentacion[[#This Row],[Id_anterior]]=1,ROW()-1,SUM(ROW()-1,Tabla_Alimentacion[[#This Row],[Id_anterior]]))</f>
        <v>1141</v>
      </c>
      <c r="F5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ALIMENTACION_PROCESOS_EXISTENCIAS_TRANSFERENCIA_MERCADERIA_POR_DESPLAZAMIENTOS</v>
      </c>
      <c r="G54" s="2" t="str">
        <f>CLEAN(PROPER(Tabla_Alimentacion[[#This Row],[Nombre Opción]]))</f>
        <v>Transferencia De Mercadería Por Desplazamientos</v>
      </c>
      <c r="H54" s="2" t="s">
        <v>1735</v>
      </c>
      <c r="I54" s="2" t="str">
        <f>_xlfn.XLOOKUP(Tabla_Alimentacion[[#This Row],[id_padre]],Tabla_Alimentacion[Id],Tabla_Alimentacion[Codigo_Tecnico],"",0,1)</f>
        <v>ALIMENTACION_PROCESOS_EXISTENCIAS</v>
      </c>
      <c r="J5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/alimentacion/procesos/existencias/transferencia-mercaderia-por-desplazamientos</v>
      </c>
      <c r="K5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transferencia-mercaderia-por-desplazamientos</v>
      </c>
      <c r="L54" s="2" t="s">
        <v>1516</v>
      </c>
      <c r="M54" s="2" t="s">
        <v>1794</v>
      </c>
      <c r="O54" s="4" t="s">
        <v>360</v>
      </c>
      <c r="P54" s="4" t="s">
        <v>360</v>
      </c>
      <c r="Q54" s="4" t="s">
        <v>360</v>
      </c>
      <c r="R54" s="4"/>
      <c r="S54" s="4" t="s">
        <v>360</v>
      </c>
      <c r="U54" s="4" t="s">
        <v>360</v>
      </c>
      <c r="Y54" s="4" t="s">
        <v>360</v>
      </c>
      <c r="Z54" s="2" t="str">
        <f>IF(Tabla_Alimentacion[[#This Row],[id_padre]]=Tabla_Alimentacion[[#This Row],[Id]],"NOK","OK")</f>
        <v>OK</v>
      </c>
    </row>
    <row r="55" spans="1:26" hidden="1" x14ac:dyDescent="0.5">
      <c r="A55" s="2">
        <f>MAX(Tabla_Descuentos[Id])</f>
        <v>1088</v>
      </c>
      <c r="B55">
        <v>1129</v>
      </c>
      <c r="C55" s="5">
        <f>IF(Tabla_Alimentacion[[#This Row],[id_padre]]="",0,_xlfn.XLOOKUP(Tabla_Alimentacion[[#This Row],[id_padre]],Tabla_Alimentacion[Id],Tabla_Alimentacion[Nivel],0,0,1)+1)</f>
        <v>3</v>
      </c>
      <c r="D55" s="2" t="s">
        <v>1006</v>
      </c>
      <c r="E55">
        <f>IF(Tabla_Alimentacion[[#This Row],[Id_anterior]]=1,ROW()-1,SUM(ROW()-1,Tabla_Alimentacion[[#This Row],[Id_anterior]]))</f>
        <v>1142</v>
      </c>
      <c r="F5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ALIMENTACION_PROCESOS_EXISTENCIAS_DEVOLUCION_MERCADERIA_POR_DESPLAZAMIENTOS</v>
      </c>
      <c r="G55" s="2" t="str">
        <f>CLEAN(PROPER(Tabla_Alimentacion[[#This Row],[Nombre Opción]]))</f>
        <v>Devolucion De Mercaderia Por Desplazamientos</v>
      </c>
      <c r="H55" s="2" t="s">
        <v>1735</v>
      </c>
      <c r="I55" s="2" t="str">
        <f>_xlfn.XLOOKUP(Tabla_Alimentacion[[#This Row],[id_padre]],Tabla_Alimentacion[Id],Tabla_Alimentacion[Codigo_Tecnico],"",0,1)</f>
        <v>ALIMENTACION_PROCESOS_EXISTENCIAS</v>
      </c>
      <c r="J5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/alimentacion/procesos/existencias/devolucion-mercaderia-por-desplazamientos</v>
      </c>
      <c r="K5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devolucion-mercaderia-por-desplazamientos</v>
      </c>
      <c r="L55" s="2" t="s">
        <v>1632</v>
      </c>
      <c r="M55" s="2" t="s">
        <v>1794</v>
      </c>
      <c r="O55" s="4" t="s">
        <v>360</v>
      </c>
      <c r="P55" s="4" t="s">
        <v>360</v>
      </c>
      <c r="Q55" s="4" t="s">
        <v>360</v>
      </c>
      <c r="R55" s="4"/>
      <c r="S55" s="4" t="s">
        <v>360</v>
      </c>
      <c r="U55" s="4" t="s">
        <v>360</v>
      </c>
      <c r="Y55" s="4" t="s">
        <v>360</v>
      </c>
      <c r="Z55" s="2" t="str">
        <f>IF(Tabla_Alimentacion[[#This Row],[id_padre]]=Tabla_Alimentacion[[#This Row],[Id]],"NOK","OK")</f>
        <v>OK</v>
      </c>
    </row>
    <row r="56" spans="1:26" hidden="1" x14ac:dyDescent="0.5">
      <c r="A56" s="2">
        <f>MAX(Tabla_Descuentos[Id])</f>
        <v>1088</v>
      </c>
      <c r="B56">
        <v>1129</v>
      </c>
      <c r="C56" s="5">
        <f>IF(Tabla_Alimentacion[[#This Row],[id_padre]]="",0,_xlfn.XLOOKUP(Tabla_Alimentacion[[#This Row],[id_padre]],Tabla_Alimentacion[Id],Tabla_Alimentacion[Nivel],0,0,1)+1)</f>
        <v>3</v>
      </c>
      <c r="D56" s="2" t="s">
        <v>1007</v>
      </c>
      <c r="E56">
        <f>IF(Tabla_Alimentacion[[#This Row],[Id_anterior]]=1,ROW()-1,SUM(ROW()-1,Tabla_Alimentacion[[#This Row],[Id_anterior]]))</f>
        <v>1143</v>
      </c>
      <c r="F5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ALIMENTACION_PROCESOS_EXISTENCIAS_GENERA_ASIENTO_FONDO_FIJO</v>
      </c>
      <c r="G56" s="2" t="str">
        <f>CLEAN(PROPER(Tabla_Alimentacion[[#This Row],[Nombre Opción]]))</f>
        <v>Genera Asiento Fondo Fijo</v>
      </c>
      <c r="H56" s="2" t="s">
        <v>1735</v>
      </c>
      <c r="I56" s="2" t="str">
        <f>_xlfn.XLOOKUP(Tabla_Alimentacion[[#This Row],[id_padre]],Tabla_Alimentacion[Id],Tabla_Alimentacion[Codigo_Tecnico],"",0,1)</f>
        <v>ALIMENTACION_PROCESOS_EXISTENCIAS</v>
      </c>
      <c r="J5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/alimentacion/procesos/existencias/genera-asiento-fondo-fijo</v>
      </c>
      <c r="K5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genera-asiento-fondo-fijo</v>
      </c>
      <c r="L56" s="2" t="s">
        <v>1364</v>
      </c>
      <c r="M56" s="2" t="s">
        <v>1794</v>
      </c>
      <c r="O56" s="4" t="s">
        <v>360</v>
      </c>
      <c r="P56" s="4" t="s">
        <v>360</v>
      </c>
      <c r="Q56" s="4" t="s">
        <v>360</v>
      </c>
      <c r="R56" s="4"/>
      <c r="S56" s="4" t="s">
        <v>360</v>
      </c>
      <c r="Y56" s="4" t="s">
        <v>360</v>
      </c>
      <c r="Z56" s="2" t="str">
        <f>IF(Tabla_Alimentacion[[#This Row],[id_padre]]=Tabla_Alimentacion[[#This Row],[Id]],"NOK","OK")</f>
        <v>OK</v>
      </c>
    </row>
    <row r="57" spans="1:26" hidden="1" x14ac:dyDescent="0.5">
      <c r="A57" s="2">
        <f>MAX(Tabla_Descuentos[Id])</f>
        <v>1088</v>
      </c>
      <c r="B57">
        <v>1129</v>
      </c>
      <c r="C57" s="5">
        <f>IF(Tabla_Alimentacion[[#This Row],[id_padre]]="",0,_xlfn.XLOOKUP(Tabla_Alimentacion[[#This Row],[id_padre]],Tabla_Alimentacion[Id],Tabla_Alimentacion[Nivel],0,0,1)+1)</f>
        <v>3</v>
      </c>
      <c r="D57" s="2" t="s">
        <v>1008</v>
      </c>
      <c r="E57">
        <f>IF(Tabla_Alimentacion[[#This Row],[Id_anterior]]=1,ROW()-1,SUM(ROW()-1,Tabla_Alimentacion[[#This Row],[Id_anterior]]))</f>
        <v>1144</v>
      </c>
      <c r="F5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ALIMENTACION_PROCESOS_EXISTENCIAS_GENERA_ASIENTO_SALIDAS_BODEGA</v>
      </c>
      <c r="G57" s="2" t="str">
        <f>CLEAN(PROPER(Tabla_Alimentacion[[#This Row],[Nombre Opción]]))</f>
        <v>Genera Asiento Salidas De Bodega</v>
      </c>
      <c r="H57" s="2" t="s">
        <v>1735</v>
      </c>
      <c r="I57" s="2" t="str">
        <f>_xlfn.XLOOKUP(Tabla_Alimentacion[[#This Row],[id_padre]],Tabla_Alimentacion[Id],Tabla_Alimentacion[Codigo_Tecnico],"",0,1)</f>
        <v>ALIMENTACION_PROCESOS_EXISTENCIAS</v>
      </c>
      <c r="J5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/alimentacion/procesos/existencias/genera-asiento-salidas-bodega</v>
      </c>
      <c r="K5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genera-asiento-salidas-bodega</v>
      </c>
      <c r="L57" s="2" t="s">
        <v>1349</v>
      </c>
      <c r="M57" s="2" t="s">
        <v>1794</v>
      </c>
      <c r="O57" s="4" t="s">
        <v>360</v>
      </c>
      <c r="P57" s="4" t="s">
        <v>360</v>
      </c>
      <c r="Q57" s="4" t="s">
        <v>360</v>
      </c>
      <c r="R57" s="4"/>
      <c r="S57" s="4" t="s">
        <v>360</v>
      </c>
      <c r="Y57" s="4" t="s">
        <v>360</v>
      </c>
      <c r="Z57" s="2" t="str">
        <f>IF(Tabla_Alimentacion[[#This Row],[id_padre]]=Tabla_Alimentacion[[#This Row],[Id]],"NOK","OK")</f>
        <v>OK</v>
      </c>
    </row>
    <row r="58" spans="1:26" hidden="1" x14ac:dyDescent="0.5">
      <c r="A58" s="2">
        <f>MAX(Tabla_Descuentos[Id])</f>
        <v>1088</v>
      </c>
      <c r="B58">
        <v>1091</v>
      </c>
      <c r="C58" s="5">
        <f>IF(Tabla_Alimentacion[[#This Row],[id_padre]]="",0,_xlfn.XLOOKUP(Tabla_Alimentacion[[#This Row],[id_padre]],Tabla_Alimentacion[Id],Tabla_Alimentacion[Nivel],0,0,1)+1)</f>
        <v>2</v>
      </c>
      <c r="D58" s="2" t="s">
        <v>984</v>
      </c>
      <c r="E58">
        <f>IF(Tabla_Alimentacion[[#This Row],[Id_anterior]]=1,ROW()-1,SUM(ROW()-1,Tabla_Alimentacion[[#This Row],[Id_anterior]]))</f>
        <v>1145</v>
      </c>
      <c r="F5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</v>
      </c>
      <c r="G58" s="2" t="str">
        <f>CLEAN(PROPER(Tabla_Alimentacion[[#This Row],[Nombre Opción]]))</f>
        <v>Producción</v>
      </c>
      <c r="H58" s="2" t="s">
        <v>1735</v>
      </c>
      <c r="I58" s="2" t="str">
        <f>_xlfn.XLOOKUP(Tabla_Alimentacion[[#This Row],[id_padre]],Tabla_Alimentacion[Id],Tabla_Alimentacion[Codigo_Tecnico],"",0,1)</f>
        <v>ALIMENTACION_PROCESOS</v>
      </c>
      <c r="J5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</v>
      </c>
      <c r="K5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produccion</v>
      </c>
      <c r="L58" s="2" t="s">
        <v>1624</v>
      </c>
      <c r="M58" s="2" t="s">
        <v>1794</v>
      </c>
      <c r="O58" s="4" t="s">
        <v>360</v>
      </c>
      <c r="P58" s="4" t="s">
        <v>360</v>
      </c>
      <c r="Q58" s="4" t="s">
        <v>360</v>
      </c>
      <c r="R58" s="4" t="s">
        <v>360</v>
      </c>
      <c r="S58" s="4"/>
      <c r="Y58" s="4" t="s">
        <v>360</v>
      </c>
      <c r="Z58" s="2" t="str">
        <f>IF(Tabla_Alimentacion[[#This Row],[id_padre]]=Tabla_Alimentacion[[#This Row],[Id]],"NOK","OK")</f>
        <v>OK</v>
      </c>
    </row>
    <row r="59" spans="1:26" hidden="1" x14ac:dyDescent="0.5">
      <c r="A59" s="2">
        <f>MAX(Tabla_Descuentos[Id])</f>
        <v>1088</v>
      </c>
      <c r="B59">
        <v>1145</v>
      </c>
      <c r="C59" s="5">
        <f>IF(Tabla_Alimentacion[[#This Row],[id_padre]]="",0,_xlfn.XLOOKUP(Tabla_Alimentacion[[#This Row],[id_padre]],Tabla_Alimentacion[Id],Tabla_Alimentacion[Nivel],0,0,1)+1)</f>
        <v>3</v>
      </c>
      <c r="D59" s="2" t="s">
        <v>1009</v>
      </c>
      <c r="E59">
        <f>IF(Tabla_Alimentacion[[#This Row],[Id_anterior]]=1,ROW()-1,SUM(ROW()-1,Tabla_Alimentacion[[#This Row],[Id_anterior]]))</f>
        <v>1146</v>
      </c>
      <c r="F5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ALIMENTACION_PROCESOS_PRODUCCION_INGRESO_MINUTA</v>
      </c>
      <c r="G59" s="2" t="str">
        <f>CLEAN(PROPER(Tabla_Alimentacion[[#This Row],[Nombre Opción]]))</f>
        <v>Ingreso Minuta</v>
      </c>
      <c r="H59" s="2" t="s">
        <v>1735</v>
      </c>
      <c r="I59" s="2" t="str">
        <f>_xlfn.XLOOKUP(Tabla_Alimentacion[[#This Row],[id_padre]],Tabla_Alimentacion[Id],Tabla_Alimentacion[Codigo_Tecnico],"",0,1)</f>
        <v>ALIMENTACION_PROCESOS_PRODUCCION</v>
      </c>
      <c r="J5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/alimentacion/procesos/produccion/ingreso-minuta</v>
      </c>
      <c r="K5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ingreso-minuta</v>
      </c>
      <c r="L59" s="2" t="s">
        <v>1482</v>
      </c>
      <c r="M59" s="2" t="s">
        <v>1794</v>
      </c>
      <c r="O59" s="4" t="s">
        <v>360</v>
      </c>
      <c r="P59" s="4" t="s">
        <v>360</v>
      </c>
      <c r="Q59" s="4" t="s">
        <v>360</v>
      </c>
      <c r="R59" s="4" t="s">
        <v>360</v>
      </c>
      <c r="S59" s="4"/>
      <c r="Y59" s="4" t="s">
        <v>360</v>
      </c>
      <c r="Z59" s="2" t="str">
        <f>IF(Tabla_Alimentacion[[#This Row],[id_padre]]=Tabla_Alimentacion[[#This Row],[Id]],"NOK","OK")</f>
        <v>OK</v>
      </c>
    </row>
    <row r="60" spans="1:26" hidden="1" x14ac:dyDescent="0.5">
      <c r="A60" s="2">
        <f>MAX(Tabla_Descuentos[Id])</f>
        <v>1088</v>
      </c>
      <c r="B60">
        <v>1145</v>
      </c>
      <c r="C60" s="5">
        <f>IF(Tabla_Alimentacion[[#This Row],[id_padre]]="",0,_xlfn.XLOOKUP(Tabla_Alimentacion[[#This Row],[id_padre]],Tabla_Alimentacion[Id],Tabla_Alimentacion[Nivel],0,0,1)+1)</f>
        <v>3</v>
      </c>
      <c r="D60" s="2" t="s">
        <v>1010</v>
      </c>
      <c r="E60">
        <f>IF(Tabla_Alimentacion[[#This Row],[Id_anterior]]=1,ROW()-1,SUM(ROW()-1,Tabla_Alimentacion[[#This Row],[Id_anterior]]))</f>
        <v>1147</v>
      </c>
      <c r="F6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ALIMENTACION_PROCESOS_PRODUCCION_MODIFICA_MINUTA</v>
      </c>
      <c r="G60" s="2" t="str">
        <f>CLEAN(PROPER(Tabla_Alimentacion[[#This Row],[Nombre Opción]]))</f>
        <v>Modifica Minuta</v>
      </c>
      <c r="H60" s="2" t="s">
        <v>1735</v>
      </c>
      <c r="I60" s="2" t="str">
        <f>_xlfn.XLOOKUP(Tabla_Alimentacion[[#This Row],[id_padre]],Tabla_Alimentacion[Id],Tabla_Alimentacion[Codigo_Tecnico],"",0,1)</f>
        <v>ALIMENTACION_PROCESOS_PRODUCCION</v>
      </c>
      <c r="J6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/alimentacion/procesos/produccion/modifica-minuta</v>
      </c>
      <c r="K6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modifica-minuta</v>
      </c>
      <c r="L60" s="2" t="s">
        <v>1573</v>
      </c>
      <c r="M60" s="2" t="s">
        <v>1794</v>
      </c>
      <c r="O60" s="4" t="s">
        <v>360</v>
      </c>
      <c r="P60" s="4" t="s">
        <v>360</v>
      </c>
      <c r="Q60" s="4" t="s">
        <v>360</v>
      </c>
      <c r="R60" s="4" t="s">
        <v>360</v>
      </c>
      <c r="S60" s="4"/>
      <c r="Y60" s="4" t="s">
        <v>360</v>
      </c>
      <c r="Z60" s="2" t="str">
        <f>IF(Tabla_Alimentacion[[#This Row],[id_padre]]=Tabla_Alimentacion[[#This Row],[Id]],"NOK","OK")</f>
        <v>OK</v>
      </c>
    </row>
    <row r="61" spans="1:26" hidden="1" x14ac:dyDescent="0.5">
      <c r="A61" s="2">
        <f>MAX(Tabla_Descuentos[Id])</f>
        <v>1088</v>
      </c>
      <c r="B61">
        <v>1145</v>
      </c>
      <c r="C61" s="5">
        <f>IF(Tabla_Alimentacion[[#This Row],[id_padre]]="",0,_xlfn.XLOOKUP(Tabla_Alimentacion[[#This Row],[id_padre]],Tabla_Alimentacion[Id],Tabla_Alimentacion[Nivel],0,0,1)+1)</f>
        <v>3</v>
      </c>
      <c r="D61" s="2" t="s">
        <v>1011</v>
      </c>
      <c r="E61">
        <f>IF(Tabla_Alimentacion[[#This Row],[Id_anterior]]=1,ROW()-1,SUM(ROW()-1,Tabla_Alimentacion[[#This Row],[Id_anterior]]))</f>
        <v>1148</v>
      </c>
      <c r="F6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ALIMENTACION_PROCESOS_PRODUCCION_ELIMINA_MINUTA</v>
      </c>
      <c r="G61" s="2" t="str">
        <f>CLEAN(PROPER(Tabla_Alimentacion[[#This Row],[Nombre Opción]]))</f>
        <v>Elimina Minuta</v>
      </c>
      <c r="H61" s="2" t="s">
        <v>1735</v>
      </c>
      <c r="I61" s="2" t="str">
        <f>_xlfn.XLOOKUP(Tabla_Alimentacion[[#This Row],[id_padre]],Tabla_Alimentacion[Id],Tabla_Alimentacion[Codigo_Tecnico],"",0,1)</f>
        <v>ALIMENTACION_PROCESOS_PRODUCCION</v>
      </c>
      <c r="J6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/alimentacion/procesos/produccion/elimina-minuta</v>
      </c>
      <c r="K6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elimina-minuta</v>
      </c>
      <c r="L61" s="2" t="s">
        <v>1633</v>
      </c>
      <c r="M61" s="2" t="s">
        <v>1794</v>
      </c>
      <c r="O61" s="4" t="s">
        <v>360</v>
      </c>
      <c r="P61" s="4" t="s">
        <v>360</v>
      </c>
      <c r="Q61" s="4" t="s">
        <v>360</v>
      </c>
      <c r="R61" s="4" t="s">
        <v>360</v>
      </c>
      <c r="S61" s="4"/>
      <c r="Y61" s="4" t="s">
        <v>360</v>
      </c>
      <c r="Z61" s="2" t="str">
        <f>IF(Tabla_Alimentacion[[#This Row],[id_padre]]=Tabla_Alimentacion[[#This Row],[Id]],"NOK","OK")</f>
        <v>OK</v>
      </c>
    </row>
    <row r="62" spans="1:26" hidden="1" x14ac:dyDescent="0.5">
      <c r="A62" s="2">
        <f>MAX(Tabla_Descuentos[Id])</f>
        <v>1088</v>
      </c>
      <c r="B62">
        <v>1145</v>
      </c>
      <c r="C62" s="5">
        <f>IF(Tabla_Alimentacion[[#This Row],[id_padre]]="",0,_xlfn.XLOOKUP(Tabla_Alimentacion[[#This Row],[id_padre]],Tabla_Alimentacion[Id],Tabla_Alimentacion[Nivel],0,0,1)+1)</f>
        <v>3</v>
      </c>
      <c r="D62" s="2" t="s">
        <v>1012</v>
      </c>
      <c r="E62">
        <f>IF(Tabla_Alimentacion[[#This Row],[Id_anterior]]=1,ROW()-1,SUM(ROW()-1,Tabla_Alimentacion[[#This Row],[Id_anterior]]))</f>
        <v>1149</v>
      </c>
      <c r="F6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ALIMENTACION_PROCESOS_PRODUCCION_COPIA_MINUTA</v>
      </c>
      <c r="G62" s="2" t="str">
        <f>CLEAN(PROPER(Tabla_Alimentacion[[#This Row],[Nombre Opción]]))</f>
        <v>Copia Minuta</v>
      </c>
      <c r="H62" s="2" t="s">
        <v>1735</v>
      </c>
      <c r="I62" s="2" t="str">
        <f>_xlfn.XLOOKUP(Tabla_Alimentacion[[#This Row],[id_padre]],Tabla_Alimentacion[Id],Tabla_Alimentacion[Codigo_Tecnico],"",0,1)</f>
        <v>ALIMENTACION_PROCESOS_PRODUCCION</v>
      </c>
      <c r="J6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/alimentacion/procesos/produccion/copia-minuta</v>
      </c>
      <c r="K6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copia-minuta</v>
      </c>
      <c r="L62" s="2" t="s">
        <v>1477</v>
      </c>
      <c r="M62" s="2" t="s">
        <v>1794</v>
      </c>
      <c r="O62" s="4" t="s">
        <v>360</v>
      </c>
      <c r="P62" s="4" t="s">
        <v>360</v>
      </c>
      <c r="Q62" s="4" t="s">
        <v>360</v>
      </c>
      <c r="R62" s="4" t="s">
        <v>360</v>
      </c>
      <c r="S62" s="4"/>
      <c r="Y62" s="4" t="s">
        <v>360</v>
      </c>
      <c r="Z62" s="2" t="str">
        <f>IF(Tabla_Alimentacion[[#This Row],[id_padre]]=Tabla_Alimentacion[[#This Row],[Id]],"NOK","OK")</f>
        <v>OK</v>
      </c>
    </row>
    <row r="63" spans="1:26" hidden="1" x14ac:dyDescent="0.5">
      <c r="A63" s="2">
        <f>MAX(Tabla_Descuentos[Id])</f>
        <v>1088</v>
      </c>
      <c r="B63">
        <v>1145</v>
      </c>
      <c r="C63" s="5">
        <f>IF(Tabla_Alimentacion[[#This Row],[id_padre]]="",0,_xlfn.XLOOKUP(Tabla_Alimentacion[[#This Row],[id_padre]],Tabla_Alimentacion[Id],Tabla_Alimentacion[Nivel],0,0,1)+1)</f>
        <v>3</v>
      </c>
      <c r="D63" s="2" t="s">
        <v>1013</v>
      </c>
      <c r="E63">
        <f>IF(Tabla_Alimentacion[[#This Row],[Id_anterior]]=1,ROW()-1,SUM(ROW()-1,Tabla_Alimentacion[[#This Row],[Id_anterior]]))</f>
        <v>1150</v>
      </c>
      <c r="F6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ALIMENTACION_PROCESOS_PRODUCCION_SOLICITUD_COMPRA</v>
      </c>
      <c r="G63" s="2" t="str">
        <f>CLEAN(PROPER(Tabla_Alimentacion[[#This Row],[Nombre Opción]]))</f>
        <v>Solicitud Compra</v>
      </c>
      <c r="H63" s="2" t="s">
        <v>1735</v>
      </c>
      <c r="I63" s="2" t="str">
        <f>_xlfn.XLOOKUP(Tabla_Alimentacion[[#This Row],[id_padre]],Tabla_Alimentacion[Id],Tabla_Alimentacion[Codigo_Tecnico],"",0,1)</f>
        <v>ALIMENTACION_PROCESOS_PRODUCCION</v>
      </c>
      <c r="J6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/alimentacion/procesos/produccion/solicitud-compra</v>
      </c>
      <c r="K6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solicitud-compra</v>
      </c>
      <c r="L63" s="2" t="s">
        <v>1446</v>
      </c>
      <c r="M63" s="2" t="s">
        <v>1794</v>
      </c>
      <c r="O63" s="4" t="s">
        <v>360</v>
      </c>
      <c r="P63" s="4" t="s">
        <v>360</v>
      </c>
      <c r="Q63" s="4" t="s">
        <v>360</v>
      </c>
      <c r="R63" s="4" t="s">
        <v>360</v>
      </c>
      <c r="S63" s="4"/>
      <c r="Y63" s="4" t="s">
        <v>360</v>
      </c>
      <c r="Z63" s="2" t="str">
        <f>IF(Tabla_Alimentacion[[#This Row],[id_padre]]=Tabla_Alimentacion[[#This Row],[Id]],"NOK","OK")</f>
        <v>OK</v>
      </c>
    </row>
    <row r="64" spans="1:26" hidden="1" x14ac:dyDescent="0.5">
      <c r="A64" s="2">
        <f>MAX(Tabla_Descuentos[Id])</f>
        <v>1088</v>
      </c>
      <c r="B64">
        <v>1145</v>
      </c>
      <c r="C64" s="5">
        <f>IF(Tabla_Alimentacion[[#This Row],[id_padre]]="",0,_xlfn.XLOOKUP(Tabla_Alimentacion[[#This Row],[id_padre]],Tabla_Alimentacion[Id],Tabla_Alimentacion[Nivel],0,0,1)+1)</f>
        <v>3</v>
      </c>
      <c r="D64" s="2" t="s">
        <v>1014</v>
      </c>
      <c r="E64">
        <f>IF(Tabla_Alimentacion[[#This Row],[Id_anterior]]=1,ROW()-1,SUM(ROW()-1,Tabla_Alimentacion[[#This Row],[Id_anterior]]))</f>
        <v>1151</v>
      </c>
      <c r="F6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ALIMENTACION_PROCESOS_PRODUCCION_PEDIDO_BODEGA_FISCAL</v>
      </c>
      <c r="G64" s="2" t="str">
        <f>CLEAN(PROPER(Tabla_Alimentacion[[#This Row],[Nombre Opción]]))</f>
        <v>Pedido Bodega Fiscal</v>
      </c>
      <c r="H64" s="2" t="s">
        <v>1735</v>
      </c>
      <c r="I64" s="2" t="str">
        <f>_xlfn.XLOOKUP(Tabla_Alimentacion[[#This Row],[id_padre]],Tabla_Alimentacion[Id],Tabla_Alimentacion[Codigo_Tecnico],"",0,1)</f>
        <v>ALIMENTACION_PROCESOS_PRODUCCION</v>
      </c>
      <c r="J6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/alimentacion/procesos/produccion/pedido-bodega-fiscal</v>
      </c>
      <c r="K6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pedido-bodega-fiscal</v>
      </c>
      <c r="L64" s="2" t="s">
        <v>1526</v>
      </c>
      <c r="M64" s="2" t="s">
        <v>1794</v>
      </c>
      <c r="O64" s="4" t="s">
        <v>360</v>
      </c>
      <c r="P64" s="4" t="s">
        <v>360</v>
      </c>
      <c r="Q64" s="4" t="s">
        <v>360</v>
      </c>
      <c r="R64" s="4" t="s">
        <v>360</v>
      </c>
      <c r="S64" s="4" t="s">
        <v>360</v>
      </c>
      <c r="Y64" s="4" t="s">
        <v>360</v>
      </c>
      <c r="Z64" s="2" t="str">
        <f>IF(Tabla_Alimentacion[[#This Row],[id_padre]]=Tabla_Alimentacion[[#This Row],[Id]],"NOK","OK")</f>
        <v>OK</v>
      </c>
    </row>
    <row r="65" spans="1:26" hidden="1" x14ac:dyDescent="0.5">
      <c r="A65" s="2">
        <f>MAX(Tabla_Descuentos[Id])</f>
        <v>1088</v>
      </c>
      <c r="B65">
        <v>1145</v>
      </c>
      <c r="C65" s="5">
        <f>IF(Tabla_Alimentacion[[#This Row],[id_padre]]="",0,_xlfn.XLOOKUP(Tabla_Alimentacion[[#This Row],[id_padre]],Tabla_Alimentacion[Id],Tabla_Alimentacion[Nivel],0,0,1)+1)</f>
        <v>3</v>
      </c>
      <c r="D65" s="2" t="s">
        <v>1025</v>
      </c>
      <c r="E65">
        <f>IF(Tabla_Alimentacion[[#This Row],[Id_anterior]]=1,ROW()-1,SUM(ROW()-1,Tabla_Alimentacion[[#This Row],[Id_anterior]]))</f>
        <v>1152</v>
      </c>
      <c r="F6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ALIMENTACION_PROCESOS_PRODUCCION_MODIFICA_PEDIDO_BODEGA_FISCAL</v>
      </c>
      <c r="G65" s="2" t="str">
        <f>CLEAN(PROPER(Tabla_Alimentacion[[#This Row],[Nombre Opción]]))</f>
        <v>Modifica Pedido Bodega Fiscal</v>
      </c>
      <c r="H65" s="2" t="s">
        <v>1735</v>
      </c>
      <c r="I65" s="2" t="str">
        <f>_xlfn.XLOOKUP(Tabla_Alimentacion[[#This Row],[id_padre]],Tabla_Alimentacion[Id],Tabla_Alimentacion[Codigo_Tecnico],"",0,1)</f>
        <v>ALIMENTACION_PROCESOS_PRODUCCION</v>
      </c>
      <c r="J6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/alimentacion/procesos/produccion/modifica-pedido-bodega-fiscal</v>
      </c>
      <c r="K6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modifica-pedido-bodega-fiscal</v>
      </c>
      <c r="L65" s="2" t="s">
        <v>1472</v>
      </c>
      <c r="M65" s="2" t="s">
        <v>1794</v>
      </c>
      <c r="O65" s="4" t="s">
        <v>360</v>
      </c>
      <c r="P65" s="4" t="s">
        <v>360</v>
      </c>
      <c r="Q65" s="4" t="s">
        <v>360</v>
      </c>
      <c r="R65" s="4" t="s">
        <v>360</v>
      </c>
      <c r="S65" s="4" t="s">
        <v>360</v>
      </c>
      <c r="Y65" s="4" t="s">
        <v>360</v>
      </c>
      <c r="Z65" s="2" t="str">
        <f>IF(Tabla_Alimentacion[[#This Row],[id_padre]]=Tabla_Alimentacion[[#This Row],[Id]],"NOK","OK")</f>
        <v>OK</v>
      </c>
    </row>
    <row r="66" spans="1:26" hidden="1" x14ac:dyDescent="0.5">
      <c r="A66" s="2">
        <f>MAX(Tabla_Descuentos[Id])</f>
        <v>1088</v>
      </c>
      <c r="B66">
        <v>1145</v>
      </c>
      <c r="C66" s="5">
        <f>IF(Tabla_Alimentacion[[#This Row],[id_padre]]="",0,_xlfn.XLOOKUP(Tabla_Alimentacion[[#This Row],[id_padre]],Tabla_Alimentacion[Id],Tabla_Alimentacion[Nivel],0,0,1)+1)</f>
        <v>3</v>
      </c>
      <c r="D66" s="2" t="s">
        <v>1026</v>
      </c>
      <c r="E66">
        <f>IF(Tabla_Alimentacion[[#This Row],[Id_anterior]]=1,ROW()-1,SUM(ROW()-1,Tabla_Alimentacion[[#This Row],[Id_anterior]]))</f>
        <v>1153</v>
      </c>
      <c r="F6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ALIMENTACION_PROCESOS_PRODUCCION_ANULA_PEDIDO_BODEGA_FISCAL</v>
      </c>
      <c r="G66" s="2" t="str">
        <f>CLEAN(PROPER(Tabla_Alimentacion[[#This Row],[Nombre Opción]]))</f>
        <v>Anula Pedido Bodega Fiscal</v>
      </c>
      <c r="H66" s="2" t="s">
        <v>1735</v>
      </c>
      <c r="I66" s="2" t="str">
        <f>_xlfn.XLOOKUP(Tabla_Alimentacion[[#This Row],[id_padre]],Tabla_Alimentacion[Id],Tabla_Alimentacion[Codigo_Tecnico],"",0,1)</f>
        <v>ALIMENTACION_PROCESOS_PRODUCCION</v>
      </c>
      <c r="J6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/alimentacion/procesos/produccion/anula-pedido-bodega-fiscal</v>
      </c>
      <c r="K6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anula-pedido-bodega-fiscal</v>
      </c>
      <c r="L66" s="2" t="s">
        <v>1390</v>
      </c>
      <c r="M66" s="2" t="s">
        <v>1794</v>
      </c>
      <c r="O66" s="4" t="s">
        <v>360</v>
      </c>
      <c r="P66" s="4" t="s">
        <v>360</v>
      </c>
      <c r="Q66" s="4" t="s">
        <v>360</v>
      </c>
      <c r="R66" s="4" t="s">
        <v>360</v>
      </c>
      <c r="S66" s="4" t="s">
        <v>360</v>
      </c>
      <c r="Y66" s="4" t="s">
        <v>360</v>
      </c>
      <c r="Z66" s="2" t="str">
        <f>IF(Tabla_Alimentacion[[#This Row],[id_padre]]=Tabla_Alimentacion[[#This Row],[Id]],"NOK","OK")</f>
        <v>OK</v>
      </c>
    </row>
    <row r="67" spans="1:26" hidden="1" x14ac:dyDescent="0.5">
      <c r="A67" s="2">
        <f>MAX(Tabla_Descuentos[Id])</f>
        <v>1088</v>
      </c>
      <c r="B67">
        <v>1145</v>
      </c>
      <c r="C67" s="5">
        <f>IF(Tabla_Alimentacion[[#This Row],[id_padre]]="",0,_xlfn.XLOOKUP(Tabla_Alimentacion[[#This Row],[id_padre]],Tabla_Alimentacion[Id],Tabla_Alimentacion[Nivel],0,0,1)+1)</f>
        <v>3</v>
      </c>
      <c r="D67" s="2" t="s">
        <v>1015</v>
      </c>
      <c r="E67">
        <f>IF(Tabla_Alimentacion[[#This Row],[Id_anterior]]=1,ROW()-1,SUM(ROW()-1,Tabla_Alimentacion[[#This Row],[Id_anterior]]))</f>
        <v>1154</v>
      </c>
      <c r="F6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ALIMENTACION_PROCESOS_PRODUCCION_ANULA_PEDIDO_COMPLEMENTARIO</v>
      </c>
      <c r="G67" s="2" t="str">
        <f>CLEAN(PROPER(Tabla_Alimentacion[[#This Row],[Nombre Opción]]))</f>
        <v>Anula Pedido Complementario</v>
      </c>
      <c r="H67" s="2" t="s">
        <v>1735</v>
      </c>
      <c r="I67" s="2" t="str">
        <f>_xlfn.XLOOKUP(Tabla_Alimentacion[[#This Row],[id_padre]],Tabla_Alimentacion[Id],Tabla_Alimentacion[Codigo_Tecnico],"",0,1)</f>
        <v>ALIMENTACION_PROCESOS_PRODUCCION</v>
      </c>
      <c r="J6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/alimentacion/procesos/produccion/anula-pedido-complementario</v>
      </c>
      <c r="K6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anula-pedido-complementario</v>
      </c>
      <c r="L67" s="2" t="s">
        <v>1368</v>
      </c>
      <c r="M67" s="2" t="s">
        <v>1794</v>
      </c>
      <c r="O67" s="4" t="s">
        <v>360</v>
      </c>
      <c r="P67" s="4" t="s">
        <v>360</v>
      </c>
      <c r="Q67" s="4" t="s">
        <v>360</v>
      </c>
      <c r="R67" s="4" t="s">
        <v>360</v>
      </c>
      <c r="S67" s="4" t="s">
        <v>360</v>
      </c>
      <c r="Y67" s="4" t="s">
        <v>360</v>
      </c>
      <c r="Z67" s="2" t="str">
        <f>IF(Tabla_Alimentacion[[#This Row],[id_padre]]=Tabla_Alimentacion[[#This Row],[Id]],"NOK","OK")</f>
        <v>OK</v>
      </c>
    </row>
    <row r="68" spans="1:26" hidden="1" x14ac:dyDescent="0.5">
      <c r="A68" s="2">
        <f>MAX(Tabla_Descuentos[Id])</f>
        <v>1088</v>
      </c>
      <c r="B68">
        <v>1145</v>
      </c>
      <c r="C68" s="5">
        <f>IF(Tabla_Alimentacion[[#This Row],[id_padre]]="",0,_xlfn.XLOOKUP(Tabla_Alimentacion[[#This Row],[id_padre]],Tabla_Alimentacion[Id],Tabla_Alimentacion[Nivel],0,0,1)+1)</f>
        <v>3</v>
      </c>
      <c r="D68" s="2" t="s">
        <v>1027</v>
      </c>
      <c r="E68">
        <f>IF(Tabla_Alimentacion[[#This Row],[Id_anterior]]=1,ROW()-1,SUM(ROW()-1,Tabla_Alimentacion[[#This Row],[Id_anterior]]))</f>
        <v>1155</v>
      </c>
      <c r="F6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ALIMENTACION_PROCESOS_PRODUCCION_MODIFICA_DATOS_SALIDA_BODEGA</v>
      </c>
      <c r="G68" s="2" t="str">
        <f>CLEAN(PROPER(Tabla_Alimentacion[[#This Row],[Nombre Opción]]))</f>
        <v>Modifica Datos Salida De Bodega</v>
      </c>
      <c r="H68" s="2" t="s">
        <v>1735</v>
      </c>
      <c r="I68" s="2" t="str">
        <f>_xlfn.XLOOKUP(Tabla_Alimentacion[[#This Row],[id_padre]],Tabla_Alimentacion[Id],Tabla_Alimentacion[Codigo_Tecnico],"",0,1)</f>
        <v>ALIMENTACION_PROCESOS_PRODUCCION</v>
      </c>
      <c r="J6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/alimentacion/procesos/produccion/modifica-datos-salida-bodega</v>
      </c>
      <c r="K6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modifica-datos-salida-bodega</v>
      </c>
      <c r="L68" s="2" t="s">
        <v>1449</v>
      </c>
      <c r="M68" s="2" t="s">
        <v>1794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Y68" s="4" t="s">
        <v>360</v>
      </c>
      <c r="Z68" s="2" t="str">
        <f>IF(Tabla_Alimentacion[[#This Row],[id_padre]]=Tabla_Alimentacion[[#This Row],[Id]],"NOK","OK")</f>
        <v>OK</v>
      </c>
    </row>
    <row r="69" spans="1:26" hidden="1" x14ac:dyDescent="0.5">
      <c r="A69" s="2">
        <f>MAX(Tabla_Descuentos[Id])</f>
        <v>1088</v>
      </c>
      <c r="B69">
        <v>1145</v>
      </c>
      <c r="C69" s="5">
        <f>IF(Tabla_Alimentacion[[#This Row],[id_padre]]="",0,_xlfn.XLOOKUP(Tabla_Alimentacion[[#This Row],[id_padre]],Tabla_Alimentacion[Id],Tabla_Alimentacion[Nivel],0,0,1)+1)</f>
        <v>3</v>
      </c>
      <c r="D69" s="2" t="s">
        <v>1016</v>
      </c>
      <c r="E69">
        <f>IF(Tabla_Alimentacion[[#This Row],[Id_anterior]]=1,ROW()-1,SUM(ROW()-1,Tabla_Alimentacion[[#This Row],[Id_anterior]]))</f>
        <v>1156</v>
      </c>
      <c r="F6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ALIMENTACION_PROCESOS_PRODUCCION_COSTEOS_EXTRAS</v>
      </c>
      <c r="G69" s="2" t="str">
        <f>CLEAN(PROPER(Tabla_Alimentacion[[#This Row],[Nombre Opción]]))</f>
        <v>Costeos Extras</v>
      </c>
      <c r="H69" s="2" t="s">
        <v>1735</v>
      </c>
      <c r="I69" s="2" t="str">
        <f>_xlfn.XLOOKUP(Tabla_Alimentacion[[#This Row],[id_padre]],Tabla_Alimentacion[Id],Tabla_Alimentacion[Codigo_Tecnico],"",0,1)</f>
        <v>ALIMENTACION_PROCESOS_PRODUCCION</v>
      </c>
      <c r="J6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/alimentacion/procesos/produccion/costeos-extras</v>
      </c>
      <c r="K6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costeos-extras</v>
      </c>
      <c r="L69" s="2" t="s">
        <v>1344</v>
      </c>
      <c r="M69" s="2" t="s">
        <v>1794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Y69" s="4" t="s">
        <v>360</v>
      </c>
      <c r="Z69" s="2" t="str">
        <f>IF(Tabla_Alimentacion[[#This Row],[id_padre]]=Tabla_Alimentacion[[#This Row],[Id]],"NOK","OK")</f>
        <v>OK</v>
      </c>
    </row>
    <row r="70" spans="1:26" hidden="1" x14ac:dyDescent="0.5">
      <c r="A70" s="2">
        <f>MAX(Tabla_Descuentos[Id])</f>
        <v>1088</v>
      </c>
      <c r="B70">
        <v>1145</v>
      </c>
      <c r="C70" s="5">
        <f>IF(Tabla_Alimentacion[[#This Row],[id_padre]]="",0,_xlfn.XLOOKUP(Tabla_Alimentacion[[#This Row],[id_padre]],Tabla_Alimentacion[Id],Tabla_Alimentacion[Nivel],0,0,1)+1)</f>
        <v>3</v>
      </c>
      <c r="D70" s="2" t="s">
        <v>1017</v>
      </c>
      <c r="E70">
        <f>IF(Tabla_Alimentacion[[#This Row],[Id_anterior]]=1,ROW()-1,SUM(ROW()-1,Tabla_Alimentacion[[#This Row],[Id_anterior]]))</f>
        <v>1157</v>
      </c>
      <c r="F7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ALIMENTACION_PROCESOS_PRODUCCION_COSTEOS_MINUTAS</v>
      </c>
      <c r="G70" s="2" t="str">
        <f>CLEAN(PROPER(Tabla_Alimentacion[[#This Row],[Nombre Opción]]))</f>
        <v>Costeos De Minutas</v>
      </c>
      <c r="H70" s="2" t="s">
        <v>1735</v>
      </c>
      <c r="I70" s="2" t="str">
        <f>_xlfn.XLOOKUP(Tabla_Alimentacion[[#This Row],[id_padre]],Tabla_Alimentacion[Id],Tabla_Alimentacion[Codigo_Tecnico],"",0,1)</f>
        <v>ALIMENTACION_PROCESOS_PRODUCCION</v>
      </c>
      <c r="J7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/alimentacion/procesos/produccion/costeos-minutas</v>
      </c>
      <c r="K7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costeos-minutas</v>
      </c>
      <c r="L70" s="2" t="s">
        <v>1350</v>
      </c>
      <c r="M70" s="2" t="s">
        <v>1794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Y70" s="4" t="s">
        <v>360</v>
      </c>
      <c r="Z70" s="2" t="str">
        <f>IF(Tabla_Alimentacion[[#This Row],[id_padre]]=Tabla_Alimentacion[[#This Row],[Id]],"NOK","OK")</f>
        <v>OK</v>
      </c>
    </row>
    <row r="71" spans="1:26" hidden="1" x14ac:dyDescent="0.5">
      <c r="A71" s="2">
        <f>MAX(Tabla_Descuentos[Id])</f>
        <v>1088</v>
      </c>
      <c r="B71">
        <v>1145</v>
      </c>
      <c r="C71" s="5">
        <f>IF(Tabla_Alimentacion[[#This Row],[id_padre]]="",0,_xlfn.XLOOKUP(Tabla_Alimentacion[[#This Row],[id_padre]],Tabla_Alimentacion[Id],Tabla_Alimentacion[Nivel],0,0,1)+1)</f>
        <v>3</v>
      </c>
      <c r="D71" s="2" t="s">
        <v>1034</v>
      </c>
      <c r="E71">
        <f>IF(Tabla_Alimentacion[[#This Row],[Id_anterior]]=1,ROW()-1,SUM(ROW()-1,Tabla_Alimentacion[[#This Row],[Id_anterior]]))</f>
        <v>1158</v>
      </c>
      <c r="F7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ALIMENTACION_PROCESOS_PRODUCCION_PEDIDO_BODEGA_NO_FISCAL</v>
      </c>
      <c r="G71" s="2" t="str">
        <f>CLEAN(PROPER(Tabla_Alimentacion[[#This Row],[Nombre Opción]]))</f>
        <v>Pedido A Bodega No Fiscal</v>
      </c>
      <c r="H71" s="2" t="s">
        <v>1735</v>
      </c>
      <c r="I71" s="2" t="str">
        <f>_xlfn.XLOOKUP(Tabla_Alimentacion[[#This Row],[id_padre]],Tabla_Alimentacion[Id],Tabla_Alimentacion[Codigo_Tecnico],"",0,1)</f>
        <v>ALIMENTACION_PROCESOS_PRODUCCION</v>
      </c>
      <c r="J7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/alimentacion/procesos/produccion/pedido-bodega-no-fiscal</v>
      </c>
      <c r="K7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pedido-bodega-no-fiscal</v>
      </c>
      <c r="L71" s="2" t="s">
        <v>1634</v>
      </c>
      <c r="M71" s="2" t="s">
        <v>1794</v>
      </c>
      <c r="O71" s="4" t="s">
        <v>360</v>
      </c>
      <c r="P71" s="4" t="s">
        <v>360</v>
      </c>
      <c r="Q71" s="4" t="s">
        <v>360</v>
      </c>
      <c r="R71" s="4" t="s">
        <v>360</v>
      </c>
      <c r="S71" s="4"/>
      <c r="Y71" s="4" t="s">
        <v>360</v>
      </c>
      <c r="Z71" s="2" t="str">
        <f>IF(Tabla_Alimentacion[[#This Row],[id_padre]]=Tabla_Alimentacion[[#This Row],[Id]],"NOK","OK")</f>
        <v>OK</v>
      </c>
    </row>
    <row r="72" spans="1:26" hidden="1" x14ac:dyDescent="0.5">
      <c r="A72" s="2">
        <f>MAX(Tabla_Descuentos[Id])</f>
        <v>1088</v>
      </c>
      <c r="B72">
        <v>1145</v>
      </c>
      <c r="C72" s="5">
        <f>IF(Tabla_Alimentacion[[#This Row],[id_padre]]="",0,_xlfn.XLOOKUP(Tabla_Alimentacion[[#This Row],[id_padre]],Tabla_Alimentacion[Id],Tabla_Alimentacion[Nivel],0,0,1)+1)</f>
        <v>3</v>
      </c>
      <c r="D72" s="2" t="s">
        <v>1028</v>
      </c>
      <c r="E72">
        <f>IF(Tabla_Alimentacion[[#This Row],[Id_anterior]]=1,ROW()-1,SUM(ROW()-1,Tabla_Alimentacion[[#This Row],[Id_anterior]]))</f>
        <v>1159</v>
      </c>
      <c r="F7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ALIMENTACION_PROCESOS_PRODUCCION_ANULA_PEDIDO_BODEGA_NO_FISCAL</v>
      </c>
      <c r="G72" s="2" t="str">
        <f>CLEAN(PROPER(Tabla_Alimentacion[[#This Row],[Nombre Opción]]))</f>
        <v>Anula Pedido A Bodega No Fiscal</v>
      </c>
      <c r="H72" s="2" t="s">
        <v>1735</v>
      </c>
      <c r="I72" s="2" t="str">
        <f>_xlfn.XLOOKUP(Tabla_Alimentacion[[#This Row],[id_padre]],Tabla_Alimentacion[Id],Tabla_Alimentacion[Codigo_Tecnico],"",0,1)</f>
        <v>ALIMENTACION_PROCESOS_PRODUCCION</v>
      </c>
      <c r="J7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/alimentacion/procesos/produccion/anula-pedido-bodega-no-fiscal</v>
      </c>
      <c r="K7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anula-pedido-bodega-no-fiscal</v>
      </c>
      <c r="L72" s="2" t="s">
        <v>1346</v>
      </c>
      <c r="M72" s="2" t="s">
        <v>1794</v>
      </c>
      <c r="O72" s="4" t="s">
        <v>360</v>
      </c>
      <c r="P72" s="4" t="s">
        <v>360</v>
      </c>
      <c r="Q72" s="4" t="s">
        <v>360</v>
      </c>
      <c r="R72" s="4" t="s">
        <v>360</v>
      </c>
      <c r="S72" s="4"/>
      <c r="Y72" s="4" t="s">
        <v>360</v>
      </c>
      <c r="Z72" s="2" t="str">
        <f>IF(Tabla_Alimentacion[[#This Row],[id_padre]]=Tabla_Alimentacion[[#This Row],[Id]],"NOK","OK")</f>
        <v>OK</v>
      </c>
    </row>
    <row r="73" spans="1:26" hidden="1" x14ac:dyDescent="0.5">
      <c r="A73" s="2">
        <f>MAX(Tabla_Descuentos[Id])</f>
        <v>1088</v>
      </c>
      <c r="B73">
        <v>1145</v>
      </c>
      <c r="C73" s="5">
        <f>IF(Tabla_Alimentacion[[#This Row],[id_padre]]="",0,_xlfn.XLOOKUP(Tabla_Alimentacion[[#This Row],[id_padre]],Tabla_Alimentacion[Id],Tabla_Alimentacion[Nivel],0,0,1)+1)</f>
        <v>3</v>
      </c>
      <c r="D73" s="2" t="s">
        <v>1029</v>
      </c>
      <c r="E73">
        <f>IF(Tabla_Alimentacion[[#This Row],[Id_anterior]]=1,ROW()-1,SUM(ROW()-1,Tabla_Alimentacion[[#This Row],[Id_anterior]]))</f>
        <v>1160</v>
      </c>
      <c r="F7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ALIMENTACION_PROCESOS_PRODUCCION_PERSONAL_APORCIONADO</v>
      </c>
      <c r="G73" s="2" t="str">
        <f>CLEAN(PROPER(Tabla_Alimentacion[[#This Row],[Nombre Opción]]))</f>
        <v>Personal Aporcionado</v>
      </c>
      <c r="H73" s="2" t="s">
        <v>1735</v>
      </c>
      <c r="I73" s="2" t="str">
        <f>_xlfn.XLOOKUP(Tabla_Alimentacion[[#This Row],[id_padre]],Tabla_Alimentacion[Id],Tabla_Alimentacion[Codigo_Tecnico],"",0,1)</f>
        <v>ALIMENTACION_PROCESOS_PRODUCCION</v>
      </c>
      <c r="J7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/alimentacion/procesos/produccion/personal-aporcionado</v>
      </c>
      <c r="K7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personal-aporcionado</v>
      </c>
      <c r="L73" s="2" t="s">
        <v>1506</v>
      </c>
      <c r="M73" s="2" t="s">
        <v>1794</v>
      </c>
      <c r="O73" s="4" t="s">
        <v>360</v>
      </c>
      <c r="P73" s="4" t="s">
        <v>360</v>
      </c>
      <c r="Q73" s="4"/>
      <c r="R73" s="4"/>
      <c r="S73" s="4"/>
      <c r="X73" s="4" t="s">
        <v>360</v>
      </c>
      <c r="Y73" s="4" t="s">
        <v>360</v>
      </c>
      <c r="Z73" s="2" t="str">
        <f>IF(Tabla_Alimentacion[[#This Row],[id_padre]]=Tabla_Alimentacion[[#This Row],[Id]],"NOK","OK")</f>
        <v>OK</v>
      </c>
    </row>
    <row r="74" spans="1:26" hidden="1" x14ac:dyDescent="0.5">
      <c r="A74" s="2">
        <f>MAX(Tabla_Descuentos[Id])</f>
        <v>1088</v>
      </c>
      <c r="B74">
        <v>1145</v>
      </c>
      <c r="C74" s="5">
        <f>IF(Tabla_Alimentacion[[#This Row],[id_padre]]="",0,_xlfn.XLOOKUP(Tabla_Alimentacion[[#This Row],[id_padre]],Tabla_Alimentacion[Id],Tabla_Alimentacion[Nivel],0,0,1)+1)</f>
        <v>3</v>
      </c>
      <c r="D74" s="2" t="s">
        <v>1018</v>
      </c>
      <c r="E74">
        <f>IF(Tabla_Alimentacion[[#This Row],[Id_anterior]]=1,ROW()-1,SUM(ROW()-1,Tabla_Alimentacion[[#This Row],[Id_anterior]]))</f>
        <v>1161</v>
      </c>
      <c r="F7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ALIMENTACION_PROCESOS_PRODUCCION_PERSONAL_SELECCIONES_DEPORTIVAS</v>
      </c>
      <c r="G74" s="2" t="str">
        <f>CLEAN(PROPER(Tabla_Alimentacion[[#This Row],[Nombre Opción]]))</f>
        <v>Personal Selecciones Deportivas</v>
      </c>
      <c r="H74" s="2" t="s">
        <v>1735</v>
      </c>
      <c r="I74" s="2" t="str">
        <f>_xlfn.XLOOKUP(Tabla_Alimentacion[[#This Row],[id_padre]],Tabla_Alimentacion[Id],Tabla_Alimentacion[Codigo_Tecnico],"",0,1)</f>
        <v>ALIMENTACION_PROCESOS_PRODUCCION</v>
      </c>
      <c r="J7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/alimentacion/procesos/produccion/personal-selecciones-deportivas</v>
      </c>
      <c r="K7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personal-selecciones-deportivas</v>
      </c>
      <c r="L74" s="2" t="s">
        <v>1635</v>
      </c>
      <c r="M74" s="2" t="s">
        <v>1794</v>
      </c>
      <c r="O74" s="4" t="s">
        <v>360</v>
      </c>
      <c r="P74" s="4" t="s">
        <v>360</v>
      </c>
      <c r="Q74" s="4"/>
      <c r="R74" s="4"/>
      <c r="S74" s="4"/>
      <c r="X74" s="4" t="s">
        <v>360</v>
      </c>
      <c r="Y74" s="4" t="s">
        <v>360</v>
      </c>
      <c r="Z74" s="2" t="str">
        <f>IF(Tabla_Alimentacion[[#This Row],[id_padre]]=Tabla_Alimentacion[[#This Row],[Id]],"NOK","OK")</f>
        <v>OK</v>
      </c>
    </row>
    <row r="75" spans="1:26" hidden="1" x14ac:dyDescent="0.5">
      <c r="A75" s="2">
        <f>MAX(Tabla_Descuentos[Id])</f>
        <v>1088</v>
      </c>
      <c r="B75">
        <v>1145</v>
      </c>
      <c r="C75" s="5">
        <f>IF(Tabla_Alimentacion[[#This Row],[id_padre]]="",0,_xlfn.XLOOKUP(Tabla_Alimentacion[[#This Row],[id_padre]],Tabla_Alimentacion[Id],Tabla_Alimentacion[Nivel],0,0,1)+1)</f>
        <v>3</v>
      </c>
      <c r="D75" s="2" t="s">
        <v>1033</v>
      </c>
      <c r="E75">
        <f>IF(Tabla_Alimentacion[[#This Row],[Id_anterior]]=1,ROW()-1,SUM(ROW()-1,Tabla_Alimentacion[[#This Row],[Id_anterior]]))</f>
        <v>1162</v>
      </c>
      <c r="F7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ALIMENTACION_PROCESOS_PRODUCCION_PARTE_ALIMENTACION</v>
      </c>
      <c r="G75" s="2" t="str">
        <f>CLEAN(PROPER(Tabla_Alimentacion[[#This Row],[Nombre Opción]]))</f>
        <v>Parte Alimentacion</v>
      </c>
      <c r="H75" s="2" t="s">
        <v>1735</v>
      </c>
      <c r="I75" s="2" t="str">
        <f>_xlfn.XLOOKUP(Tabla_Alimentacion[[#This Row],[id_padre]],Tabla_Alimentacion[Id],Tabla_Alimentacion[Codigo_Tecnico],"",0,1)</f>
        <v>ALIMENTACION_PROCESOS_PRODUCCION</v>
      </c>
      <c r="J7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/alimentacion/procesos/produccion/parte-alimentacion</v>
      </c>
      <c r="K7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parte-alimentacion</v>
      </c>
      <c r="L75" s="2" t="s">
        <v>1343</v>
      </c>
      <c r="M75" s="2" t="s">
        <v>1794</v>
      </c>
      <c r="O75" s="4" t="s">
        <v>360</v>
      </c>
      <c r="P75" s="4" t="s">
        <v>360</v>
      </c>
      <c r="Q75" s="4"/>
      <c r="R75" s="4"/>
      <c r="S75" s="4"/>
      <c r="X75" s="4" t="s">
        <v>360</v>
      </c>
      <c r="Y75" s="4" t="s">
        <v>360</v>
      </c>
      <c r="Z75" s="2" t="str">
        <f>IF(Tabla_Alimentacion[[#This Row],[id_padre]]=Tabla_Alimentacion[[#This Row],[Id]],"NOK","OK")</f>
        <v>OK</v>
      </c>
    </row>
    <row r="76" spans="1:26" hidden="1" x14ac:dyDescent="0.5">
      <c r="A76" s="2">
        <f>MAX(Tabla_Descuentos[Id])</f>
        <v>1088</v>
      </c>
      <c r="B76">
        <v>1145</v>
      </c>
      <c r="C76" s="5">
        <f>IF(Tabla_Alimentacion[[#This Row],[id_padre]]="",0,_xlfn.XLOOKUP(Tabla_Alimentacion[[#This Row],[id_padre]],Tabla_Alimentacion[Id],Tabla_Alimentacion[Nivel],0,0,1)+1)</f>
        <v>3</v>
      </c>
      <c r="D76" s="2" t="s">
        <v>1030</v>
      </c>
      <c r="E76">
        <f>IF(Tabla_Alimentacion[[#This Row],[Id_anterior]]=1,ROW()-1,SUM(ROW()-1,Tabla_Alimentacion[[#This Row],[Id_anterior]]))</f>
        <v>1163</v>
      </c>
      <c r="F7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ALIMENTACION_PROCESOS_PRODUCCION_PARTE_ALIMENTACION_COMPLEMENTARIO</v>
      </c>
      <c r="G76" s="2" t="str">
        <f>CLEAN(PROPER(Tabla_Alimentacion[[#This Row],[Nombre Opción]]))</f>
        <v>Parte Alimentacion Complementario</v>
      </c>
      <c r="H76" s="2" t="s">
        <v>1735</v>
      </c>
      <c r="I76" s="2" t="str">
        <f>_xlfn.XLOOKUP(Tabla_Alimentacion[[#This Row],[id_padre]],Tabla_Alimentacion[Id],Tabla_Alimentacion[Codigo_Tecnico],"",0,1)</f>
        <v>ALIMENTACION_PROCESOS_PRODUCCION</v>
      </c>
      <c r="J7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/alimentacion/procesos/produccion/parte-alimentacion-complementario</v>
      </c>
      <c r="K7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parte-alimentacion-complementario</v>
      </c>
      <c r="L76" s="2" t="s">
        <v>1359</v>
      </c>
      <c r="M76" s="2" t="s">
        <v>1794</v>
      </c>
      <c r="O76" s="4" t="s">
        <v>360</v>
      </c>
      <c r="P76" s="4" t="s">
        <v>360</v>
      </c>
      <c r="Q76" s="4"/>
      <c r="R76" s="4"/>
      <c r="S76" s="4"/>
      <c r="X76" s="4" t="s">
        <v>360</v>
      </c>
      <c r="Y76" s="4" t="s">
        <v>360</v>
      </c>
      <c r="Z76" s="2" t="str">
        <f>IF(Tabla_Alimentacion[[#This Row],[id_padre]]=Tabla_Alimentacion[[#This Row],[Id]],"NOK","OK")</f>
        <v>OK</v>
      </c>
    </row>
    <row r="77" spans="1:26" hidden="1" x14ac:dyDescent="0.5">
      <c r="A77" s="2">
        <f>MAX(Tabla_Descuentos[Id])</f>
        <v>1088</v>
      </c>
      <c r="B77">
        <v>1145</v>
      </c>
      <c r="C77" s="5">
        <f>IF(Tabla_Alimentacion[[#This Row],[id_padre]]="",0,_xlfn.XLOOKUP(Tabla_Alimentacion[[#This Row],[id_padre]],Tabla_Alimentacion[Id],Tabla_Alimentacion[Nivel],0,0,1)+1)</f>
        <v>3</v>
      </c>
      <c r="D77" s="2" t="s">
        <v>1019</v>
      </c>
      <c r="E77">
        <f>IF(Tabla_Alimentacion[[#This Row],[Id_anterior]]=1,ROW()-1,SUM(ROW()-1,Tabla_Alimentacion[[#This Row],[Id_anterior]]))</f>
        <v>1164</v>
      </c>
      <c r="F7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ALIMENTACION_PROCESOS_PRODUCCION_PARTE_UNIDAD_CENTRAL</v>
      </c>
      <c r="G77" s="2" t="str">
        <f>CLEAN(PROPER(Tabla_Alimentacion[[#This Row],[Nombre Opción]]))</f>
        <v>Parte Unidad Central</v>
      </c>
      <c r="H77" s="2" t="s">
        <v>1735</v>
      </c>
      <c r="I77" s="2" t="str">
        <f>_xlfn.XLOOKUP(Tabla_Alimentacion[[#This Row],[id_padre]],Tabla_Alimentacion[Id],Tabla_Alimentacion[Codigo_Tecnico],"",0,1)</f>
        <v>ALIMENTACION_PROCESOS_PRODUCCION</v>
      </c>
      <c r="J7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/alimentacion/procesos/produccion/parte-unidad-central</v>
      </c>
      <c r="K7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parte-unidad-central</v>
      </c>
      <c r="L77" s="2" t="s">
        <v>1389</v>
      </c>
      <c r="M77" s="2" t="s">
        <v>1794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X77" s="4" t="s">
        <v>360</v>
      </c>
      <c r="Y77" s="4" t="s">
        <v>360</v>
      </c>
      <c r="Z77" s="2" t="str">
        <f>IF(Tabla_Alimentacion[[#This Row],[id_padre]]=Tabla_Alimentacion[[#This Row],[Id]],"NOK","OK")</f>
        <v>OK</v>
      </c>
    </row>
    <row r="78" spans="1:26" hidden="1" x14ac:dyDescent="0.5">
      <c r="A78" s="2">
        <f>MAX(Tabla_Descuentos[Id])</f>
        <v>1088</v>
      </c>
      <c r="B78">
        <v>1145</v>
      </c>
      <c r="C78" s="5">
        <f>IF(Tabla_Alimentacion[[#This Row],[id_padre]]="",0,_xlfn.XLOOKUP(Tabla_Alimentacion[[#This Row],[id_padre]],Tabla_Alimentacion[Id],Tabla_Alimentacion[Nivel],0,0,1)+1)</f>
        <v>3</v>
      </c>
      <c r="D78" s="2" t="s">
        <v>1020</v>
      </c>
      <c r="E78">
        <f>IF(Tabla_Alimentacion[[#This Row],[Id_anterior]]=1,ROW()-1,SUM(ROW()-1,Tabla_Alimentacion[[#This Row],[Id_anterior]]))</f>
        <v>1165</v>
      </c>
      <c r="F7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ALIMENTACION_PROCESOS_PRODUCCION_ABRIR_PARTE</v>
      </c>
      <c r="G78" s="2" t="str">
        <f>CLEAN(PROPER(Tabla_Alimentacion[[#This Row],[Nombre Opción]]))</f>
        <v>Abrir Parte</v>
      </c>
      <c r="H78" s="2" t="s">
        <v>1735</v>
      </c>
      <c r="I78" s="2" t="str">
        <f>_xlfn.XLOOKUP(Tabla_Alimentacion[[#This Row],[id_padre]],Tabla_Alimentacion[Id],Tabla_Alimentacion[Codigo_Tecnico],"",0,1)</f>
        <v>ALIMENTACION_PROCESOS_PRODUCCION</v>
      </c>
      <c r="J7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/alimentacion/procesos/produccion/abrir-parte</v>
      </c>
      <c r="K7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abrir-parte</v>
      </c>
      <c r="L78" s="2" t="s">
        <v>1454</v>
      </c>
      <c r="M78" s="2" t="s">
        <v>1794</v>
      </c>
      <c r="O78" s="4" t="s">
        <v>360</v>
      </c>
      <c r="P78" s="4" t="s">
        <v>360</v>
      </c>
      <c r="Q78" s="4"/>
      <c r="R78" s="4"/>
      <c r="S78" s="4"/>
      <c r="Y78" s="4" t="s">
        <v>360</v>
      </c>
      <c r="Z78" s="2" t="str">
        <f>IF(Tabla_Alimentacion[[#This Row],[id_padre]]=Tabla_Alimentacion[[#This Row],[Id]],"NOK","OK")</f>
        <v>OK</v>
      </c>
    </row>
    <row r="79" spans="1:26" hidden="1" x14ac:dyDescent="0.5">
      <c r="A79" s="2">
        <f>MAX(Tabla_Descuentos[Id])</f>
        <v>1088</v>
      </c>
      <c r="B79">
        <v>1145</v>
      </c>
      <c r="C79" s="5">
        <f>IF(Tabla_Alimentacion[[#This Row],[id_padre]]="",0,_xlfn.XLOOKUP(Tabla_Alimentacion[[#This Row],[id_padre]],Tabla_Alimentacion[Id],Tabla_Alimentacion[Nivel],0,0,1)+1)</f>
        <v>3</v>
      </c>
      <c r="D79" s="2" t="s">
        <v>1021</v>
      </c>
      <c r="E79">
        <f>IF(Tabla_Alimentacion[[#This Row],[Id_anterior]]=1,ROW()-1,SUM(ROW()-1,Tabla_Alimentacion[[#This Row],[Id_anterior]]))</f>
        <v>1166</v>
      </c>
      <c r="F7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ALIMENTACION_PROCESOS_PRODUCCION_PLANILLA_COBRO_ALIMENTACION_FISCAL</v>
      </c>
      <c r="G79" s="2" t="str">
        <f>CLEAN(PROPER(Tabla_Alimentacion[[#This Row],[Nombre Opción]]))</f>
        <v>Planilla Cobro Alimentacion Fiscal</v>
      </c>
      <c r="H79" s="2" t="s">
        <v>1735</v>
      </c>
      <c r="I79" s="2" t="str">
        <f>_xlfn.XLOOKUP(Tabla_Alimentacion[[#This Row],[id_padre]],Tabla_Alimentacion[Id],Tabla_Alimentacion[Codigo_Tecnico],"",0,1)</f>
        <v>ALIMENTACION_PROCESOS_PRODUCCION</v>
      </c>
      <c r="J7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/alimentacion/procesos/produccion/planilla-cobro-alimentacion-fiscal</v>
      </c>
      <c r="K7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planilla-cobro-alimentacion-fiscal</v>
      </c>
      <c r="L79" s="2" t="s">
        <v>1364</v>
      </c>
      <c r="M79" s="2" t="s">
        <v>1794</v>
      </c>
      <c r="O79" s="4" t="s">
        <v>360</v>
      </c>
      <c r="P79" s="4" t="s">
        <v>360</v>
      </c>
      <c r="Q79" s="4" t="s">
        <v>360</v>
      </c>
      <c r="R79" s="4"/>
      <c r="S79" s="4"/>
      <c r="Y79" s="4" t="s">
        <v>360</v>
      </c>
      <c r="Z79" s="2" t="str">
        <f>IF(Tabla_Alimentacion[[#This Row],[id_padre]]=Tabla_Alimentacion[[#This Row],[Id]],"NOK","OK")</f>
        <v>OK</v>
      </c>
    </row>
    <row r="80" spans="1:26" hidden="1" x14ac:dyDescent="0.5">
      <c r="A80" s="2">
        <f>MAX(Tabla_Descuentos[Id])</f>
        <v>1088</v>
      </c>
      <c r="B80">
        <v>1145</v>
      </c>
      <c r="C80" s="5">
        <f>IF(Tabla_Alimentacion[[#This Row],[id_padre]]="",0,_xlfn.XLOOKUP(Tabla_Alimentacion[[#This Row],[id_padre]],Tabla_Alimentacion[Id],Tabla_Alimentacion[Nivel],0,0,1)+1)</f>
        <v>3</v>
      </c>
      <c r="D80" s="2" t="s">
        <v>1031</v>
      </c>
      <c r="E80">
        <f>IF(Tabla_Alimentacion[[#This Row],[Id_anterior]]=1,ROW()-1,SUM(ROW()-1,Tabla_Alimentacion[[#This Row],[Id_anterior]]))</f>
        <v>1167</v>
      </c>
      <c r="F8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ALIMENTACION_PROCESOS_PRODUCCION_PLANILLA_COBRO_ALIMENTACION_DESPLAZAMIENTO</v>
      </c>
      <c r="G80" s="2" t="str">
        <f>CLEAN(PROPER(Tabla_Alimentacion[[#This Row],[Nombre Opción]]))</f>
        <v>Planilla Cobro Alimentacion Desplazamiento</v>
      </c>
      <c r="H80" s="2" t="s">
        <v>1735</v>
      </c>
      <c r="I80" s="2" t="str">
        <f>_xlfn.XLOOKUP(Tabla_Alimentacion[[#This Row],[id_padre]],Tabla_Alimentacion[Id],Tabla_Alimentacion[Codigo_Tecnico],"",0,1)</f>
        <v>ALIMENTACION_PROCESOS_PRODUCCION</v>
      </c>
      <c r="J8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/alimentacion/procesos/produccion/planilla-cobro-alimentacion-desplazamiento</v>
      </c>
      <c r="K8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planilla-cobro-alimentacion-desplazamiento</v>
      </c>
      <c r="L80" s="2" t="s">
        <v>1349</v>
      </c>
      <c r="M80" s="2" t="s">
        <v>1794</v>
      </c>
      <c r="O80" s="4" t="s">
        <v>360</v>
      </c>
      <c r="P80" s="4" t="s">
        <v>360</v>
      </c>
      <c r="Q80" s="4" t="s">
        <v>360</v>
      </c>
      <c r="R80" s="4"/>
      <c r="S80" s="4"/>
      <c r="Y80" s="4" t="s">
        <v>360</v>
      </c>
      <c r="Z80" s="2" t="str">
        <f>IF(Tabla_Alimentacion[[#This Row],[id_padre]]=Tabla_Alimentacion[[#This Row],[Id]],"NOK","OK")</f>
        <v>OK</v>
      </c>
    </row>
    <row r="81" spans="1:26" hidden="1" x14ac:dyDescent="0.5">
      <c r="A81" s="2">
        <f>MAX(Tabla_Descuentos[Id])</f>
        <v>1088</v>
      </c>
      <c r="B81">
        <v>1145</v>
      </c>
      <c r="C81" s="5">
        <f>IF(Tabla_Alimentacion[[#This Row],[id_padre]]="",0,_xlfn.XLOOKUP(Tabla_Alimentacion[[#This Row],[id_padre]],Tabla_Alimentacion[Id],Tabla_Alimentacion[Nivel],0,0,1)+1)</f>
        <v>3</v>
      </c>
      <c r="D81" s="2" t="s">
        <v>1032</v>
      </c>
      <c r="E81">
        <f>IF(Tabla_Alimentacion[[#This Row],[Id_anterior]]=1,ROW()-1,SUM(ROW()-1,Tabla_Alimentacion[[#This Row],[Id_anterior]]))</f>
        <v>1168</v>
      </c>
      <c r="F8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ALIMENTACION_PROCESOS_PRODUCCION_PLANILLA_COBRO_APOYO_EXTRAINSTITUCIONAL</v>
      </c>
      <c r="G81" s="2" t="str">
        <f>CLEAN(PROPER(Tabla_Alimentacion[[#This Row],[Nombre Opción]]))</f>
        <v>Planilla Cobro Apoyo Extrainstitucional</v>
      </c>
      <c r="H81" s="2" t="s">
        <v>1735</v>
      </c>
      <c r="I81" s="2" t="str">
        <f>_xlfn.XLOOKUP(Tabla_Alimentacion[[#This Row],[id_padre]],Tabla_Alimentacion[Id],Tabla_Alimentacion[Codigo_Tecnico],"",0,1)</f>
        <v>ALIMENTACION_PROCESOS_PRODUCCION</v>
      </c>
      <c r="J8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/alimentacion/procesos/produccion/planilla-cobro-apoyo-extrainstitucional</v>
      </c>
      <c r="K8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planilla-cobro-apoyo-extrainstitucional</v>
      </c>
      <c r="L81" s="2" t="s">
        <v>1355</v>
      </c>
      <c r="M81" s="2" t="s">
        <v>1794</v>
      </c>
      <c r="O81" s="4" t="s">
        <v>360</v>
      </c>
      <c r="P81" s="4" t="s">
        <v>360</v>
      </c>
      <c r="Q81" s="4" t="s">
        <v>360</v>
      </c>
      <c r="R81" s="4"/>
      <c r="S81" s="4"/>
      <c r="Y81" s="4" t="s">
        <v>360</v>
      </c>
      <c r="Z81" s="2" t="str">
        <f>IF(Tabla_Alimentacion[[#This Row],[id_padre]]=Tabla_Alimentacion[[#This Row],[Id]],"NOK","OK")</f>
        <v>OK</v>
      </c>
    </row>
    <row r="82" spans="1:26" hidden="1" x14ac:dyDescent="0.5">
      <c r="A82" s="2">
        <f>MAX(Tabla_Descuentos[Id])</f>
        <v>1088</v>
      </c>
      <c r="B82">
        <v>1145</v>
      </c>
      <c r="C82" s="5">
        <f>IF(Tabla_Alimentacion[[#This Row],[id_padre]]="",0,_xlfn.XLOOKUP(Tabla_Alimentacion[[#This Row],[id_padre]],Tabla_Alimentacion[Id],Tabla_Alimentacion[Nivel],0,0,1)+1)</f>
        <v>3</v>
      </c>
      <c r="D82" s="2" t="s">
        <v>1022</v>
      </c>
      <c r="E82">
        <f>IF(Tabla_Alimentacion[[#This Row],[Id_anterior]]=1,ROW()-1,SUM(ROW()-1,Tabla_Alimentacion[[#This Row],[Id_anterior]]))</f>
        <v>1169</v>
      </c>
      <c r="F8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ALIMENTACION_PROCESOS_PRODUCCION_DIFERENCIA_RANCHO</v>
      </c>
      <c r="G82" s="2" t="str">
        <f>CLEAN(PROPER(Tabla_Alimentacion[[#This Row],[Nombre Opción]]))</f>
        <v>Diferencia De Rancho</v>
      </c>
      <c r="H82" s="2" t="s">
        <v>1735</v>
      </c>
      <c r="I82" s="2" t="str">
        <f>_xlfn.XLOOKUP(Tabla_Alimentacion[[#This Row],[id_padre]],Tabla_Alimentacion[Id],Tabla_Alimentacion[Codigo_Tecnico],"",0,1)</f>
        <v>ALIMENTACION_PROCESOS_PRODUCCION</v>
      </c>
      <c r="J8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/alimentacion/procesos/produccion/diferencia-rancho</v>
      </c>
      <c r="K8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diferencia-rancho</v>
      </c>
      <c r="L82" s="2" t="s">
        <v>1408</v>
      </c>
      <c r="M82" s="2" t="s">
        <v>1794</v>
      </c>
      <c r="O82" s="4" t="s">
        <v>360</v>
      </c>
      <c r="P82" s="4" t="s">
        <v>360</v>
      </c>
      <c r="Q82" s="4" t="s">
        <v>360</v>
      </c>
      <c r="R82" s="4"/>
      <c r="S82" s="4"/>
      <c r="Y82" s="4" t="s">
        <v>360</v>
      </c>
      <c r="Z82" s="2" t="str">
        <f>IF(Tabla_Alimentacion[[#This Row],[id_padre]]=Tabla_Alimentacion[[#This Row],[Id]],"NOK","OK")</f>
        <v>OK</v>
      </c>
    </row>
    <row r="83" spans="1:26" hidden="1" x14ac:dyDescent="0.5">
      <c r="A83" s="2">
        <f>MAX(Tabla_Descuentos[Id])</f>
        <v>1088</v>
      </c>
      <c r="B83">
        <v>1145</v>
      </c>
      <c r="C83" s="5">
        <f>IF(Tabla_Alimentacion[[#This Row],[id_padre]]="",0,_xlfn.XLOOKUP(Tabla_Alimentacion[[#This Row],[id_padre]],Tabla_Alimentacion[Id],Tabla_Alimentacion[Nivel],0,0,1)+1)</f>
        <v>3</v>
      </c>
      <c r="D83" s="2" t="s">
        <v>1023</v>
      </c>
      <c r="E83">
        <f>IF(Tabla_Alimentacion[[#This Row],[Id_anterior]]=1,ROW()-1,SUM(ROW()-1,Tabla_Alimentacion[[#This Row],[Id_anterior]]))</f>
        <v>1170</v>
      </c>
      <c r="F8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ALIMENTACION_PROCESOS_PRODUCCION_ATENCION_MESAS</v>
      </c>
      <c r="G83" s="2" t="str">
        <f>CLEAN(PROPER(Tabla_Alimentacion[[#This Row],[Nombre Opción]]))</f>
        <v>Atencion Mesas</v>
      </c>
      <c r="H83" s="2" t="s">
        <v>1735</v>
      </c>
      <c r="I83" s="2" t="str">
        <f>_xlfn.XLOOKUP(Tabla_Alimentacion[[#This Row],[id_padre]],Tabla_Alimentacion[Id],Tabla_Alimentacion[Codigo_Tecnico],"",0,1)</f>
        <v>ALIMENTACION_PROCESOS_PRODUCCION</v>
      </c>
      <c r="J8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/alimentacion/procesos/produccion/atencion-mesas</v>
      </c>
      <c r="K8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atencion-mesas</v>
      </c>
      <c r="L83" s="2" t="s">
        <v>1636</v>
      </c>
      <c r="M83" s="2" t="s">
        <v>1794</v>
      </c>
      <c r="O83" s="4" t="s">
        <v>360</v>
      </c>
      <c r="P83" s="4" t="s">
        <v>360</v>
      </c>
      <c r="Q83" s="4" t="s">
        <v>360</v>
      </c>
      <c r="R83" s="4"/>
      <c r="S83" s="4"/>
      <c r="Y83" s="4" t="s">
        <v>360</v>
      </c>
      <c r="Z83" s="2" t="str">
        <f>IF(Tabla_Alimentacion[[#This Row],[id_padre]]=Tabla_Alimentacion[[#This Row],[Id]],"NOK","OK")</f>
        <v>OK</v>
      </c>
    </row>
    <row r="84" spans="1:26" hidden="1" x14ac:dyDescent="0.5">
      <c r="A84" s="2">
        <f>MAX(Tabla_Descuentos[Id])</f>
        <v>1088</v>
      </c>
      <c r="B84">
        <v>1145</v>
      </c>
      <c r="C84" s="5">
        <f>IF(Tabla_Alimentacion[[#This Row],[id_padre]]="",0,_xlfn.XLOOKUP(Tabla_Alimentacion[[#This Row],[id_padre]],Tabla_Alimentacion[Id],Tabla_Alimentacion[Nivel],0,0,1)+1)</f>
        <v>3</v>
      </c>
      <c r="D84" s="2" t="s">
        <v>1024</v>
      </c>
      <c r="E84">
        <f>IF(Tabla_Alimentacion[[#This Row],[Id_anterior]]=1,ROW()-1,SUM(ROW()-1,Tabla_Alimentacion[[#This Row],[Id_anterior]]))</f>
        <v>1171</v>
      </c>
      <c r="F8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ALIMENTACION_PROCESOS_PRODUCCION_PLANILLA_COBRO_ALIMENTACION_EXTRAS</v>
      </c>
      <c r="G84" s="2" t="str">
        <f>CLEAN(PROPER(Tabla_Alimentacion[[#This Row],[Nombre Opción]]))</f>
        <v>Planilla Cobro Alimentacion Extras</v>
      </c>
      <c r="H84" s="2" t="s">
        <v>1735</v>
      </c>
      <c r="I84" s="2" t="str">
        <f>_xlfn.XLOOKUP(Tabla_Alimentacion[[#This Row],[id_padre]],Tabla_Alimentacion[Id],Tabla_Alimentacion[Codigo_Tecnico],"",0,1)</f>
        <v>ALIMENTACION_PROCESOS_PRODUCCION</v>
      </c>
      <c r="J8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/alimentacion/procesos/produccion/planilla-cobro-alimentacion-extras</v>
      </c>
      <c r="K8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planilla-cobro-alimentacion-extras</v>
      </c>
      <c r="L84" s="2" t="s">
        <v>1415</v>
      </c>
      <c r="M84" s="2" t="s">
        <v>1794</v>
      </c>
      <c r="O84" s="4" t="s">
        <v>360</v>
      </c>
      <c r="P84" s="4" t="s">
        <v>360</v>
      </c>
      <c r="Q84" s="4" t="s">
        <v>360</v>
      </c>
      <c r="R84" s="4"/>
      <c r="S84" s="4"/>
      <c r="Y84" s="4" t="s">
        <v>360</v>
      </c>
      <c r="Z84" s="2" t="str">
        <f>IF(Tabla_Alimentacion[[#This Row],[id_padre]]=Tabla_Alimentacion[[#This Row],[Id]],"NOK","OK")</f>
        <v>OK</v>
      </c>
    </row>
    <row r="85" spans="1:26" hidden="1" x14ac:dyDescent="0.5">
      <c r="A85" s="2">
        <f>MAX(Tabla_Descuentos[Id])</f>
        <v>1088</v>
      </c>
      <c r="B85">
        <v>1091</v>
      </c>
      <c r="C85" s="5">
        <f>IF(Tabla_Alimentacion[[#This Row],[id_padre]]="",0,_xlfn.XLOOKUP(Tabla_Alimentacion[[#This Row],[id_padre]],Tabla_Alimentacion[Id],Tabla_Alimentacion[Nivel],0,0,1)+1)</f>
        <v>2</v>
      </c>
      <c r="D85" s="2" t="s">
        <v>1612</v>
      </c>
      <c r="E85">
        <f>IF(Tabla_Alimentacion[[#This Row],[Id_anterior]]=1,ROW()-1,SUM(ROW()-1,Tabla_Alimentacion[[#This Row],[Id_anterior]]))</f>
        <v>1172</v>
      </c>
      <c r="F8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ALIMENTACION_PROCESOS_CUENTA_CORRIENTE</v>
      </c>
      <c r="G85" s="2" t="str">
        <f>CLEAN(PROPER(Tabla_Alimentacion[[#This Row],[Nombre Opción]]))</f>
        <v>Cuenta Corriente</v>
      </c>
      <c r="H85" s="2" t="s">
        <v>1735</v>
      </c>
      <c r="I85" s="2" t="str">
        <f>_xlfn.XLOOKUP(Tabla_Alimentacion[[#This Row],[id_padre]],Tabla_Alimentacion[Id],Tabla_Alimentacion[Codigo_Tecnico],"",0,1)</f>
        <v>ALIMENTACION_PROCESOS</v>
      </c>
      <c r="J8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/alimentacion/procesos/cuenta-corriente</v>
      </c>
      <c r="K8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cuenta-corriente</v>
      </c>
      <c r="L85" s="2" t="s">
        <v>1395</v>
      </c>
      <c r="M85" s="2" t="s">
        <v>1794</v>
      </c>
      <c r="O85" s="4" t="s">
        <v>360</v>
      </c>
      <c r="P85" s="4" t="s">
        <v>360</v>
      </c>
      <c r="Q85" s="4" t="s">
        <v>360</v>
      </c>
      <c r="R85" s="4"/>
      <c r="S85" s="4" t="s">
        <v>360</v>
      </c>
      <c r="Y85" s="4" t="s">
        <v>360</v>
      </c>
      <c r="Z85" s="2" t="str">
        <f>IF(Tabla_Alimentacion[[#This Row],[id_padre]]=Tabla_Alimentacion[[#This Row],[Id]],"NOK","OK")</f>
        <v>OK</v>
      </c>
    </row>
    <row r="86" spans="1:26" hidden="1" x14ac:dyDescent="0.5">
      <c r="A86" s="2">
        <f>MAX(Tabla_Descuentos[Id])</f>
        <v>1088</v>
      </c>
      <c r="B86">
        <v>1172</v>
      </c>
      <c r="C86" s="5">
        <f>IF(Tabla_Alimentacion[[#This Row],[id_padre]]="",0,_xlfn.XLOOKUP(Tabla_Alimentacion[[#This Row],[id_padre]],Tabla_Alimentacion[Id],Tabla_Alimentacion[Nivel],0,0,1)+1)</f>
        <v>3</v>
      </c>
      <c r="D86" s="2" t="s">
        <v>1035</v>
      </c>
      <c r="E86">
        <f>IF(Tabla_Alimentacion[[#This Row],[Id_anterior]]=1,ROW()-1,SUM(ROW()-1,Tabla_Alimentacion[[#This Row],[Id_anterior]]))</f>
        <v>1173</v>
      </c>
      <c r="F8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ALIMENTACION_PROCESOS_CUENTA_CORRIENTE_VENTAS_DIARIAS</v>
      </c>
      <c r="G86" s="2" t="str">
        <f>CLEAN(PROPER(Tabla_Alimentacion[[#This Row],[Nombre Opción]]))</f>
        <v>Ventas Diarias</v>
      </c>
      <c r="H86" s="2" t="s">
        <v>1735</v>
      </c>
      <c r="I86" s="2" t="str">
        <f>_xlfn.XLOOKUP(Tabla_Alimentacion[[#This Row],[id_padre]],Tabla_Alimentacion[Id],Tabla_Alimentacion[Codigo_Tecnico],"",0,1)</f>
        <v>ALIMENTACION_PROCESOS_CUENTA_CORRIENTE</v>
      </c>
      <c r="J8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/alimentacion/procesos/cuenta-corriente/ventas-diarias</v>
      </c>
      <c r="K8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ventas-diarias</v>
      </c>
      <c r="L86" s="2" t="s">
        <v>1336</v>
      </c>
      <c r="M86" s="2" t="s">
        <v>1794</v>
      </c>
      <c r="O86" s="4" t="s">
        <v>360</v>
      </c>
      <c r="P86" s="4" t="s">
        <v>360</v>
      </c>
      <c r="Q86" s="4" t="s">
        <v>360</v>
      </c>
      <c r="R86" s="4"/>
      <c r="S86" s="4" t="s">
        <v>360</v>
      </c>
      <c r="Y86" s="4" t="s">
        <v>360</v>
      </c>
      <c r="Z86" s="2" t="str">
        <f>IF(Tabla_Alimentacion[[#This Row],[id_padre]]=Tabla_Alimentacion[[#This Row],[Id]],"NOK","OK")</f>
        <v>OK</v>
      </c>
    </row>
    <row r="87" spans="1:26" hidden="1" x14ac:dyDescent="0.5">
      <c r="A87" s="2">
        <f>MAX(Tabla_Descuentos[Id])</f>
        <v>1088</v>
      </c>
      <c r="B87">
        <v>1172</v>
      </c>
      <c r="C87" s="5">
        <f>IF(Tabla_Alimentacion[[#This Row],[id_padre]]="",0,_xlfn.XLOOKUP(Tabla_Alimentacion[[#This Row],[id_padre]],Tabla_Alimentacion[Id],Tabla_Alimentacion[Nivel],0,0,1)+1)</f>
        <v>3</v>
      </c>
      <c r="D87" s="2" t="s">
        <v>1036</v>
      </c>
      <c r="E87">
        <f>IF(Tabla_Alimentacion[[#This Row],[Id_anterior]]=1,ROW()-1,SUM(ROW()-1,Tabla_Alimentacion[[#This Row],[Id_anterior]]))</f>
        <v>1174</v>
      </c>
      <c r="F8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ALIMENTACION_PROCESOS_CUENTA_CORRIENTE_ARQUEO_DIARIO_EXTRAS</v>
      </c>
      <c r="G87" s="2" t="str">
        <f>CLEAN(PROPER(Tabla_Alimentacion[[#This Row],[Nombre Opción]]))</f>
        <v>Arqueo Diario Extras</v>
      </c>
      <c r="H87" s="2" t="s">
        <v>1735</v>
      </c>
      <c r="I87" s="2" t="str">
        <f>_xlfn.XLOOKUP(Tabla_Alimentacion[[#This Row],[id_padre]],Tabla_Alimentacion[Id],Tabla_Alimentacion[Codigo_Tecnico],"",0,1)</f>
        <v>ALIMENTACION_PROCESOS_CUENTA_CORRIENTE</v>
      </c>
      <c r="J8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/alimentacion/procesos/cuenta-corriente/arqueo-diario-extras</v>
      </c>
      <c r="K8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arqueo-diario-extras</v>
      </c>
      <c r="L87" s="2" t="s">
        <v>1386</v>
      </c>
      <c r="M87" s="2" t="s">
        <v>1794</v>
      </c>
      <c r="O87" s="4" t="s">
        <v>360</v>
      </c>
      <c r="P87" s="4" t="s">
        <v>360</v>
      </c>
      <c r="Q87" s="4" t="s">
        <v>360</v>
      </c>
      <c r="R87" s="4"/>
      <c r="S87" s="4" t="s">
        <v>360</v>
      </c>
      <c r="Y87" s="4" t="s">
        <v>360</v>
      </c>
      <c r="Z87" s="2" t="str">
        <f>IF(Tabla_Alimentacion[[#This Row],[id_padre]]=Tabla_Alimentacion[[#This Row],[Id]],"NOK","OK")</f>
        <v>OK</v>
      </c>
    </row>
    <row r="88" spans="1:26" hidden="1" x14ac:dyDescent="0.5">
      <c r="A88" s="2">
        <f>MAX(Tabla_Descuentos[Id])</f>
        <v>1088</v>
      </c>
      <c r="B88">
        <v>1172</v>
      </c>
      <c r="C88" s="5">
        <f>IF(Tabla_Alimentacion[[#This Row],[id_padre]]="",0,_xlfn.XLOOKUP(Tabla_Alimentacion[[#This Row],[id_padre]],Tabla_Alimentacion[Id],Tabla_Alimentacion[Nivel],0,0,1)+1)</f>
        <v>3</v>
      </c>
      <c r="D88" s="2" t="s">
        <v>1037</v>
      </c>
      <c r="E88">
        <f>IF(Tabla_Alimentacion[[#This Row],[Id_anterior]]=1,ROW()-1,SUM(ROW()-1,Tabla_Alimentacion[[#This Row],[Id_anterior]]))</f>
        <v>1175</v>
      </c>
      <c r="F8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ALIMENTACION_PROCESOS_CUENTA_CORRIENTE_DESCUENTOS_MASIVOS</v>
      </c>
      <c r="G88" s="2" t="str">
        <f>CLEAN(PROPER(Tabla_Alimentacion[[#This Row],[Nombre Opción]]))</f>
        <v>Descuentos Masivos</v>
      </c>
      <c r="H88" s="2" t="s">
        <v>1735</v>
      </c>
      <c r="I88" s="2" t="str">
        <f>_xlfn.XLOOKUP(Tabla_Alimentacion[[#This Row],[id_padre]],Tabla_Alimentacion[Id],Tabla_Alimentacion[Codigo_Tecnico],"",0,1)</f>
        <v>ALIMENTACION_PROCESOS_CUENTA_CORRIENTE</v>
      </c>
      <c r="J8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/alimentacion/procesos/cuenta-corriente/descuentos-masivos</v>
      </c>
      <c r="K8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descuentos-masivos</v>
      </c>
      <c r="L88" s="2" t="s">
        <v>1345</v>
      </c>
      <c r="M88" s="2" t="s">
        <v>1794</v>
      </c>
      <c r="O88" s="4" t="s">
        <v>360</v>
      </c>
      <c r="P88" s="4" t="s">
        <v>360</v>
      </c>
      <c r="Q88" s="4" t="s">
        <v>360</v>
      </c>
      <c r="R88" s="4"/>
      <c r="S88" s="4" t="s">
        <v>360</v>
      </c>
      <c r="Y88" s="4" t="s">
        <v>360</v>
      </c>
      <c r="Z88" s="2" t="str">
        <f>IF(Tabla_Alimentacion[[#This Row],[id_padre]]=Tabla_Alimentacion[[#This Row],[Id]],"NOK","OK")</f>
        <v>OK</v>
      </c>
    </row>
    <row r="89" spans="1:26" hidden="1" x14ac:dyDescent="0.5">
      <c r="A89" s="2">
        <f>MAX(Tabla_Descuentos[Id])</f>
        <v>1088</v>
      </c>
      <c r="B89">
        <v>1172</v>
      </c>
      <c r="C89" s="5">
        <f>IF(Tabla_Alimentacion[[#This Row],[id_padre]]="",0,_xlfn.XLOOKUP(Tabla_Alimentacion[[#This Row],[id_padre]],Tabla_Alimentacion[Id],Tabla_Alimentacion[Nivel],0,0,1)+1)</f>
        <v>3</v>
      </c>
      <c r="D89" s="2" t="s">
        <v>1038</v>
      </c>
      <c r="E89">
        <f>IF(Tabla_Alimentacion[[#This Row],[Id_anterior]]=1,ROW()-1,SUM(ROW()-1,Tabla_Alimentacion[[#This Row],[Id_anterior]]))</f>
        <v>1176</v>
      </c>
      <c r="F8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ALIMENTACION_PROCESOS_CUENTA_CORRIENTE_ENVIO_DESCUENTOS_SIDESU</v>
      </c>
      <c r="G89" s="2" t="str">
        <f>CLEAN(PROPER(Tabla_Alimentacion[[#This Row],[Nombre Opción]]))</f>
        <v>Envio Descuentos A Sidesu</v>
      </c>
      <c r="H89" s="2" t="s">
        <v>1735</v>
      </c>
      <c r="I89" s="2" t="str">
        <f>_xlfn.XLOOKUP(Tabla_Alimentacion[[#This Row],[id_padre]],Tabla_Alimentacion[Id],Tabla_Alimentacion[Codigo_Tecnico],"",0,1)</f>
        <v>ALIMENTACION_PROCESOS_CUENTA_CORRIENTE</v>
      </c>
      <c r="J8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/alimentacion/procesos/cuenta-corriente/envio-descuentos-sidesu</v>
      </c>
      <c r="K8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envio-descuentos-sidesu</v>
      </c>
      <c r="L89" s="2" t="s">
        <v>1396</v>
      </c>
      <c r="M89" s="2" t="s">
        <v>1794</v>
      </c>
      <c r="O89" s="4" t="s">
        <v>360</v>
      </c>
      <c r="P89" s="4" t="s">
        <v>360</v>
      </c>
      <c r="Q89" s="4" t="s">
        <v>360</v>
      </c>
      <c r="R89" s="4"/>
      <c r="S89" s="4" t="s">
        <v>360</v>
      </c>
      <c r="Y89" s="4" t="s">
        <v>360</v>
      </c>
      <c r="Z89" s="2" t="str">
        <f>IF(Tabla_Alimentacion[[#This Row],[id_padre]]=Tabla_Alimentacion[[#This Row],[Id]],"NOK","OK")</f>
        <v>OK</v>
      </c>
    </row>
    <row r="90" spans="1:26" hidden="1" x14ac:dyDescent="0.5">
      <c r="A90" s="2">
        <f>MAX(Tabla_Descuentos[Id])</f>
        <v>1088</v>
      </c>
      <c r="B90">
        <v>1092</v>
      </c>
      <c r="C90" s="5">
        <f>IF(Tabla_Alimentacion[[#This Row],[id_padre]]="",0,_xlfn.XLOOKUP(Tabla_Alimentacion[[#This Row],[id_padre]],Tabla_Alimentacion[Id],Tabla_Alimentacion[Nivel],0,0,1)+1)</f>
        <v>2</v>
      </c>
      <c r="D90" s="2" t="s">
        <v>978</v>
      </c>
      <c r="E90">
        <f>IF(Tabla_Alimentacion[[#This Row],[Id_anterior]]=1,ROW()-1,SUM(ROW()-1,Tabla_Alimentacion[[#This Row],[Id_anterior]]))</f>
        <v>1177</v>
      </c>
      <c r="F9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</v>
      </c>
      <c r="G90" s="2" t="str">
        <f>CLEAN(PROPER(Tabla_Alimentacion[[#This Row],[Nombre Opción]]))</f>
        <v>Existencias</v>
      </c>
      <c r="H90" s="2" t="s">
        <v>1735</v>
      </c>
      <c r="I90" s="2" t="str">
        <f>_xlfn.XLOOKUP(Tabla_Alimentacion[[#This Row],[id_padre]],Tabla_Alimentacion[Id],Tabla_Alimentacion[Codigo_Tecnico],"",0,1)</f>
        <v>ALIMENTACION_CONSULTAS</v>
      </c>
      <c r="J9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</v>
      </c>
      <c r="K9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existencias</v>
      </c>
      <c r="L90" s="2" t="s">
        <v>1412</v>
      </c>
      <c r="M90" s="2" t="s">
        <v>1794</v>
      </c>
      <c r="O90" s="4" t="s">
        <v>360</v>
      </c>
      <c r="P90" s="4" t="s">
        <v>360</v>
      </c>
      <c r="Q90" s="4" t="s">
        <v>360</v>
      </c>
      <c r="R90" s="4" t="s">
        <v>360</v>
      </c>
      <c r="S90" s="4" t="s">
        <v>360</v>
      </c>
      <c r="T90" s="4" t="s">
        <v>360</v>
      </c>
      <c r="V90" s="4" t="s">
        <v>360</v>
      </c>
      <c r="Y90" s="4" t="s">
        <v>360</v>
      </c>
      <c r="Z90" s="2" t="str">
        <f>IF(Tabla_Alimentacion[[#This Row],[id_padre]]=Tabla_Alimentacion[[#This Row],[Id]],"NOK","OK")</f>
        <v>OK</v>
      </c>
    </row>
    <row r="91" spans="1:26" hidden="1" x14ac:dyDescent="0.5">
      <c r="A91" s="2">
        <f>MAX(Tabla_Descuentos[Id])</f>
        <v>1088</v>
      </c>
      <c r="B91">
        <v>1177</v>
      </c>
      <c r="C91" s="5">
        <f>IF(Tabla_Alimentacion[[#This Row],[id_padre]]="",0,_xlfn.XLOOKUP(Tabla_Alimentacion[[#This Row],[id_padre]],Tabla_Alimentacion[Id],Tabla_Alimentacion[Nivel],0,0,1)+1)</f>
        <v>3</v>
      </c>
      <c r="D91" s="2" t="s">
        <v>1613</v>
      </c>
      <c r="E91">
        <f>IF(Tabla_Alimentacion[[#This Row],[Id_anterior]]=1,ROW()-1,SUM(ROW()-1,Tabla_Alimentacion[[#This Row],[Id_anterior]]))</f>
        <v>1178</v>
      </c>
      <c r="F9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ALIMENTACION_CONSULTAS_EXISTENCIAS_PROVEEDOR</v>
      </c>
      <c r="G91" s="2" t="str">
        <f>CLEAN(PROPER(Tabla_Alimentacion[[#This Row],[Nombre Opción]]))</f>
        <v>Proveedor</v>
      </c>
      <c r="H91" s="2" t="s">
        <v>1735</v>
      </c>
      <c r="I91" s="2" t="str">
        <f>_xlfn.XLOOKUP(Tabla_Alimentacion[[#This Row],[id_padre]],Tabla_Alimentacion[Id],Tabla_Alimentacion[Codigo_Tecnico],"",0,1)</f>
        <v>ALIMENTACION_CONSULTAS_EXISTENCIAS</v>
      </c>
      <c r="J9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/alimentacion/consultas/existencias/proveedor</v>
      </c>
      <c r="K9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proveedor</v>
      </c>
      <c r="L91" s="2" t="s">
        <v>1348</v>
      </c>
      <c r="M91" s="2" t="s">
        <v>1794</v>
      </c>
      <c r="O91" s="4" t="s">
        <v>360</v>
      </c>
      <c r="P91" s="4" t="s">
        <v>360</v>
      </c>
      <c r="Q91" s="4" t="s">
        <v>360</v>
      </c>
      <c r="R91" s="4" t="s">
        <v>360</v>
      </c>
      <c r="S91" s="4" t="s">
        <v>360</v>
      </c>
      <c r="T91" s="4" t="s">
        <v>360</v>
      </c>
      <c r="V91" s="4" t="s">
        <v>360</v>
      </c>
      <c r="Y91" s="4" t="s">
        <v>360</v>
      </c>
      <c r="Z91" s="2" t="str">
        <f>IF(Tabla_Alimentacion[[#This Row],[id_padre]]=Tabla_Alimentacion[[#This Row],[Id]],"NOK","OK")</f>
        <v>OK</v>
      </c>
    </row>
    <row r="92" spans="1:26" hidden="1" x14ac:dyDescent="0.5">
      <c r="A92" s="2">
        <f>MAX(Tabla_Descuentos[Id])</f>
        <v>1088</v>
      </c>
      <c r="B92">
        <v>1178</v>
      </c>
      <c r="C92" s="5">
        <f>IF(Tabla_Alimentacion[[#This Row],[id_padre]]="",0,_xlfn.XLOOKUP(Tabla_Alimentacion[[#This Row],[id_padre]],Tabla_Alimentacion[Id],Tabla_Alimentacion[Nivel],0,0,1)+1)</f>
        <v>4</v>
      </c>
      <c r="D92" s="2" t="s">
        <v>1039</v>
      </c>
      <c r="E92">
        <f>IF(Tabla_Alimentacion[[#This Row],[Id_anterior]]=1,ROW()-1,SUM(ROW()-1,Tabla_Alimentacion[[#This Row],[Id_anterior]]))</f>
        <v>1179</v>
      </c>
      <c r="F9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ALIMENTACION_CONSULTAS_EXISTENCIAS_PROVEEDOR_DATOS</v>
      </c>
      <c r="G92" s="2" t="str">
        <f>CLEAN(PROPER(Tabla_Alimentacion[[#This Row],[Nombre Opción]]))</f>
        <v>Datos</v>
      </c>
      <c r="H92" s="2" t="s">
        <v>1735</v>
      </c>
      <c r="I92" s="2" t="str">
        <f>_xlfn.XLOOKUP(Tabla_Alimentacion[[#This Row],[id_padre]],Tabla_Alimentacion[Id],Tabla_Alimentacion[Codigo_Tecnico],"",0,1)</f>
        <v>ALIMENTACION_CONSULTAS_EXISTENCIAS_PROVEEDOR</v>
      </c>
      <c r="J9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/alimentacion/consultas/existencias/proveedor/datos</v>
      </c>
      <c r="K9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datos</v>
      </c>
      <c r="L92" s="2" t="s">
        <v>1333</v>
      </c>
      <c r="M92" s="2" t="s">
        <v>1794</v>
      </c>
      <c r="O92" s="4" t="s">
        <v>360</v>
      </c>
      <c r="P92" s="4" t="s">
        <v>360</v>
      </c>
      <c r="Q92" s="4" t="s">
        <v>360</v>
      </c>
      <c r="R92" s="4" t="s">
        <v>360</v>
      </c>
      <c r="S92" s="4" t="s">
        <v>360</v>
      </c>
      <c r="T92" s="4" t="s">
        <v>360</v>
      </c>
      <c r="V92" s="4" t="s">
        <v>360</v>
      </c>
      <c r="Y92" s="4" t="s">
        <v>360</v>
      </c>
      <c r="Z92" s="2" t="str">
        <f>IF(Tabla_Alimentacion[[#This Row],[id_padre]]=Tabla_Alimentacion[[#This Row],[Id]],"NOK","OK")</f>
        <v>OK</v>
      </c>
    </row>
    <row r="93" spans="1:26" hidden="1" x14ac:dyDescent="0.5">
      <c r="A93" s="2">
        <f>MAX(Tabla_Descuentos[Id])</f>
        <v>1088</v>
      </c>
      <c r="B93">
        <v>1178</v>
      </c>
      <c r="C93" s="5">
        <f>IF(Tabla_Alimentacion[[#This Row],[id_padre]]="",0,_xlfn.XLOOKUP(Tabla_Alimentacion[[#This Row],[id_padre]],Tabla_Alimentacion[Id],Tabla_Alimentacion[Nivel],0,0,1)+1)</f>
        <v>4</v>
      </c>
      <c r="D93" s="2" t="s">
        <v>1040</v>
      </c>
      <c r="E93">
        <f>IF(Tabla_Alimentacion[[#This Row],[Id_anterior]]=1,ROW()-1,SUM(ROW()-1,Tabla_Alimentacion[[#This Row],[Id_anterior]]))</f>
        <v>1180</v>
      </c>
      <c r="F9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ALIMENTACION_CONSULTAS_EXISTENCIAS_PROVEEDOR_RESUMEN_COMPRAS</v>
      </c>
      <c r="G93" s="2" t="str">
        <f>CLEAN(PROPER(Tabla_Alimentacion[[#This Row],[Nombre Opción]]))</f>
        <v>Resumen De Compras</v>
      </c>
      <c r="H93" s="2" t="s">
        <v>1735</v>
      </c>
      <c r="I93" s="2" t="str">
        <f>_xlfn.XLOOKUP(Tabla_Alimentacion[[#This Row],[id_padre]],Tabla_Alimentacion[Id],Tabla_Alimentacion[Codigo_Tecnico],"",0,1)</f>
        <v>ALIMENTACION_CONSULTAS_EXISTENCIAS_PROVEEDOR</v>
      </c>
      <c r="J9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/alimentacion/consultas/existencias/proveedor/resumen-compras</v>
      </c>
      <c r="K9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resumen-compras</v>
      </c>
      <c r="L93" s="2" t="s">
        <v>1533</v>
      </c>
      <c r="M93" s="2" t="s">
        <v>1794</v>
      </c>
      <c r="O93" s="4" t="s">
        <v>360</v>
      </c>
      <c r="P93" s="4" t="s">
        <v>360</v>
      </c>
      <c r="Q93" s="4" t="s">
        <v>360</v>
      </c>
      <c r="R93" s="4" t="s">
        <v>360</v>
      </c>
      <c r="S93" s="4" t="s">
        <v>360</v>
      </c>
      <c r="T93" s="4" t="s">
        <v>360</v>
      </c>
      <c r="Y93" s="4" t="s">
        <v>360</v>
      </c>
      <c r="Z93" s="2" t="str">
        <f>IF(Tabla_Alimentacion[[#This Row],[id_padre]]=Tabla_Alimentacion[[#This Row],[Id]],"NOK","OK")</f>
        <v>OK</v>
      </c>
    </row>
    <row r="94" spans="1:26" hidden="1" x14ac:dyDescent="0.5">
      <c r="A94" s="2">
        <f>MAX(Tabla_Descuentos[Id])</f>
        <v>1088</v>
      </c>
      <c r="B94">
        <v>1092</v>
      </c>
      <c r="C94" s="5">
        <f>IF(Tabla_Alimentacion[[#This Row],[id_padre]]="",0,_xlfn.XLOOKUP(Tabla_Alimentacion[[#This Row],[id_padre]],Tabla_Alimentacion[Id],Tabla_Alimentacion[Nivel],0,0,1)+1)</f>
        <v>2</v>
      </c>
      <c r="D94" s="2" t="s">
        <v>1614</v>
      </c>
      <c r="E94">
        <f>IF(Tabla_Alimentacion[[#This Row],[Id_anterior]]=1,ROW()-1,SUM(ROW()-1,Tabla_Alimentacion[[#This Row],[Id_anterior]]))</f>
        <v>1181</v>
      </c>
      <c r="F9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ALIMENTACION_CONSULTAS_MOVIMIENTO</v>
      </c>
      <c r="G94" s="2" t="str">
        <f>CLEAN(PROPER(Tabla_Alimentacion[[#This Row],[Nombre Opción]]))</f>
        <v>Movimiento</v>
      </c>
      <c r="H94" s="2" t="s">
        <v>1735</v>
      </c>
      <c r="I94" s="2" t="str">
        <f>_xlfn.XLOOKUP(Tabla_Alimentacion[[#This Row],[id_padre]],Tabla_Alimentacion[Id],Tabla_Alimentacion[Codigo_Tecnico],"",0,1)</f>
        <v>ALIMENTACION_CONSULTAS</v>
      </c>
      <c r="J9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/alimentacion/consultas/movimiento</v>
      </c>
      <c r="K9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</v>
      </c>
      <c r="L94" s="2" t="s">
        <v>1379</v>
      </c>
      <c r="M94" s="2" t="s">
        <v>1794</v>
      </c>
      <c r="N94" s="4" t="s">
        <v>360</v>
      </c>
      <c r="O94" s="4" t="s">
        <v>360</v>
      </c>
      <c r="P94" s="4" t="s">
        <v>360</v>
      </c>
      <c r="Q94" s="4" t="s">
        <v>360</v>
      </c>
      <c r="R94" s="4" t="s">
        <v>360</v>
      </c>
      <c r="S94" s="4" t="s">
        <v>360</v>
      </c>
      <c r="U94" s="4" t="s">
        <v>360</v>
      </c>
      <c r="W94" s="4" t="s">
        <v>360</v>
      </c>
      <c r="Y94" s="4" t="s">
        <v>360</v>
      </c>
      <c r="Z94" s="2" t="str">
        <f>IF(Tabla_Alimentacion[[#This Row],[id_padre]]=Tabla_Alimentacion[[#This Row],[Id]],"NOK","OK")</f>
        <v>OK</v>
      </c>
    </row>
    <row r="95" spans="1:26" hidden="1" x14ac:dyDescent="0.5">
      <c r="A95" s="2">
        <f>MAX(Tabla_Descuentos[Id])</f>
        <v>1088</v>
      </c>
      <c r="B95">
        <v>1181</v>
      </c>
      <c r="C95" s="5">
        <f>IF(Tabla_Alimentacion[[#This Row],[id_padre]]="",0,_xlfn.XLOOKUP(Tabla_Alimentacion[[#This Row],[id_padre]],Tabla_Alimentacion[Id],Tabla_Alimentacion[Nivel],0,0,1)+1)</f>
        <v>3</v>
      </c>
      <c r="D95" s="2" t="s">
        <v>1041</v>
      </c>
      <c r="E95">
        <f>IF(Tabla_Alimentacion[[#This Row],[Id_anterior]]=1,ROW()-1,SUM(ROW()-1,Tabla_Alimentacion[[#This Row],[Id_anterior]]))</f>
        <v>1182</v>
      </c>
      <c r="F9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ALIMENTACION_CONSULTAS_MOVIMIENTO_POR_NUMERO_ENLACE</v>
      </c>
      <c r="G95" s="2" t="str">
        <f>CLEAN(PROPER(Tabla_Alimentacion[[#This Row],[Nombre Opción]]))</f>
        <v>Por Numero De Enlace</v>
      </c>
      <c r="H95" s="2" t="s">
        <v>1735</v>
      </c>
      <c r="I95" s="2" t="str">
        <f>_xlfn.XLOOKUP(Tabla_Alimentacion[[#This Row],[id_padre]],Tabla_Alimentacion[Id],Tabla_Alimentacion[Codigo_Tecnico],"",0,1)</f>
        <v>ALIMENTACION_CONSULTAS_MOVIMIENTO</v>
      </c>
      <c r="J9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/alimentacion/consultas/movimiento/por-numero-enlace</v>
      </c>
      <c r="K9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por-numero-enlace</v>
      </c>
      <c r="L95" s="2" t="s">
        <v>1555</v>
      </c>
      <c r="M95" s="2" t="s">
        <v>1794</v>
      </c>
      <c r="N95" s="4" t="s">
        <v>360</v>
      </c>
      <c r="O95" s="4" t="s">
        <v>360</v>
      </c>
      <c r="P95" s="4" t="s">
        <v>360</v>
      </c>
      <c r="Q95" s="4" t="s">
        <v>360</v>
      </c>
      <c r="R95" s="4" t="s">
        <v>360</v>
      </c>
      <c r="S95" s="4" t="s">
        <v>360</v>
      </c>
      <c r="U95" s="4" t="s">
        <v>360</v>
      </c>
      <c r="W95" s="4" t="s">
        <v>360</v>
      </c>
      <c r="Y95" s="4" t="s">
        <v>360</v>
      </c>
      <c r="Z95" s="2" t="str">
        <f>IF(Tabla_Alimentacion[[#This Row],[id_padre]]=Tabla_Alimentacion[[#This Row],[Id]],"NOK","OK")</f>
        <v>OK</v>
      </c>
    </row>
    <row r="96" spans="1:26" hidden="1" x14ac:dyDescent="0.5">
      <c r="A96" s="2">
        <f>MAX(Tabla_Descuentos[Id])</f>
        <v>1088</v>
      </c>
      <c r="B96">
        <v>1181</v>
      </c>
      <c r="C96" s="5">
        <f>IF(Tabla_Alimentacion[[#This Row],[id_padre]]="",0,_xlfn.XLOOKUP(Tabla_Alimentacion[[#This Row],[id_padre]],Tabla_Alimentacion[Id],Tabla_Alimentacion[Nivel],0,0,1)+1)</f>
        <v>3</v>
      </c>
      <c r="D96" s="2" t="s">
        <v>1042</v>
      </c>
      <c r="E96">
        <f>IF(Tabla_Alimentacion[[#This Row],[Id_anterior]]=1,ROW()-1,SUM(ROW()-1,Tabla_Alimentacion[[#This Row],[Id_anterior]]))</f>
        <v>1183</v>
      </c>
      <c r="F9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ALIMENTACION_CONSULTAS_MOVIMIENTO_POR_TIPO</v>
      </c>
      <c r="G96" s="2" t="str">
        <f>CLEAN(PROPER(Tabla_Alimentacion[[#This Row],[Nombre Opción]]))</f>
        <v>Por Tipo</v>
      </c>
      <c r="H96" s="2" t="s">
        <v>1735</v>
      </c>
      <c r="I96" s="2" t="str">
        <f>_xlfn.XLOOKUP(Tabla_Alimentacion[[#This Row],[id_padre]],Tabla_Alimentacion[Id],Tabla_Alimentacion[Codigo_Tecnico],"",0,1)</f>
        <v>ALIMENTACION_CONSULTAS_MOVIMIENTO</v>
      </c>
      <c r="J9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/alimentacion/consultas/movimiento/por-tipo</v>
      </c>
      <c r="K9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por-tipo</v>
      </c>
      <c r="L96" s="2" t="s">
        <v>1407</v>
      </c>
      <c r="M96" s="2" t="s">
        <v>1794</v>
      </c>
      <c r="N96" s="4" t="s">
        <v>360</v>
      </c>
      <c r="O96" s="4" t="s">
        <v>360</v>
      </c>
      <c r="P96" s="4" t="s">
        <v>360</v>
      </c>
      <c r="Q96" s="4" t="s">
        <v>360</v>
      </c>
      <c r="R96" s="4" t="s">
        <v>360</v>
      </c>
      <c r="S96" s="4" t="s">
        <v>360</v>
      </c>
      <c r="U96" s="4" t="s">
        <v>360</v>
      </c>
      <c r="W96" s="4" t="s">
        <v>360</v>
      </c>
      <c r="Y96" s="4" t="s">
        <v>360</v>
      </c>
      <c r="Z96" s="2" t="str">
        <f>IF(Tabla_Alimentacion[[#This Row],[id_padre]]=Tabla_Alimentacion[[#This Row],[Id]],"NOK","OK")</f>
        <v>OK</v>
      </c>
    </row>
    <row r="97" spans="1:26" hidden="1" x14ac:dyDescent="0.5">
      <c r="A97" s="2">
        <f>MAX(Tabla_Descuentos[Id])</f>
        <v>1088</v>
      </c>
      <c r="B97">
        <v>1181</v>
      </c>
      <c r="C97" s="5">
        <f>IF(Tabla_Alimentacion[[#This Row],[id_padre]]="",0,_xlfn.XLOOKUP(Tabla_Alimentacion[[#This Row],[id_padre]],Tabla_Alimentacion[Id],Tabla_Alimentacion[Nivel],0,0,1)+1)</f>
        <v>3</v>
      </c>
      <c r="D97" s="2" t="s">
        <v>1043</v>
      </c>
      <c r="E97">
        <f>IF(Tabla_Alimentacion[[#This Row],[Id_anterior]]=1,ROW()-1,SUM(ROW()-1,Tabla_Alimentacion[[#This Row],[Id_anterior]]))</f>
        <v>1184</v>
      </c>
      <c r="F9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ALIMENTACION_CONSULTAS_MOVIMIENTO_POR_MENU</v>
      </c>
      <c r="G97" s="2" t="str">
        <f>CLEAN(PROPER(Tabla_Alimentacion[[#This Row],[Nombre Opción]]))</f>
        <v>Por Menu</v>
      </c>
      <c r="H97" s="2" t="s">
        <v>1735</v>
      </c>
      <c r="I97" s="2" t="str">
        <f>_xlfn.XLOOKUP(Tabla_Alimentacion[[#This Row],[id_padre]],Tabla_Alimentacion[Id],Tabla_Alimentacion[Codigo_Tecnico],"",0,1)</f>
        <v>ALIMENTACION_CONSULTAS_MOVIMIENTO</v>
      </c>
      <c r="J9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/alimentacion/consultas/movimiento/por-menu</v>
      </c>
      <c r="K9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por-menu</v>
      </c>
      <c r="L97" s="2" t="s">
        <v>1627</v>
      </c>
      <c r="M97" s="2" t="s">
        <v>1794</v>
      </c>
      <c r="N97" s="4" t="s">
        <v>360</v>
      </c>
      <c r="O97" s="4" t="s">
        <v>360</v>
      </c>
      <c r="P97" s="4" t="s">
        <v>360</v>
      </c>
      <c r="Q97" s="4" t="s">
        <v>360</v>
      </c>
      <c r="R97" s="4" t="s">
        <v>360</v>
      </c>
      <c r="S97" s="4" t="s">
        <v>360</v>
      </c>
      <c r="U97" s="4" t="s">
        <v>360</v>
      </c>
      <c r="W97" s="4" t="s">
        <v>360</v>
      </c>
      <c r="Y97" s="4" t="s">
        <v>360</v>
      </c>
      <c r="Z97" s="2" t="str">
        <f>IF(Tabla_Alimentacion[[#This Row],[id_padre]]=Tabla_Alimentacion[[#This Row],[Id]],"NOK","OK")</f>
        <v>OK</v>
      </c>
    </row>
    <row r="98" spans="1:26" hidden="1" x14ac:dyDescent="0.5">
      <c r="A98" s="2">
        <f>MAX(Tabla_Descuentos[Id])</f>
        <v>1088</v>
      </c>
      <c r="B98">
        <v>1181</v>
      </c>
      <c r="C98" s="5">
        <f>IF(Tabla_Alimentacion[[#This Row],[id_padre]]="",0,_xlfn.XLOOKUP(Tabla_Alimentacion[[#This Row],[id_padre]],Tabla_Alimentacion[Id],Tabla_Alimentacion[Nivel],0,0,1)+1)</f>
        <v>3</v>
      </c>
      <c r="D98" s="2" t="s">
        <v>1044</v>
      </c>
      <c r="E98">
        <f>IF(Tabla_Alimentacion[[#This Row],[Id_anterior]]=1,ROW()-1,SUM(ROW()-1,Tabla_Alimentacion[[#This Row],[Id_anterior]]))</f>
        <v>1185</v>
      </c>
      <c r="F9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ALIMENTACION_CONSULTAS_MOVIMIENTO_POR_CENTRO_CONSUMO</v>
      </c>
      <c r="G98" s="2" t="str">
        <f>CLEAN(PROPER(Tabla_Alimentacion[[#This Row],[Nombre Opción]]))</f>
        <v>Por Centro De Consumo</v>
      </c>
      <c r="H98" s="2" t="s">
        <v>1735</v>
      </c>
      <c r="I98" s="2" t="str">
        <f>_xlfn.XLOOKUP(Tabla_Alimentacion[[#This Row],[id_padre]],Tabla_Alimentacion[Id],Tabla_Alimentacion[Codigo_Tecnico],"",0,1)</f>
        <v>ALIMENTACION_CONSULTAS_MOVIMIENTO</v>
      </c>
      <c r="J9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/alimentacion/consultas/movimiento/por-centro-consumo</v>
      </c>
      <c r="K9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por-centro-consumo</v>
      </c>
      <c r="L98" s="2" t="s">
        <v>1389</v>
      </c>
      <c r="M98" s="2" t="s">
        <v>1794</v>
      </c>
      <c r="N98" s="4" t="s">
        <v>360</v>
      </c>
      <c r="O98" s="4" t="s">
        <v>360</v>
      </c>
      <c r="P98" s="4" t="s">
        <v>360</v>
      </c>
      <c r="Q98" s="4" t="s">
        <v>360</v>
      </c>
      <c r="R98" s="4" t="s">
        <v>360</v>
      </c>
      <c r="S98" s="4" t="s">
        <v>360</v>
      </c>
      <c r="U98" s="4" t="s">
        <v>360</v>
      </c>
      <c r="W98" s="4" t="s">
        <v>360</v>
      </c>
      <c r="Y98" s="4" t="s">
        <v>360</v>
      </c>
      <c r="Z98" s="2" t="str">
        <f>IF(Tabla_Alimentacion[[#This Row],[id_padre]]=Tabla_Alimentacion[[#This Row],[Id]],"NOK","OK")</f>
        <v>OK</v>
      </c>
    </row>
    <row r="99" spans="1:26" hidden="1" x14ac:dyDescent="0.5">
      <c r="A99" s="2">
        <f>MAX(Tabla_Descuentos[Id])</f>
        <v>1088</v>
      </c>
      <c r="B99">
        <v>1181</v>
      </c>
      <c r="C99" s="5">
        <f>IF(Tabla_Alimentacion[[#This Row],[id_padre]]="",0,_xlfn.XLOOKUP(Tabla_Alimentacion[[#This Row],[id_padre]],Tabla_Alimentacion[Id],Tabla_Alimentacion[Nivel],0,0,1)+1)</f>
        <v>3</v>
      </c>
      <c r="D99" s="2" t="s">
        <v>1045</v>
      </c>
      <c r="E99">
        <f>IF(Tabla_Alimentacion[[#This Row],[Id_anterior]]=1,ROW()-1,SUM(ROW()-1,Tabla_Alimentacion[[#This Row],[Id_anterior]]))</f>
        <v>1186</v>
      </c>
      <c r="F9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ALIMENTACION_CONSULTAS_MOVIMIENTO_POR_ARTICULO</v>
      </c>
      <c r="G99" s="2" t="str">
        <f>CLEAN(PROPER(Tabla_Alimentacion[[#This Row],[Nombre Opción]]))</f>
        <v>Por Articulo</v>
      </c>
      <c r="H99" s="2" t="s">
        <v>1735</v>
      </c>
      <c r="I99" s="2" t="str">
        <f>_xlfn.XLOOKUP(Tabla_Alimentacion[[#This Row],[id_padre]],Tabla_Alimentacion[Id],Tabla_Alimentacion[Codigo_Tecnico],"",0,1)</f>
        <v>ALIMENTACION_CONSULTAS_MOVIMIENTO</v>
      </c>
      <c r="J9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/alimentacion/consultas/movimiento/por-articulo</v>
      </c>
      <c r="K9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por-articulo</v>
      </c>
      <c r="L99" s="2" t="s">
        <v>1626</v>
      </c>
      <c r="M99" s="2" t="s">
        <v>1794</v>
      </c>
      <c r="N99" s="4" t="s">
        <v>360</v>
      </c>
      <c r="O99" s="4" t="s">
        <v>360</v>
      </c>
      <c r="P99" s="4" t="s">
        <v>360</v>
      </c>
      <c r="Q99" s="4" t="s">
        <v>360</v>
      </c>
      <c r="R99" s="4" t="s">
        <v>360</v>
      </c>
      <c r="S99" s="4" t="s">
        <v>360</v>
      </c>
      <c r="U99" s="4" t="s">
        <v>360</v>
      </c>
      <c r="W99" s="4" t="s">
        <v>360</v>
      </c>
      <c r="Y99" s="4" t="s">
        <v>360</v>
      </c>
      <c r="Z99" s="2" t="str">
        <f>IF(Tabla_Alimentacion[[#This Row],[id_padre]]=Tabla_Alimentacion[[#This Row],[Id]],"NOK","OK")</f>
        <v>OK</v>
      </c>
    </row>
    <row r="100" spans="1:26" hidden="1" x14ac:dyDescent="0.5">
      <c r="A100" s="2">
        <f>MAX(Tabla_Descuentos[Id])</f>
        <v>1088</v>
      </c>
      <c r="B100">
        <v>1177</v>
      </c>
      <c r="C100" s="5">
        <f>IF(Tabla_Alimentacion[[#This Row],[id_padre]]="",0,_xlfn.XLOOKUP(Tabla_Alimentacion[[#This Row],[id_padre]],Tabla_Alimentacion[Id],Tabla_Alimentacion[Nivel],0,0,1)+1)</f>
        <v>3</v>
      </c>
      <c r="D100" s="2" t="s">
        <v>980</v>
      </c>
      <c r="E100">
        <f>IF(Tabla_Alimentacion[[#This Row],[Id_anterior]]=1,ROW()-1,SUM(ROW()-1,Tabla_Alimentacion[[#This Row],[Id_anterior]]))</f>
        <v>1187</v>
      </c>
      <c r="F10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ALIMENTACION_CONSULTAS_EXISTENCIAS_ARTICULOS</v>
      </c>
      <c r="G100" s="2" t="str">
        <f>CLEAN(PROPER(Tabla_Alimentacion[[#This Row],[Nombre Opción]]))</f>
        <v>Articulos</v>
      </c>
      <c r="H100" s="2" t="s">
        <v>1735</v>
      </c>
      <c r="I100" s="2" t="str">
        <f>_xlfn.XLOOKUP(Tabla_Alimentacion[[#This Row],[id_padre]],Tabla_Alimentacion[Id],Tabla_Alimentacion[Codigo_Tecnico],"",0,1)</f>
        <v>ALIMENTACION_CONSULTAS_EXISTENCIAS</v>
      </c>
      <c r="J10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/alimentacion/consultas/existencias/articulos</v>
      </c>
      <c r="K10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articulos</v>
      </c>
      <c r="L100" s="2" t="s">
        <v>1626</v>
      </c>
      <c r="M100" s="2" t="s">
        <v>1794</v>
      </c>
      <c r="N100" s="4" t="s">
        <v>360</v>
      </c>
      <c r="O100" s="4" t="s">
        <v>360</v>
      </c>
      <c r="P100" s="4" t="s">
        <v>360</v>
      </c>
      <c r="Q100" s="4" t="s">
        <v>360</v>
      </c>
      <c r="R100" s="4" t="s">
        <v>360</v>
      </c>
      <c r="S100" s="4" t="s">
        <v>360</v>
      </c>
      <c r="U100" s="4" t="s">
        <v>360</v>
      </c>
      <c r="Y100" s="4" t="s">
        <v>360</v>
      </c>
      <c r="Z100" s="2" t="str">
        <f>IF(Tabla_Alimentacion[[#This Row],[id_padre]]=Tabla_Alimentacion[[#This Row],[Id]],"NOK","OK")</f>
        <v>OK</v>
      </c>
    </row>
    <row r="101" spans="1:26" hidden="1" x14ac:dyDescent="0.5">
      <c r="A101" s="2">
        <f>MAX(Tabla_Descuentos[Id])</f>
        <v>1088</v>
      </c>
      <c r="B101">
        <v>1187</v>
      </c>
      <c r="C101" s="5">
        <f>IF(Tabla_Alimentacion[[#This Row],[id_padre]]="",0,_xlfn.XLOOKUP(Tabla_Alimentacion[[#This Row],[id_padre]],Tabla_Alimentacion[Id],Tabla_Alimentacion[Nivel],0,0,1)+1)</f>
        <v>4</v>
      </c>
      <c r="D101" s="2" t="s">
        <v>980</v>
      </c>
      <c r="E101">
        <f>IF(Tabla_Alimentacion[[#This Row],[Id_anterior]]=1,ROW()-1,SUM(ROW()-1,Tabla_Alimentacion[[#This Row],[Id_anterior]]))</f>
        <v>1188</v>
      </c>
      <c r="F10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ALIMENTACION_CONSULTAS_EXISTENCIAS_ARTICULOS_ARTICULOS</v>
      </c>
      <c r="G101" s="2" t="str">
        <f>CLEAN(PROPER(Tabla_Alimentacion[[#This Row],[Nombre Opción]]))</f>
        <v>Articulos</v>
      </c>
      <c r="H101" s="2" t="s">
        <v>1735</v>
      </c>
      <c r="I101" s="2" t="str">
        <f>_xlfn.XLOOKUP(Tabla_Alimentacion[[#This Row],[id_padre]],Tabla_Alimentacion[Id],Tabla_Alimentacion[Codigo_Tecnico],"",0,1)</f>
        <v>ALIMENTACION_CONSULTAS_EXISTENCIAS_ARTICULOS</v>
      </c>
      <c r="J10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/alimentacion/consultas/existencias/articulos/articulos</v>
      </c>
      <c r="K10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articulos</v>
      </c>
      <c r="L101" s="2" t="s">
        <v>1488</v>
      </c>
      <c r="M101" s="2" t="s">
        <v>1794</v>
      </c>
      <c r="N101" s="4" t="s">
        <v>360</v>
      </c>
      <c r="O101" s="4" t="s">
        <v>360</v>
      </c>
      <c r="P101" s="4" t="s">
        <v>360</v>
      </c>
      <c r="Q101" s="4" t="s">
        <v>360</v>
      </c>
      <c r="R101" s="4" t="s">
        <v>360</v>
      </c>
      <c r="S101" s="4" t="s">
        <v>360</v>
      </c>
      <c r="U101" s="4" t="s">
        <v>360</v>
      </c>
      <c r="Y101" s="4" t="s">
        <v>360</v>
      </c>
      <c r="Z101" s="2" t="str">
        <f>IF(Tabla_Alimentacion[[#This Row],[id_padre]]=Tabla_Alimentacion[[#This Row],[Id]],"NOK","OK")</f>
        <v>OK</v>
      </c>
    </row>
    <row r="102" spans="1:26" hidden="1" x14ac:dyDescent="0.5">
      <c r="A102" s="2">
        <f>MAX(Tabla_Descuentos[Id])</f>
        <v>1088</v>
      </c>
      <c r="B102">
        <v>1187</v>
      </c>
      <c r="C102" s="5">
        <f>IF(Tabla_Alimentacion[[#This Row],[id_padre]]="",0,_xlfn.XLOOKUP(Tabla_Alimentacion[[#This Row],[id_padre]],Tabla_Alimentacion[Id],Tabla_Alimentacion[Nivel],0,0,1)+1)</f>
        <v>4</v>
      </c>
      <c r="D102" s="2" t="s">
        <v>1046</v>
      </c>
      <c r="E102">
        <f>IF(Tabla_Alimentacion[[#This Row],[Id_anterior]]=1,ROW()-1,SUM(ROW()-1,Tabla_Alimentacion[[#This Row],[Id_anterior]]))</f>
        <v>1189</v>
      </c>
      <c r="F10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ALIMENTACION_CONSULTAS_EXISTENCIAS_ARTICULOS_STOCK</v>
      </c>
      <c r="G102" s="2" t="str">
        <f>CLEAN(PROPER(Tabla_Alimentacion[[#This Row],[Nombre Opción]]))</f>
        <v>Stock</v>
      </c>
      <c r="H102" s="2" t="s">
        <v>1735</v>
      </c>
      <c r="I102" s="2" t="str">
        <f>_xlfn.XLOOKUP(Tabla_Alimentacion[[#This Row],[id_padre]],Tabla_Alimentacion[Id],Tabla_Alimentacion[Codigo_Tecnico],"",0,1)</f>
        <v>ALIMENTACION_CONSULTAS_EXISTENCIAS_ARTICULOS</v>
      </c>
      <c r="J10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/alimentacion/consultas/existencias/articulos/stock</v>
      </c>
      <c r="K10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stock</v>
      </c>
      <c r="L102" s="2" t="s">
        <v>1637</v>
      </c>
      <c r="M102" s="2" t="s">
        <v>1794</v>
      </c>
      <c r="N102" s="4" t="s">
        <v>360</v>
      </c>
      <c r="O102" s="4" t="s">
        <v>360</v>
      </c>
      <c r="P102" s="4" t="s">
        <v>360</v>
      </c>
      <c r="Q102" s="4" t="s">
        <v>360</v>
      </c>
      <c r="R102" s="4" t="s">
        <v>360</v>
      </c>
      <c r="S102" s="4" t="s">
        <v>360</v>
      </c>
      <c r="U102" s="4" t="s">
        <v>360</v>
      </c>
      <c r="Y102" s="4" t="s">
        <v>360</v>
      </c>
      <c r="Z102" s="2" t="str">
        <f>IF(Tabla_Alimentacion[[#This Row],[id_padre]]=Tabla_Alimentacion[[#This Row],[Id]],"NOK","OK")</f>
        <v>OK</v>
      </c>
    </row>
    <row r="103" spans="1:26" hidden="1" x14ac:dyDescent="0.5">
      <c r="A103" s="2">
        <f>MAX(Tabla_Descuentos[Id])</f>
        <v>1088</v>
      </c>
      <c r="B103">
        <v>1187</v>
      </c>
      <c r="C103" s="5">
        <f>IF(Tabla_Alimentacion[[#This Row],[id_padre]]="",0,_xlfn.XLOOKUP(Tabla_Alimentacion[[#This Row],[id_padre]],Tabla_Alimentacion[Id],Tabla_Alimentacion[Nivel],0,0,1)+1)</f>
        <v>4</v>
      </c>
      <c r="D103" s="2" t="s">
        <v>1047</v>
      </c>
      <c r="E103">
        <f>IF(Tabla_Alimentacion[[#This Row],[Id_anterior]]=1,ROW()-1,SUM(ROW()-1,Tabla_Alimentacion[[#This Row],[Id_anterior]]))</f>
        <v>1190</v>
      </c>
      <c r="F10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ALIMENTACION_CONSULTAS_EXISTENCIAS_ARTICULOS_DIFERENCIAS_TOMA_EXISTENCIA</v>
      </c>
      <c r="G103" s="2" t="str">
        <f>CLEAN(PROPER(Tabla_Alimentacion[[#This Row],[Nombre Opción]]))</f>
        <v>Diferencias Toma Existencia</v>
      </c>
      <c r="H103" s="2" t="s">
        <v>1735</v>
      </c>
      <c r="I103" s="2" t="str">
        <f>_xlfn.XLOOKUP(Tabla_Alimentacion[[#This Row],[id_padre]],Tabla_Alimentacion[Id],Tabla_Alimentacion[Codigo_Tecnico],"",0,1)</f>
        <v>ALIMENTACION_CONSULTAS_EXISTENCIAS_ARTICULOS</v>
      </c>
      <c r="J10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/alimentacion/consultas/existencias/articulos/diferencias-toma-existencia</v>
      </c>
      <c r="K10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diferencias-toma-existencia</v>
      </c>
      <c r="L103" s="2" t="s">
        <v>1638</v>
      </c>
      <c r="M103" s="2" t="s">
        <v>1794</v>
      </c>
      <c r="N103" s="4" t="s">
        <v>360</v>
      </c>
      <c r="O103" s="4" t="s">
        <v>360</v>
      </c>
      <c r="P103" s="4" t="s">
        <v>360</v>
      </c>
      <c r="Q103" s="4" t="s">
        <v>360</v>
      </c>
      <c r="R103" s="4" t="s">
        <v>360</v>
      </c>
      <c r="S103" s="4" t="s">
        <v>360</v>
      </c>
      <c r="U103" s="4" t="s">
        <v>360</v>
      </c>
      <c r="Y103" s="4" t="s">
        <v>360</v>
      </c>
      <c r="Z103" s="2" t="str">
        <f>IF(Tabla_Alimentacion[[#This Row],[id_padre]]=Tabla_Alimentacion[[#This Row],[Id]],"NOK","OK")</f>
        <v>OK</v>
      </c>
    </row>
    <row r="104" spans="1:26" hidden="1" x14ac:dyDescent="0.5">
      <c r="A104" s="2">
        <f>MAX(Tabla_Descuentos[Id])</f>
        <v>1088</v>
      </c>
      <c r="B104">
        <v>1177</v>
      </c>
      <c r="C104" s="5">
        <f>IF(Tabla_Alimentacion[[#This Row],[id_padre]]="",0,_xlfn.XLOOKUP(Tabla_Alimentacion[[#This Row],[id_padre]],Tabla_Alimentacion[Id],Tabla_Alimentacion[Nivel],0,0,1)+1)</f>
        <v>3</v>
      </c>
      <c r="D104" s="2" t="s">
        <v>1615</v>
      </c>
      <c r="E104">
        <f>IF(Tabla_Alimentacion[[#This Row],[Id_anterior]]=1,ROW()-1,SUM(ROW()-1,Tabla_Alimentacion[[#This Row],[Id_anterior]]))</f>
        <v>1191</v>
      </c>
      <c r="F10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ALIMENTACION_CONSULTAS_EXISTENCIAS_FAMILIA</v>
      </c>
      <c r="G104" s="2" t="str">
        <f>CLEAN(PROPER(Tabla_Alimentacion[[#This Row],[Nombre Opción]]))</f>
        <v>Familia</v>
      </c>
      <c r="H104" s="2" t="s">
        <v>1735</v>
      </c>
      <c r="I104" s="2" t="str">
        <f>_xlfn.XLOOKUP(Tabla_Alimentacion[[#This Row],[id_padre]],Tabla_Alimentacion[Id],Tabla_Alimentacion[Codigo_Tecnico],"",0,1)</f>
        <v>ALIMENTACION_CONSULTAS_EXISTENCIAS</v>
      </c>
      <c r="J10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/alimentacion/consultas/existencias/familia</v>
      </c>
      <c r="K10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familia</v>
      </c>
      <c r="L104" s="2" t="s">
        <v>1338</v>
      </c>
      <c r="M104" s="2" t="s">
        <v>1794</v>
      </c>
      <c r="N104" s="4" t="s">
        <v>360</v>
      </c>
      <c r="O104" s="4" t="s">
        <v>360</v>
      </c>
      <c r="P104" s="4" t="s">
        <v>360</v>
      </c>
      <c r="Q104" s="4" t="s">
        <v>360</v>
      </c>
      <c r="R104" s="4" t="s">
        <v>360</v>
      </c>
      <c r="S104" s="4" t="s">
        <v>360</v>
      </c>
      <c r="Y104" s="4" t="s">
        <v>360</v>
      </c>
      <c r="Z104" s="2" t="str">
        <f>IF(Tabla_Alimentacion[[#This Row],[id_padre]]=Tabla_Alimentacion[[#This Row],[Id]],"NOK","OK")</f>
        <v>OK</v>
      </c>
    </row>
    <row r="105" spans="1:26" hidden="1" x14ac:dyDescent="0.5">
      <c r="A105" s="2">
        <f>MAX(Tabla_Descuentos[Id])</f>
        <v>1088</v>
      </c>
      <c r="B105">
        <v>1191</v>
      </c>
      <c r="C105" s="5">
        <f>IF(Tabla_Alimentacion[[#This Row],[id_padre]]="",0,_xlfn.XLOOKUP(Tabla_Alimentacion[[#This Row],[id_padre]],Tabla_Alimentacion[Id],Tabla_Alimentacion[Nivel],0,0,1)+1)</f>
        <v>4</v>
      </c>
      <c r="D105" s="2" t="s">
        <v>1048</v>
      </c>
      <c r="E105">
        <f>IF(Tabla_Alimentacion[[#This Row],[Id_anterior]]=1,ROW()-1,SUM(ROW()-1,Tabla_Alimentacion[[#This Row],[Id_anterior]]))</f>
        <v>1192</v>
      </c>
      <c r="F10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ALIMENTACION_CONSULTAS_EXISTENCIAS_FAMILIA_RESUMEN</v>
      </c>
      <c r="G105" s="2" t="str">
        <f>CLEAN(PROPER(Tabla_Alimentacion[[#This Row],[Nombre Opción]]))</f>
        <v>Resumen</v>
      </c>
      <c r="H105" s="2" t="s">
        <v>1735</v>
      </c>
      <c r="I105" s="2" t="str">
        <f>_xlfn.XLOOKUP(Tabla_Alimentacion[[#This Row],[id_padre]],Tabla_Alimentacion[Id],Tabla_Alimentacion[Codigo_Tecnico],"",0,1)</f>
        <v>ALIMENTACION_CONSULTAS_EXISTENCIAS_FAMILIA</v>
      </c>
      <c r="J10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/alimentacion/consultas/existencias/familia/resumen</v>
      </c>
      <c r="K10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</v>
      </c>
      <c r="L105" s="2" t="s">
        <v>1387</v>
      </c>
      <c r="M105" s="2" t="s">
        <v>1794</v>
      </c>
      <c r="N105" s="4" t="s">
        <v>360</v>
      </c>
      <c r="O105" s="4" t="s">
        <v>360</v>
      </c>
      <c r="P105" s="4" t="s">
        <v>360</v>
      </c>
      <c r="Q105" s="4" t="s">
        <v>360</v>
      </c>
      <c r="R105" s="4" t="s">
        <v>360</v>
      </c>
      <c r="S105" s="4" t="s">
        <v>360</v>
      </c>
      <c r="Y105" s="4" t="s">
        <v>360</v>
      </c>
      <c r="Z105" s="2" t="str">
        <f>IF(Tabla_Alimentacion[[#This Row],[id_padre]]=Tabla_Alimentacion[[#This Row],[Id]],"NOK","OK")</f>
        <v>OK</v>
      </c>
    </row>
    <row r="106" spans="1:26" hidden="1" x14ac:dyDescent="0.5">
      <c r="A106" s="2">
        <f>MAX(Tabla_Descuentos[Id])</f>
        <v>1088</v>
      </c>
      <c r="B106">
        <v>1191</v>
      </c>
      <c r="C106" s="5">
        <f>IF(Tabla_Alimentacion[[#This Row],[id_padre]]="",0,_xlfn.XLOOKUP(Tabla_Alimentacion[[#This Row],[id_padre]],Tabla_Alimentacion[Id],Tabla_Alimentacion[Nivel],0,0,1)+1)</f>
        <v>4</v>
      </c>
      <c r="D106" s="2" t="s">
        <v>1049</v>
      </c>
      <c r="E106">
        <f>IF(Tabla_Alimentacion[[#This Row],[Id_anterior]]=1,ROW()-1,SUM(ROW()-1,Tabla_Alimentacion[[#This Row],[Id_anterior]]))</f>
        <v>1193</v>
      </c>
      <c r="F10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ALIMENTACION_CONSULTAS_EXISTENCIAS_FAMILIA_DETALLE</v>
      </c>
      <c r="G106" s="2" t="str">
        <f>CLEAN(PROPER(Tabla_Alimentacion[[#This Row],[Nombre Opción]]))</f>
        <v>Detalle</v>
      </c>
      <c r="H106" s="2" t="s">
        <v>1735</v>
      </c>
      <c r="I106" s="2" t="str">
        <f>_xlfn.XLOOKUP(Tabla_Alimentacion[[#This Row],[id_padre]],Tabla_Alimentacion[Id],Tabla_Alimentacion[Codigo_Tecnico],"",0,1)</f>
        <v>ALIMENTACION_CONSULTAS_EXISTENCIAS_FAMILIA</v>
      </c>
      <c r="J10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/alimentacion/consultas/existencias/familia/detalle</v>
      </c>
      <c r="K10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</v>
      </c>
      <c r="L106" s="2" t="s">
        <v>1460</v>
      </c>
      <c r="M106" s="2" t="s">
        <v>1794</v>
      </c>
      <c r="N106" s="4" t="s">
        <v>360</v>
      </c>
      <c r="O106" s="4" t="s">
        <v>360</v>
      </c>
      <c r="P106" s="4" t="s">
        <v>360</v>
      </c>
      <c r="Q106" s="4" t="s">
        <v>360</v>
      </c>
      <c r="R106" s="4" t="s">
        <v>360</v>
      </c>
      <c r="S106" s="4" t="s">
        <v>360</v>
      </c>
      <c r="Y106" s="4" t="s">
        <v>360</v>
      </c>
      <c r="Z106" s="2" t="str">
        <f>IF(Tabla_Alimentacion[[#This Row],[id_padre]]=Tabla_Alimentacion[[#This Row],[Id]],"NOK","OK")</f>
        <v>OK</v>
      </c>
    </row>
    <row r="107" spans="1:26" hidden="1" x14ac:dyDescent="0.5">
      <c r="A107" s="2">
        <f>MAX(Tabla_Descuentos[Id])</f>
        <v>1088</v>
      </c>
      <c r="B107">
        <v>1177</v>
      </c>
      <c r="C107" s="5">
        <f>IF(Tabla_Alimentacion[[#This Row],[id_padre]]="",0,_xlfn.XLOOKUP(Tabla_Alimentacion[[#This Row],[id_padre]],Tabla_Alimentacion[Id],Tabla_Alimentacion[Nivel],0,0,1)+1)</f>
        <v>3</v>
      </c>
      <c r="D107" s="2" t="s">
        <v>1050</v>
      </c>
      <c r="E107">
        <f>IF(Tabla_Alimentacion[[#This Row],[Id_anterior]]=1,ROW()-1,SUM(ROW()-1,Tabla_Alimentacion[[#This Row],[Id_anterior]]))</f>
        <v>1194</v>
      </c>
      <c r="F10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ALIMENTACION_CONSULTAS_EXISTENCIAS_DESCRIPCION</v>
      </c>
      <c r="G107" s="2" t="str">
        <f>CLEAN(PROPER(Tabla_Alimentacion[[#This Row],[Nombre Opción]]))</f>
        <v>Descripcion</v>
      </c>
      <c r="H107" s="2" t="s">
        <v>1735</v>
      </c>
      <c r="I107" s="2" t="str">
        <f>_xlfn.XLOOKUP(Tabla_Alimentacion[[#This Row],[id_padre]],Tabla_Alimentacion[Id],Tabla_Alimentacion[Codigo_Tecnico],"",0,1)</f>
        <v>ALIMENTACION_CONSULTAS_EXISTENCIAS</v>
      </c>
      <c r="J10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/alimentacion/consultas/existencias/descripcion</v>
      </c>
      <c r="K10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descripcion</v>
      </c>
      <c r="L107" s="2" t="s">
        <v>1343</v>
      </c>
      <c r="M107" s="2" t="s">
        <v>1794</v>
      </c>
      <c r="N107" s="4" t="s">
        <v>360</v>
      </c>
      <c r="O107" s="4" t="s">
        <v>360</v>
      </c>
      <c r="P107" s="4" t="s">
        <v>360</v>
      </c>
      <c r="Q107" s="4" t="s">
        <v>360</v>
      </c>
      <c r="R107" s="4" t="s">
        <v>360</v>
      </c>
      <c r="S107" s="4" t="s">
        <v>360</v>
      </c>
      <c r="Y107" s="4" t="s">
        <v>360</v>
      </c>
      <c r="Z107" s="2" t="str">
        <f>IF(Tabla_Alimentacion[[#This Row],[id_padre]]=Tabla_Alimentacion[[#This Row],[Id]],"NOK","OK")</f>
        <v>OK</v>
      </c>
    </row>
    <row r="108" spans="1:26" hidden="1" x14ac:dyDescent="0.5">
      <c r="A108" s="2">
        <f>MAX(Tabla_Descuentos[Id])</f>
        <v>1088</v>
      </c>
      <c r="B108">
        <v>1092</v>
      </c>
      <c r="C108" s="5">
        <f>IF(Tabla_Alimentacion[[#This Row],[id_padre]]="",0,_xlfn.XLOOKUP(Tabla_Alimentacion[[#This Row],[id_padre]],Tabla_Alimentacion[Id],Tabla_Alimentacion[Nivel],0,0,1)+1)</f>
        <v>2</v>
      </c>
      <c r="D108" s="2" t="s">
        <v>1616</v>
      </c>
      <c r="E108">
        <f>IF(Tabla_Alimentacion[[#This Row],[Id_anterior]]=1,ROW()-1,SUM(ROW()-1,Tabla_Alimentacion[[#This Row],[Id_anterior]]))</f>
        <v>1195</v>
      </c>
      <c r="F10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</v>
      </c>
      <c r="G108" s="2" t="str">
        <f>CLEAN(PROPER(Tabla_Alimentacion[[#This Row],[Nombre Opción]]))</f>
        <v>Produccion</v>
      </c>
      <c r="H108" s="2" t="s">
        <v>1735</v>
      </c>
      <c r="I108" s="2" t="str">
        <f>_xlfn.XLOOKUP(Tabla_Alimentacion[[#This Row],[id_padre]],Tabla_Alimentacion[Id],Tabla_Alimentacion[Codigo_Tecnico],"",0,1)</f>
        <v>ALIMENTACION_CONSULTAS</v>
      </c>
      <c r="J10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</v>
      </c>
      <c r="K10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produccion</v>
      </c>
      <c r="L108" s="2" t="s">
        <v>1624</v>
      </c>
      <c r="M108" s="2" t="s">
        <v>1794</v>
      </c>
      <c r="N108" s="4" t="s">
        <v>360</v>
      </c>
      <c r="O108" s="4" t="s">
        <v>360</v>
      </c>
      <c r="P108" s="4" t="s">
        <v>360</v>
      </c>
      <c r="Q108" s="4" t="s">
        <v>360</v>
      </c>
      <c r="R108" s="4" t="s">
        <v>360</v>
      </c>
      <c r="S108" s="4" t="s">
        <v>360</v>
      </c>
      <c r="Y108" s="4" t="s">
        <v>360</v>
      </c>
      <c r="Z108" s="2" t="str">
        <f>IF(Tabla_Alimentacion[[#This Row],[id_padre]]=Tabla_Alimentacion[[#This Row],[Id]],"NOK","OK")</f>
        <v>OK</v>
      </c>
    </row>
    <row r="109" spans="1:26" hidden="1" x14ac:dyDescent="0.5">
      <c r="A109" s="2">
        <f>MAX(Tabla_Descuentos[Id])</f>
        <v>1088</v>
      </c>
      <c r="B109">
        <v>1195</v>
      </c>
      <c r="C109" s="5">
        <f>IF(Tabla_Alimentacion[[#This Row],[id_padre]]="",0,_xlfn.XLOOKUP(Tabla_Alimentacion[[#This Row],[id_padre]],Tabla_Alimentacion[Id],Tabla_Alimentacion[Nivel],0,0,1)+1)</f>
        <v>3</v>
      </c>
      <c r="D109" s="2" t="s">
        <v>988</v>
      </c>
      <c r="E109">
        <f>IF(Tabla_Alimentacion[[#This Row],[Id_anterior]]=1,ROW()-1,SUM(ROW()-1,Tabla_Alimentacion[[#This Row],[Id_anterior]]))</f>
        <v>1196</v>
      </c>
      <c r="F10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ALIMENTACION_CONSULTAS_PRODUCCION_PLATOS</v>
      </c>
      <c r="G109" s="2" t="str">
        <f>CLEAN(PROPER(Tabla_Alimentacion[[#This Row],[Nombre Opción]]))</f>
        <v>Platos</v>
      </c>
      <c r="H109" s="2" t="s">
        <v>1735</v>
      </c>
      <c r="I109" s="2" t="str">
        <f>_xlfn.XLOOKUP(Tabla_Alimentacion[[#This Row],[id_padre]],Tabla_Alimentacion[Id],Tabla_Alimentacion[Codigo_Tecnico],"",0,1)</f>
        <v>ALIMENTACION_CONSULTAS_PRODUCCION</v>
      </c>
      <c r="J10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/alimentacion/consultas/produccion/platos</v>
      </c>
      <c r="K10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platos</v>
      </c>
      <c r="L109" s="2" t="s">
        <v>1627</v>
      </c>
      <c r="M109" s="2" t="s">
        <v>1794</v>
      </c>
      <c r="N109" s="4" t="s">
        <v>360</v>
      </c>
      <c r="O109" s="4" t="s">
        <v>360</v>
      </c>
      <c r="P109" s="4" t="s">
        <v>360</v>
      </c>
      <c r="Q109" s="4" t="s">
        <v>360</v>
      </c>
      <c r="R109" s="4" t="s">
        <v>360</v>
      </c>
      <c r="S109" s="4" t="s">
        <v>360</v>
      </c>
      <c r="Y109" s="4" t="s">
        <v>360</v>
      </c>
      <c r="Z109" s="2" t="str">
        <f>IF(Tabla_Alimentacion[[#This Row],[id_padre]]=Tabla_Alimentacion[[#This Row],[Id]],"NOK","OK")</f>
        <v>OK</v>
      </c>
    </row>
    <row r="110" spans="1:26" hidden="1" x14ac:dyDescent="0.5">
      <c r="A110" s="2">
        <f>MAX(Tabla_Descuentos[Id])</f>
        <v>1088</v>
      </c>
      <c r="B110">
        <v>1195</v>
      </c>
      <c r="C110" s="5">
        <f>IF(Tabla_Alimentacion[[#This Row],[id_padre]]="",0,_xlfn.XLOOKUP(Tabla_Alimentacion[[#This Row],[id_padre]],Tabla_Alimentacion[Id],Tabla_Alimentacion[Nivel],0,0,1)+1)</f>
        <v>3</v>
      </c>
      <c r="D110" s="2" t="s">
        <v>1051</v>
      </c>
      <c r="E110">
        <f>IF(Tabla_Alimentacion[[#This Row],[Id_anterior]]=1,ROW()-1,SUM(ROW()-1,Tabla_Alimentacion[[#This Row],[Id_anterior]]))</f>
        <v>1197</v>
      </c>
      <c r="F11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ALIMENTACION_CONSULTAS_PRODUCCION_EXTRAS</v>
      </c>
      <c r="G110" s="2" t="str">
        <f>CLEAN(PROPER(Tabla_Alimentacion[[#This Row],[Nombre Opción]]))</f>
        <v>Extras</v>
      </c>
      <c r="H110" s="2" t="s">
        <v>1735</v>
      </c>
      <c r="I110" s="2" t="str">
        <f>_xlfn.XLOOKUP(Tabla_Alimentacion[[#This Row],[id_padre]],Tabla_Alimentacion[Id],Tabla_Alimentacion[Codigo_Tecnico],"",0,1)</f>
        <v>ALIMENTACION_CONSULTAS_PRODUCCION</v>
      </c>
      <c r="J11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/alimentacion/consultas/produccion/extras</v>
      </c>
      <c r="K11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extras</v>
      </c>
      <c r="L110" s="2" t="s">
        <v>1639</v>
      </c>
      <c r="M110" s="2" t="s">
        <v>1794</v>
      </c>
      <c r="N110" s="4" t="s">
        <v>360</v>
      </c>
      <c r="O110" s="4" t="s">
        <v>360</v>
      </c>
      <c r="P110" s="4" t="s">
        <v>360</v>
      </c>
      <c r="Q110" s="4" t="s">
        <v>360</v>
      </c>
      <c r="R110" s="4" t="s">
        <v>360</v>
      </c>
      <c r="S110" s="4" t="s">
        <v>360</v>
      </c>
      <c r="Y110" s="4" t="s">
        <v>360</v>
      </c>
      <c r="Z110" s="2" t="str">
        <f>IF(Tabla_Alimentacion[[#This Row],[id_padre]]=Tabla_Alimentacion[[#This Row],[Id]],"NOK","OK")</f>
        <v>OK</v>
      </c>
    </row>
    <row r="111" spans="1:26" hidden="1" x14ac:dyDescent="0.5">
      <c r="A111" s="2">
        <f>MAX(Tabla_Descuentos[Id])</f>
        <v>1088</v>
      </c>
      <c r="B111">
        <v>1195</v>
      </c>
      <c r="C111" s="5">
        <f>IF(Tabla_Alimentacion[[#This Row],[id_padre]]="",0,_xlfn.XLOOKUP(Tabla_Alimentacion[[#This Row],[id_padre]],Tabla_Alimentacion[Id],Tabla_Alimentacion[Nivel],0,0,1)+1)</f>
        <v>3</v>
      </c>
      <c r="D111" s="2" t="s">
        <v>1617</v>
      </c>
      <c r="E111">
        <f>IF(Tabla_Alimentacion[[#This Row],[Id_anterior]]=1,ROW()-1,SUM(ROW()-1,Tabla_Alimentacion[[#This Row],[Id_anterior]]))</f>
        <v>1198</v>
      </c>
      <c r="F11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ALIMENTACION_CONSULTAS_PRODUCCION_MINUTAS</v>
      </c>
      <c r="G111" s="2" t="str">
        <f>CLEAN(PROPER(Tabla_Alimentacion[[#This Row],[Nombre Opción]]))</f>
        <v>Minutas</v>
      </c>
      <c r="H111" s="2" t="s">
        <v>1735</v>
      </c>
      <c r="I111" s="2" t="str">
        <f>_xlfn.XLOOKUP(Tabla_Alimentacion[[#This Row],[id_padre]],Tabla_Alimentacion[Id],Tabla_Alimentacion[Codigo_Tecnico],"",0,1)</f>
        <v>ALIMENTACION_CONSULTAS_PRODUCCION</v>
      </c>
      <c r="J11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/alimentacion/consultas/produccion/minutas</v>
      </c>
      <c r="K11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minutas</v>
      </c>
      <c r="L111" s="2" t="s">
        <v>1487</v>
      </c>
      <c r="M111" s="2" t="s">
        <v>1794</v>
      </c>
      <c r="N111" s="4" t="s">
        <v>360</v>
      </c>
      <c r="O111" s="4" t="s">
        <v>360</v>
      </c>
      <c r="P111" s="4" t="s">
        <v>360</v>
      </c>
      <c r="Q111" s="4" t="s">
        <v>360</v>
      </c>
      <c r="R111" s="4" t="s">
        <v>360</v>
      </c>
      <c r="S111" s="4" t="s">
        <v>360</v>
      </c>
      <c r="Y111" s="4" t="s">
        <v>360</v>
      </c>
      <c r="Z111" s="2" t="str">
        <f>IF(Tabla_Alimentacion[[#This Row],[id_padre]]=Tabla_Alimentacion[[#This Row],[Id]],"NOK","OK")</f>
        <v>OK</v>
      </c>
    </row>
    <row r="112" spans="1:26" hidden="1" x14ac:dyDescent="0.5">
      <c r="A112" s="2">
        <f>MAX(Tabla_Descuentos[Id])</f>
        <v>1088</v>
      </c>
      <c r="B112">
        <v>1198</v>
      </c>
      <c r="C112" s="5">
        <f>IF(Tabla_Alimentacion[[#This Row],[id_padre]]="",0,_xlfn.XLOOKUP(Tabla_Alimentacion[[#This Row],[id_padre]],Tabla_Alimentacion[Id],Tabla_Alimentacion[Nivel],0,0,1)+1)</f>
        <v>4</v>
      </c>
      <c r="D112" s="2" t="s">
        <v>1049</v>
      </c>
      <c r="E112">
        <f>IF(Tabla_Alimentacion[[#This Row],[Id_anterior]]=1,ROW()-1,SUM(ROW()-1,Tabla_Alimentacion[[#This Row],[Id_anterior]]))</f>
        <v>1199</v>
      </c>
      <c r="F11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ALIMENTACION_CONSULTAS_PRODUCCION_MINUTAS_DETALLE</v>
      </c>
      <c r="G112" s="2" t="str">
        <f>CLEAN(PROPER(Tabla_Alimentacion[[#This Row],[Nombre Opción]]))</f>
        <v>Detalle</v>
      </c>
      <c r="H112" s="2" t="s">
        <v>1735</v>
      </c>
      <c r="I112" s="2" t="str">
        <f>_xlfn.XLOOKUP(Tabla_Alimentacion[[#This Row],[id_padre]],Tabla_Alimentacion[Id],Tabla_Alimentacion[Codigo_Tecnico],"",0,1)</f>
        <v>ALIMENTACION_CONSULTAS_PRODUCCION_MINUTAS</v>
      </c>
      <c r="J11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/alimentacion/consultas/produccion/minutas/detalle</v>
      </c>
      <c r="K11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</v>
      </c>
      <c r="L112" s="2" t="s">
        <v>1460</v>
      </c>
      <c r="M112" s="2" t="s">
        <v>1794</v>
      </c>
      <c r="N112" s="4" t="s">
        <v>360</v>
      </c>
      <c r="O112" s="4" t="s">
        <v>360</v>
      </c>
      <c r="P112" s="4" t="s">
        <v>360</v>
      </c>
      <c r="Q112" s="4" t="s">
        <v>360</v>
      </c>
      <c r="R112" s="4" t="s">
        <v>360</v>
      </c>
      <c r="S112" s="4" t="s">
        <v>360</v>
      </c>
      <c r="Y112" s="4" t="s">
        <v>360</v>
      </c>
      <c r="Z112" s="2" t="str">
        <f>IF(Tabla_Alimentacion[[#This Row],[id_padre]]=Tabla_Alimentacion[[#This Row],[Id]],"NOK","OK")</f>
        <v>OK</v>
      </c>
    </row>
    <row r="113" spans="1:26" hidden="1" x14ac:dyDescent="0.5">
      <c r="A113" s="2">
        <f>MAX(Tabla_Descuentos[Id])</f>
        <v>1088</v>
      </c>
      <c r="B113">
        <v>1198</v>
      </c>
      <c r="C113" s="5">
        <f>IF(Tabla_Alimentacion[[#This Row],[id_padre]]="",0,_xlfn.XLOOKUP(Tabla_Alimentacion[[#This Row],[id_padre]],Tabla_Alimentacion[Id],Tabla_Alimentacion[Nivel],0,0,1)+1)</f>
        <v>4</v>
      </c>
      <c r="D113" s="2" t="s">
        <v>1052</v>
      </c>
      <c r="E113">
        <f>IF(Tabla_Alimentacion[[#This Row],[Id_anterior]]=1,ROW()-1,SUM(ROW()-1,Tabla_Alimentacion[[#This Row],[Id_anterior]]))</f>
        <v>1200</v>
      </c>
      <c r="F11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ALIMENTACION_CONSULTAS_PRODUCCION_MINUTAS_POR_FECHA</v>
      </c>
      <c r="G113" s="2" t="str">
        <f>CLEAN(PROPER(Tabla_Alimentacion[[#This Row],[Nombre Opción]]))</f>
        <v>Por Fecha</v>
      </c>
      <c r="H113" s="2" t="s">
        <v>1735</v>
      </c>
      <c r="I113" s="2" t="str">
        <f>_xlfn.XLOOKUP(Tabla_Alimentacion[[#This Row],[id_padre]],Tabla_Alimentacion[Id],Tabla_Alimentacion[Codigo_Tecnico],"",0,1)</f>
        <v>ALIMENTACION_CONSULTAS_PRODUCCION_MINUTAS</v>
      </c>
      <c r="J11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/alimentacion/consultas/produccion/minutas/por-fecha</v>
      </c>
      <c r="K11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por-fecha</v>
      </c>
      <c r="L113" s="2" t="s">
        <v>1574</v>
      </c>
      <c r="M113" s="2" t="s">
        <v>1794</v>
      </c>
      <c r="N113" s="4" t="s">
        <v>360</v>
      </c>
      <c r="O113" s="4" t="s">
        <v>360</v>
      </c>
      <c r="P113" s="4" t="s">
        <v>360</v>
      </c>
      <c r="Q113" s="4" t="s">
        <v>360</v>
      </c>
      <c r="R113" s="4" t="s">
        <v>360</v>
      </c>
      <c r="S113" s="4" t="s">
        <v>360</v>
      </c>
      <c r="Y113" s="4" t="s">
        <v>360</v>
      </c>
      <c r="Z113" s="2" t="str">
        <f>IF(Tabla_Alimentacion[[#This Row],[id_padre]]=Tabla_Alimentacion[[#This Row],[Id]],"NOK","OK")</f>
        <v>OK</v>
      </c>
    </row>
    <row r="114" spans="1:26" hidden="1" x14ac:dyDescent="0.5">
      <c r="A114" s="2">
        <f>MAX(Tabla_Descuentos[Id])</f>
        <v>1088</v>
      </c>
      <c r="B114">
        <v>1198</v>
      </c>
      <c r="C114" s="5">
        <f>IF(Tabla_Alimentacion[[#This Row],[id_padre]]="",0,_xlfn.XLOOKUP(Tabla_Alimentacion[[#This Row],[id_padre]],Tabla_Alimentacion[Id],Tabla_Alimentacion[Nivel],0,0,1)+1)</f>
        <v>4</v>
      </c>
      <c r="D114" s="2" t="s">
        <v>1053</v>
      </c>
      <c r="E114">
        <f>IF(Tabla_Alimentacion[[#This Row],[Id_anterior]]=1,ROW()-1,SUM(ROW()-1,Tabla_Alimentacion[[#This Row],[Id_anterior]]))</f>
        <v>1201</v>
      </c>
      <c r="F11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ALIMENTACION_CONSULTAS_PRODUCCION_MINUTAS_SEMANAL</v>
      </c>
      <c r="G114" s="2" t="str">
        <f>CLEAN(PROPER(Tabla_Alimentacion[[#This Row],[Nombre Opción]]))</f>
        <v>Semanal</v>
      </c>
      <c r="H114" s="2" t="s">
        <v>1735</v>
      </c>
      <c r="I114" s="2" t="str">
        <f>_xlfn.XLOOKUP(Tabla_Alimentacion[[#This Row],[id_padre]],Tabla_Alimentacion[Id],Tabla_Alimentacion[Codigo_Tecnico],"",0,1)</f>
        <v>ALIMENTACION_CONSULTAS_PRODUCCION_MINUTAS</v>
      </c>
      <c r="J11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/alimentacion/consultas/produccion/minutas/semanal</v>
      </c>
      <c r="K11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semanal</v>
      </c>
      <c r="L114" s="2" t="s">
        <v>1640</v>
      </c>
      <c r="M114" s="2" t="s">
        <v>1794</v>
      </c>
      <c r="N114" s="4" t="s">
        <v>360</v>
      </c>
      <c r="O114" s="4" t="s">
        <v>360</v>
      </c>
      <c r="P114" s="4" t="s">
        <v>360</v>
      </c>
      <c r="Q114" s="4" t="s">
        <v>360</v>
      </c>
      <c r="R114" s="4" t="s">
        <v>360</v>
      </c>
      <c r="S114" s="4" t="s">
        <v>360</v>
      </c>
      <c r="Y114" s="4" t="s">
        <v>360</v>
      </c>
      <c r="Z114" s="2" t="str">
        <f>IF(Tabla_Alimentacion[[#This Row],[id_padre]]=Tabla_Alimentacion[[#This Row],[Id]],"NOK","OK")</f>
        <v>OK</v>
      </c>
    </row>
    <row r="115" spans="1:26" hidden="1" x14ac:dyDescent="0.5">
      <c r="A115" s="2">
        <f>MAX(Tabla_Descuentos[Id])</f>
        <v>1088</v>
      </c>
      <c r="B115">
        <v>1195</v>
      </c>
      <c r="C115" s="5">
        <f>IF(Tabla_Alimentacion[[#This Row],[id_padre]]="",0,_xlfn.XLOOKUP(Tabla_Alimentacion[[#This Row],[id_padre]],Tabla_Alimentacion[Id],Tabla_Alimentacion[Nivel],0,0,1)+1)</f>
        <v>3</v>
      </c>
      <c r="D115" s="2" t="s">
        <v>1054</v>
      </c>
      <c r="E115">
        <f>IF(Tabla_Alimentacion[[#This Row],[Id_anterior]]=1,ROW()-1,SUM(ROW()-1,Tabla_Alimentacion[[#This Row],[Id_anterior]]))</f>
        <v>1202</v>
      </c>
      <c r="F11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ALIMENTACION_CONSULTAS_PRODUCCION_SOLICITUD_COMPRAS</v>
      </c>
      <c r="G115" s="2" t="str">
        <f>CLEAN(PROPER(Tabla_Alimentacion[[#This Row],[Nombre Opción]]))</f>
        <v>Solicitud De Compras</v>
      </c>
      <c r="H115" s="2" t="s">
        <v>1735</v>
      </c>
      <c r="I115" s="2" t="str">
        <f>_xlfn.XLOOKUP(Tabla_Alimentacion[[#This Row],[id_padre]],Tabla_Alimentacion[Id],Tabla_Alimentacion[Codigo_Tecnico],"",0,1)</f>
        <v>ALIMENTACION_CONSULTAS_PRODUCCION</v>
      </c>
      <c r="J11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/alimentacion/consultas/produccion/solicitud-compras</v>
      </c>
      <c r="K11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solicitud-compras</v>
      </c>
      <c r="L115" s="2" t="s">
        <v>1446</v>
      </c>
      <c r="M115" s="2" t="s">
        <v>1794</v>
      </c>
      <c r="N115" s="4" t="s">
        <v>360</v>
      </c>
      <c r="O115" s="4" t="s">
        <v>360</v>
      </c>
      <c r="P115" s="4" t="s">
        <v>360</v>
      </c>
      <c r="Q115" s="4" t="s">
        <v>360</v>
      </c>
      <c r="R115" s="4" t="s">
        <v>360</v>
      </c>
      <c r="S115" s="4" t="s">
        <v>360</v>
      </c>
      <c r="Y115" s="4" t="s">
        <v>360</v>
      </c>
      <c r="Z115" s="2" t="str">
        <f>IF(Tabla_Alimentacion[[#This Row],[id_padre]]=Tabla_Alimentacion[[#This Row],[Id]],"NOK","OK")</f>
        <v>OK</v>
      </c>
    </row>
    <row r="116" spans="1:26" hidden="1" x14ac:dyDescent="0.5">
      <c r="A116" s="2">
        <f>MAX(Tabla_Descuentos[Id])</f>
        <v>1088</v>
      </c>
      <c r="B116">
        <v>1195</v>
      </c>
      <c r="C116" s="5">
        <f>IF(Tabla_Alimentacion[[#This Row],[id_padre]]="",0,_xlfn.XLOOKUP(Tabla_Alimentacion[[#This Row],[id_padre]],Tabla_Alimentacion[Id],Tabla_Alimentacion[Nivel],0,0,1)+1)</f>
        <v>3</v>
      </c>
      <c r="D116" s="2" t="s">
        <v>1055</v>
      </c>
      <c r="E116">
        <f>IF(Tabla_Alimentacion[[#This Row],[Id_anterior]]=1,ROW()-1,SUM(ROW()-1,Tabla_Alimentacion[[#This Row],[Id_anterior]]))</f>
        <v>1203</v>
      </c>
      <c r="F11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ALIMENTACION_CONSULTAS_PRODUCCION_PEDIDO_BODEGA</v>
      </c>
      <c r="G116" s="2" t="str">
        <f>CLEAN(PROPER(Tabla_Alimentacion[[#This Row],[Nombre Opción]]))</f>
        <v>Pedido A Bodega</v>
      </c>
      <c r="H116" s="2" t="s">
        <v>1735</v>
      </c>
      <c r="I116" s="2" t="str">
        <f>_xlfn.XLOOKUP(Tabla_Alimentacion[[#This Row],[id_padre]],Tabla_Alimentacion[Id],Tabla_Alimentacion[Codigo_Tecnico],"",0,1)</f>
        <v>ALIMENTACION_CONSULTAS_PRODUCCION</v>
      </c>
      <c r="J11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/alimentacion/consultas/produccion/pedido-bodega</v>
      </c>
      <c r="K11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pedido-bodega</v>
      </c>
      <c r="L116" s="2" t="s">
        <v>1526</v>
      </c>
      <c r="M116" s="2" t="s">
        <v>1794</v>
      </c>
      <c r="N116" s="4" t="s">
        <v>360</v>
      </c>
      <c r="O116" s="4" t="s">
        <v>360</v>
      </c>
      <c r="P116" s="4" t="s">
        <v>360</v>
      </c>
      <c r="Q116" s="4" t="s">
        <v>360</v>
      </c>
      <c r="R116" s="4" t="s">
        <v>360</v>
      </c>
      <c r="S116" s="4" t="s">
        <v>360</v>
      </c>
      <c r="W116" s="4" t="s">
        <v>360</v>
      </c>
      <c r="Y116" s="4" t="s">
        <v>360</v>
      </c>
      <c r="Z116" s="2" t="str">
        <f>IF(Tabla_Alimentacion[[#This Row],[id_padre]]=Tabla_Alimentacion[[#This Row],[Id]],"NOK","OK")</f>
        <v>OK</v>
      </c>
    </row>
    <row r="117" spans="1:26" hidden="1" x14ac:dyDescent="0.5">
      <c r="A117" s="2">
        <f>MAX(Tabla_Descuentos[Id])</f>
        <v>1088</v>
      </c>
      <c r="B117">
        <v>1195</v>
      </c>
      <c r="C117" s="5">
        <f>IF(Tabla_Alimentacion[[#This Row],[id_padre]]="",0,_xlfn.XLOOKUP(Tabla_Alimentacion[[#This Row],[id_padre]],Tabla_Alimentacion[Id],Tabla_Alimentacion[Nivel],0,0,1)+1)</f>
        <v>3</v>
      </c>
      <c r="D117" s="2" t="s">
        <v>1057</v>
      </c>
      <c r="E117">
        <f>IF(Tabla_Alimentacion[[#This Row],[Id_anterior]]=1,ROW()-1,SUM(ROW()-1,Tabla_Alimentacion[[#This Row],[Id_anterior]]))</f>
        <v>1204</v>
      </c>
      <c r="F11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ALIMENTACION_CONSULTAS_PRODUCCION_UNIDADES_APORCIONADAS_X_SERVICIOS_ALIMENTACION</v>
      </c>
      <c r="G117" s="2" t="str">
        <f>CLEAN(PROPER(Tabla_Alimentacion[[#This Row],[Nombre Opción]]))</f>
        <v>Unidades Aporcionadas X Servicios De Alimentacion</v>
      </c>
      <c r="H117" s="2" t="s">
        <v>1735</v>
      </c>
      <c r="I117" s="2" t="str">
        <f>_xlfn.XLOOKUP(Tabla_Alimentacion[[#This Row],[id_padre]],Tabla_Alimentacion[Id],Tabla_Alimentacion[Codigo_Tecnico],"",0,1)</f>
        <v>ALIMENTACION_CONSULTAS_PRODUCCION</v>
      </c>
      <c r="J11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/alimentacion/consultas/produccion/unidades-aporcionadas-x-servicios-alimentacion</v>
      </c>
      <c r="K11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unidades-aporcionadas-x-servicios-alimentacion</v>
      </c>
      <c r="L117" s="2" t="s">
        <v>1543</v>
      </c>
      <c r="M117" s="2" t="s">
        <v>1794</v>
      </c>
      <c r="N117" s="4" t="s">
        <v>360</v>
      </c>
      <c r="O117" s="4" t="s">
        <v>360</v>
      </c>
      <c r="P117" s="4" t="s">
        <v>360</v>
      </c>
      <c r="Q117" s="4" t="s">
        <v>360</v>
      </c>
      <c r="R117" s="4" t="s">
        <v>360</v>
      </c>
      <c r="S117" s="4"/>
      <c r="X117" s="4" t="s">
        <v>360</v>
      </c>
      <c r="Y117" s="4" t="s">
        <v>360</v>
      </c>
      <c r="Z117" s="2" t="str">
        <f>IF(Tabla_Alimentacion[[#This Row],[id_padre]]=Tabla_Alimentacion[[#This Row],[Id]],"NOK","OK")</f>
        <v>OK</v>
      </c>
    </row>
    <row r="118" spans="1:26" hidden="1" x14ac:dyDescent="0.5">
      <c r="A118" s="2">
        <f>MAX(Tabla_Descuentos[Id])</f>
        <v>1088</v>
      </c>
      <c r="B118">
        <v>1195</v>
      </c>
      <c r="C118" s="5">
        <f>IF(Tabla_Alimentacion[[#This Row],[id_padre]]="",0,_xlfn.XLOOKUP(Tabla_Alimentacion[[#This Row],[id_padre]],Tabla_Alimentacion[Id],Tabla_Alimentacion[Nivel],0,0,1)+1)</f>
        <v>3</v>
      </c>
      <c r="D118" s="2" t="s">
        <v>1056</v>
      </c>
      <c r="E118">
        <f>IF(Tabla_Alimentacion[[#This Row],[Id_anterior]]=1,ROW()-1,SUM(ROW()-1,Tabla_Alimentacion[[#This Row],[Id_anterior]]))</f>
        <v>1205</v>
      </c>
      <c r="F11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ALIMENTACION_CONSULTAS_PRODUCCION_SERVICIO_ALIMENTACION_X_UNI_APORCIONAMIENTO</v>
      </c>
      <c r="G118" s="2" t="str">
        <f>CLEAN(PROPER(Tabla_Alimentacion[[#This Row],[Nombre Opción]]))</f>
        <v>Servicio De Alimentacion X Uni. De Aporcionamiento</v>
      </c>
      <c r="H118" s="2" t="s">
        <v>1735</v>
      </c>
      <c r="I118" s="2" t="str">
        <f>_xlfn.XLOOKUP(Tabla_Alimentacion[[#This Row],[id_padre]],Tabla_Alimentacion[Id],Tabla_Alimentacion[Codigo_Tecnico],"",0,1)</f>
        <v>ALIMENTACION_CONSULTAS_PRODUCCION</v>
      </c>
      <c r="J11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/alimentacion/consultas/produccion/servicio-alimentacion-x-uni-aporcionamiento</v>
      </c>
      <c r="K11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servicio-alimentacion-x-uni-aporcionamiento</v>
      </c>
      <c r="L118" s="2" t="s">
        <v>1636</v>
      </c>
      <c r="M118" s="2" t="s">
        <v>1794</v>
      </c>
      <c r="N118" s="4" t="s">
        <v>360</v>
      </c>
      <c r="O118" s="4" t="s">
        <v>360</v>
      </c>
      <c r="P118" s="4" t="s">
        <v>360</v>
      </c>
      <c r="Q118" s="4" t="s">
        <v>360</v>
      </c>
      <c r="R118" s="4" t="s">
        <v>360</v>
      </c>
      <c r="S118" s="4"/>
      <c r="X118" s="4" t="s">
        <v>360</v>
      </c>
      <c r="Y118" s="4" t="s">
        <v>360</v>
      </c>
      <c r="Z118" s="2" t="str">
        <f>IF(Tabla_Alimentacion[[#This Row],[id_padre]]=Tabla_Alimentacion[[#This Row],[Id]],"NOK","OK")</f>
        <v>OK</v>
      </c>
    </row>
    <row r="119" spans="1:26" hidden="1" x14ac:dyDescent="0.5">
      <c r="A119" s="2">
        <f>MAX(Tabla_Descuentos[Id])</f>
        <v>1088</v>
      </c>
      <c r="B119">
        <v>1195</v>
      </c>
      <c r="C119" s="5">
        <f>IF(Tabla_Alimentacion[[#This Row],[id_padre]]="",0,_xlfn.XLOOKUP(Tabla_Alimentacion[[#This Row],[id_padre]],Tabla_Alimentacion[Id],Tabla_Alimentacion[Nivel],0,0,1)+1)</f>
        <v>3</v>
      </c>
      <c r="D119" s="2" t="s">
        <v>1060</v>
      </c>
      <c r="E119">
        <f>IF(Tabla_Alimentacion[[#This Row],[Id_anterior]]=1,ROW()-1,SUM(ROW()-1,Tabla_Alimentacion[[#This Row],[Id_anterior]]))</f>
        <v>1206</v>
      </c>
      <c r="F11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ALIMENTACION_CONSULTAS_PRODUCCION_DOTACION</v>
      </c>
      <c r="G119" s="2" t="str">
        <f>CLEAN(PROPER(Tabla_Alimentacion[[#This Row],[Nombre Opción]]))</f>
        <v>Dotacion</v>
      </c>
      <c r="H119" s="2" t="s">
        <v>1735</v>
      </c>
      <c r="I119" s="2" t="str">
        <f>_xlfn.XLOOKUP(Tabla_Alimentacion[[#This Row],[id_padre]],Tabla_Alimentacion[Id],Tabla_Alimentacion[Codigo_Tecnico],"",0,1)</f>
        <v>ALIMENTACION_CONSULTAS_PRODUCCION</v>
      </c>
      <c r="J11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/alimentacion/consultas/produccion/dotacion</v>
      </c>
      <c r="K11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dotacion</v>
      </c>
      <c r="L119" s="2" t="s">
        <v>1506</v>
      </c>
      <c r="M119" s="2" t="s">
        <v>1794</v>
      </c>
      <c r="N119" s="4" t="s">
        <v>360</v>
      </c>
      <c r="O119" s="4" t="s">
        <v>360</v>
      </c>
      <c r="P119" s="4" t="s">
        <v>360</v>
      </c>
      <c r="Q119" s="4"/>
      <c r="R119" s="4"/>
      <c r="S119" s="4"/>
      <c r="X119" s="4" t="s">
        <v>360</v>
      </c>
      <c r="Y119" s="4" t="s">
        <v>360</v>
      </c>
      <c r="Z119" s="2" t="str">
        <f>IF(Tabla_Alimentacion[[#This Row],[id_padre]]=Tabla_Alimentacion[[#This Row],[Id]],"NOK","OK")</f>
        <v>OK</v>
      </c>
    </row>
    <row r="120" spans="1:26" hidden="1" x14ac:dyDescent="0.5">
      <c r="A120" s="2">
        <f>MAX(Tabla_Descuentos[Id])</f>
        <v>1088</v>
      </c>
      <c r="B120">
        <v>1195</v>
      </c>
      <c r="C120" s="5">
        <f>IF(Tabla_Alimentacion[[#This Row],[id_padre]]="",0,_xlfn.XLOOKUP(Tabla_Alimentacion[[#This Row],[id_padre]],Tabla_Alimentacion[Id],Tabla_Alimentacion[Nivel],0,0,1)+1)</f>
        <v>3</v>
      </c>
      <c r="D120" s="2" t="s">
        <v>1058</v>
      </c>
      <c r="E120">
        <f>IF(Tabla_Alimentacion[[#This Row],[Id_anterior]]=1,ROW()-1,SUM(ROW()-1,Tabla_Alimentacion[[#This Row],[Id_anterior]]))</f>
        <v>1207</v>
      </c>
      <c r="F12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ALIMENTACION_CONSULTAS_PRODUCCION_PARTE_ALIMENTACION_DETALLADO</v>
      </c>
      <c r="G120" s="2" t="str">
        <f>CLEAN(PROPER(Tabla_Alimentacion[[#This Row],[Nombre Opción]]))</f>
        <v>Parte Alimentacion Detallado</v>
      </c>
      <c r="H120" s="2" t="s">
        <v>1735</v>
      </c>
      <c r="I120" s="2" t="str">
        <f>_xlfn.XLOOKUP(Tabla_Alimentacion[[#This Row],[id_padre]],Tabla_Alimentacion[Id],Tabla_Alimentacion[Codigo_Tecnico],"",0,1)</f>
        <v>ALIMENTACION_CONSULTAS_PRODUCCION</v>
      </c>
      <c r="J12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/alimentacion/consultas/produccion/parte-alimentacion-detallado</v>
      </c>
      <c r="K12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parte-alimentacion-detallado</v>
      </c>
      <c r="L120" s="2" t="s">
        <v>1343</v>
      </c>
      <c r="M120" s="2" t="s">
        <v>1794</v>
      </c>
      <c r="N120" s="4" t="s">
        <v>360</v>
      </c>
      <c r="O120" s="4" t="s">
        <v>360</v>
      </c>
      <c r="P120" s="4" t="s">
        <v>360</v>
      </c>
      <c r="Q120" s="4"/>
      <c r="R120" s="4"/>
      <c r="S120" s="4"/>
      <c r="X120" s="4" t="s">
        <v>360</v>
      </c>
      <c r="Y120" s="4" t="s">
        <v>360</v>
      </c>
      <c r="Z120" s="2" t="str">
        <f>IF(Tabla_Alimentacion[[#This Row],[id_padre]]=Tabla_Alimentacion[[#This Row],[Id]],"NOK","OK")</f>
        <v>OK</v>
      </c>
    </row>
    <row r="121" spans="1:26" hidden="1" x14ac:dyDescent="0.5">
      <c r="A121" s="2">
        <f>MAX(Tabla_Descuentos[Id])</f>
        <v>1088</v>
      </c>
      <c r="B121">
        <v>1195</v>
      </c>
      <c r="C121" s="5">
        <f>IF(Tabla_Alimentacion[[#This Row],[id_padre]]="",0,_xlfn.XLOOKUP(Tabla_Alimentacion[[#This Row],[id_padre]],Tabla_Alimentacion[Id],Tabla_Alimentacion[Nivel],0,0,1)+1)</f>
        <v>3</v>
      </c>
      <c r="D121" s="2" t="s">
        <v>1059</v>
      </c>
      <c r="E121">
        <f>IF(Tabla_Alimentacion[[#This Row],[Id_anterior]]=1,ROW()-1,SUM(ROW()-1,Tabla_Alimentacion[[#This Row],[Id_anterior]]))</f>
        <v>1208</v>
      </c>
      <c r="F12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ALIMENTACION_CONSULTAS_PRODUCCION_PARTE_ALIMENTACION_POR_UNIDAD_CENTRAL</v>
      </c>
      <c r="G121" s="2" t="str">
        <f>CLEAN(PROPER(Tabla_Alimentacion[[#This Row],[Nombre Opción]]))</f>
        <v>Parte Alimentacion Por Unidad Central</v>
      </c>
      <c r="H121" s="2" t="s">
        <v>1735</v>
      </c>
      <c r="I121" s="2" t="str">
        <f>_xlfn.XLOOKUP(Tabla_Alimentacion[[#This Row],[id_padre]],Tabla_Alimentacion[Id],Tabla_Alimentacion[Codigo_Tecnico],"",0,1)</f>
        <v>ALIMENTACION_CONSULTAS_PRODUCCION</v>
      </c>
      <c r="J12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/alimentacion/consultas/produccion/parte-alimentacion-por-unidad-central</v>
      </c>
      <c r="K12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parte-alimentacion-por-unidad-central</v>
      </c>
      <c r="L121" s="2" t="s">
        <v>1341</v>
      </c>
      <c r="M121" s="2" t="s">
        <v>1794</v>
      </c>
      <c r="N121" s="4" t="s">
        <v>360</v>
      </c>
      <c r="O121" s="4" t="s">
        <v>360</v>
      </c>
      <c r="P121" s="4" t="s">
        <v>360</v>
      </c>
      <c r="Q121" s="4"/>
      <c r="R121" s="4"/>
      <c r="S121" s="4"/>
      <c r="X121" s="4" t="s">
        <v>360</v>
      </c>
      <c r="Y121" s="4" t="s">
        <v>360</v>
      </c>
      <c r="Z121" s="2" t="str">
        <f>IF(Tabla_Alimentacion[[#This Row],[id_padre]]=Tabla_Alimentacion[[#This Row],[Id]],"NOK","OK")</f>
        <v>OK</v>
      </c>
    </row>
    <row r="122" spans="1:26" hidden="1" x14ac:dyDescent="0.5">
      <c r="A122" s="2">
        <f>MAX(Tabla_Descuentos[Id])</f>
        <v>1088</v>
      </c>
      <c r="B122">
        <v>1195</v>
      </c>
      <c r="C122" s="5">
        <f>IF(Tabla_Alimentacion[[#This Row],[id_padre]]="",0,_xlfn.XLOOKUP(Tabla_Alimentacion[[#This Row],[id_padre]],Tabla_Alimentacion[Id],Tabla_Alimentacion[Nivel],0,0,1)+1)</f>
        <v>3</v>
      </c>
      <c r="D122" s="2" t="s">
        <v>1061</v>
      </c>
      <c r="E122">
        <f>IF(Tabla_Alimentacion[[#This Row],[Id_anterior]]=1,ROW()-1,SUM(ROW()-1,Tabla_Alimentacion[[#This Row],[Id_anterior]]))</f>
        <v>1209</v>
      </c>
      <c r="F12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ALIMENTACION_CONSULTAS_PRODUCCION_PARTE_ALIMENTACION_POR_CENTRO_CONSUMO</v>
      </c>
      <c r="G122" s="2" t="str">
        <f>CLEAN(PROPER(Tabla_Alimentacion[[#This Row],[Nombre Opción]]))</f>
        <v>Parte Alimentacion Por Centro De Consumo</v>
      </c>
      <c r="H122" s="2" t="s">
        <v>1735</v>
      </c>
      <c r="I122" s="2" t="str">
        <f>_xlfn.XLOOKUP(Tabla_Alimentacion[[#This Row],[id_padre]],Tabla_Alimentacion[Id],Tabla_Alimentacion[Codigo_Tecnico],"",0,1)</f>
        <v>ALIMENTACION_CONSULTAS_PRODUCCION</v>
      </c>
      <c r="J12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/alimentacion/consultas/produccion/parte-alimentacion-por-centro-consumo</v>
      </c>
      <c r="K12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parte-alimentacion-por-centro-consumo</v>
      </c>
      <c r="L122" s="2" t="s">
        <v>1389</v>
      </c>
      <c r="M122" s="2" t="s">
        <v>1794</v>
      </c>
      <c r="N122" s="4" t="s">
        <v>360</v>
      </c>
      <c r="O122" s="4" t="s">
        <v>360</v>
      </c>
      <c r="P122" s="4" t="s">
        <v>360</v>
      </c>
      <c r="Q122" s="4" t="s">
        <v>360</v>
      </c>
      <c r="R122" s="4" t="s">
        <v>360</v>
      </c>
      <c r="S122" s="4" t="s">
        <v>360</v>
      </c>
      <c r="W122" s="4" t="s">
        <v>360</v>
      </c>
      <c r="X122" s="4" t="s">
        <v>360</v>
      </c>
      <c r="Y122" s="4" t="s">
        <v>360</v>
      </c>
      <c r="Z122" s="2" t="str">
        <f>IF(Tabla_Alimentacion[[#This Row],[id_padre]]=Tabla_Alimentacion[[#This Row],[Id]],"NOK","OK")</f>
        <v>OK</v>
      </c>
    </row>
    <row r="123" spans="1:26" hidden="1" x14ac:dyDescent="0.5">
      <c r="A123" s="2">
        <f>MAX(Tabla_Descuentos[Id])</f>
        <v>1088</v>
      </c>
      <c r="B123">
        <v>1195</v>
      </c>
      <c r="C123" s="5">
        <f>IF(Tabla_Alimentacion[[#This Row],[id_padre]]="",0,_xlfn.XLOOKUP(Tabla_Alimentacion[[#This Row],[id_padre]],Tabla_Alimentacion[Id],Tabla_Alimentacion[Nivel],0,0,1)+1)</f>
        <v>3</v>
      </c>
      <c r="D123" s="2" t="s">
        <v>1062</v>
      </c>
      <c r="E123">
        <f>IF(Tabla_Alimentacion[[#This Row],[Id_anterior]]=1,ROW()-1,SUM(ROW()-1,Tabla_Alimentacion[[#This Row],[Id_anterior]]))</f>
        <v>1210</v>
      </c>
      <c r="F12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ALIMENTACION_CONSULTAS_PRODUCCION_PARTE_ALIMENTACION_POR_SERVICIO_ALIMENTACION</v>
      </c>
      <c r="G123" s="2" t="str">
        <f>CLEAN(PROPER(Tabla_Alimentacion[[#This Row],[Nombre Opción]]))</f>
        <v>Parte Alimentacion Por Servicio De Alimentacion</v>
      </c>
      <c r="H123" s="2" t="s">
        <v>1735</v>
      </c>
      <c r="I123" s="2" t="str">
        <f>_xlfn.XLOOKUP(Tabla_Alimentacion[[#This Row],[id_padre]],Tabla_Alimentacion[Id],Tabla_Alimentacion[Codigo_Tecnico],"",0,1)</f>
        <v>ALIMENTACION_CONSULTAS_PRODUCCION</v>
      </c>
      <c r="J12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/alimentacion/consultas/produccion/parte-alimentacion-por-servicio-alimentacion</v>
      </c>
      <c r="K12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parte-alimentacion-por-servicio-alimentacion</v>
      </c>
      <c r="L123" s="2" t="s">
        <v>1636</v>
      </c>
      <c r="M123" s="2" t="s">
        <v>1794</v>
      </c>
      <c r="N123" s="4" t="s">
        <v>360</v>
      </c>
      <c r="O123" s="4" t="s">
        <v>360</v>
      </c>
      <c r="P123" s="4" t="s">
        <v>360</v>
      </c>
      <c r="Q123" s="4" t="s">
        <v>360</v>
      </c>
      <c r="R123" s="4" t="s">
        <v>360</v>
      </c>
      <c r="S123" s="4" t="s">
        <v>360</v>
      </c>
      <c r="Y123" s="4" t="s">
        <v>360</v>
      </c>
      <c r="Z123" s="2" t="str">
        <f>IF(Tabla_Alimentacion[[#This Row],[id_padre]]=Tabla_Alimentacion[[#This Row],[Id]],"NOK","OK")</f>
        <v>OK</v>
      </c>
    </row>
    <row r="124" spans="1:26" hidden="1" x14ac:dyDescent="0.5">
      <c r="A124" s="2">
        <f>MAX(Tabla_Descuentos[Id])</f>
        <v>1088</v>
      </c>
      <c r="B124">
        <v>1195</v>
      </c>
      <c r="C124" s="5">
        <f>IF(Tabla_Alimentacion[[#This Row],[id_padre]]="",0,_xlfn.XLOOKUP(Tabla_Alimentacion[[#This Row],[id_padre]],Tabla_Alimentacion[Id],Tabla_Alimentacion[Nivel],0,0,1)+1)</f>
        <v>3</v>
      </c>
      <c r="D124" s="2" t="s">
        <v>1064</v>
      </c>
      <c r="E124">
        <f>IF(Tabla_Alimentacion[[#This Row],[Id_anterior]]=1,ROW()-1,SUM(ROW()-1,Tabla_Alimentacion[[#This Row],[Id_anterior]]))</f>
        <v>1211</v>
      </c>
      <c r="F12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ALIMENTACION_CONSULTAS_PRODUCCION_ANALISIS_COSTO_POR_TIPO_ALIMENTACION</v>
      </c>
      <c r="G124" s="2" t="str">
        <f>CLEAN(PROPER(Tabla_Alimentacion[[#This Row],[Nombre Opción]]))</f>
        <v>Analisis De Costo Por Tipo De Alimentacion</v>
      </c>
      <c r="H124" s="2" t="s">
        <v>1735</v>
      </c>
      <c r="I124" s="2" t="str">
        <f>_xlfn.XLOOKUP(Tabla_Alimentacion[[#This Row],[id_padre]],Tabla_Alimentacion[Id],Tabla_Alimentacion[Codigo_Tecnico],"",0,1)</f>
        <v>ALIMENTACION_CONSULTAS_PRODUCCION</v>
      </c>
      <c r="J12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/alimentacion/consultas/produccion/analisis-costo-por-tipo-alimentacion</v>
      </c>
      <c r="K12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analisis-costo-por-tipo-alimentacion</v>
      </c>
      <c r="L124" s="2" t="s">
        <v>1332</v>
      </c>
      <c r="M124" s="2" t="s">
        <v>1794</v>
      </c>
      <c r="N124" s="4" t="s">
        <v>360</v>
      </c>
      <c r="O124" s="4" t="s">
        <v>360</v>
      </c>
      <c r="P124" s="4" t="s">
        <v>360</v>
      </c>
      <c r="Q124" s="4" t="s">
        <v>360</v>
      </c>
      <c r="R124" s="4" t="s">
        <v>360</v>
      </c>
      <c r="S124" s="4" t="s">
        <v>360</v>
      </c>
      <c r="W124" s="4" t="s">
        <v>360</v>
      </c>
      <c r="Y124" s="4" t="s">
        <v>360</v>
      </c>
      <c r="Z124" s="2" t="str">
        <f>IF(Tabla_Alimentacion[[#This Row],[id_padre]]=Tabla_Alimentacion[[#This Row],[Id]],"NOK","OK")</f>
        <v>OK</v>
      </c>
    </row>
    <row r="125" spans="1:26" hidden="1" x14ac:dyDescent="0.5">
      <c r="A125" s="2">
        <f>MAX(Tabla_Descuentos[Id])</f>
        <v>1088</v>
      </c>
      <c r="B125">
        <v>1195</v>
      </c>
      <c r="C125" s="5">
        <f>IF(Tabla_Alimentacion[[#This Row],[id_padre]]="",0,_xlfn.XLOOKUP(Tabla_Alimentacion[[#This Row],[id_padre]],Tabla_Alimentacion[Id],Tabla_Alimentacion[Nivel],0,0,1)+1)</f>
        <v>3</v>
      </c>
      <c r="D125" s="2" t="s">
        <v>1065</v>
      </c>
      <c r="E125">
        <f>IF(Tabla_Alimentacion[[#This Row],[Id_anterior]]=1,ROW()-1,SUM(ROW()-1,Tabla_Alimentacion[[#This Row],[Id_anterior]]))</f>
        <v>1212</v>
      </c>
      <c r="F12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ALIMENTACION_CONSULTAS_PRODUCCION_ANALISIS_COSTO_POR_CENTRO_CONSUMO</v>
      </c>
      <c r="G125" s="2" t="str">
        <f>CLEAN(PROPER(Tabla_Alimentacion[[#This Row],[Nombre Opción]]))</f>
        <v>Analisis De Costo Por Centro De Consumo</v>
      </c>
      <c r="H125" s="2" t="s">
        <v>1735</v>
      </c>
      <c r="I125" s="2" t="str">
        <f>_xlfn.XLOOKUP(Tabla_Alimentacion[[#This Row],[id_padre]],Tabla_Alimentacion[Id],Tabla_Alimentacion[Codigo_Tecnico],"",0,1)</f>
        <v>ALIMENTACION_CONSULTAS_PRODUCCION</v>
      </c>
      <c r="J12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/alimentacion/consultas/produccion/analisis-costo-por-centro-consumo</v>
      </c>
      <c r="K12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analisis-costo-por-centro-consumo</v>
      </c>
      <c r="L125" s="2" t="s">
        <v>1421</v>
      </c>
      <c r="M125" s="2" t="s">
        <v>1794</v>
      </c>
      <c r="N125" s="4" t="s">
        <v>360</v>
      </c>
      <c r="O125" s="4" t="s">
        <v>360</v>
      </c>
      <c r="P125" s="4" t="s">
        <v>360</v>
      </c>
      <c r="Q125" s="4" t="s">
        <v>360</v>
      </c>
      <c r="R125" s="4" t="s">
        <v>360</v>
      </c>
      <c r="S125" s="4" t="s">
        <v>360</v>
      </c>
      <c r="W125" s="4" t="s">
        <v>360</v>
      </c>
      <c r="Y125" s="4" t="s">
        <v>360</v>
      </c>
      <c r="Z125" s="2" t="str">
        <f>IF(Tabla_Alimentacion[[#This Row],[id_padre]]=Tabla_Alimentacion[[#This Row],[Id]],"NOK","OK")</f>
        <v>OK</v>
      </c>
    </row>
    <row r="126" spans="1:26" hidden="1" x14ac:dyDescent="0.5">
      <c r="A126" s="2">
        <f>MAX(Tabla_Descuentos[Id])</f>
        <v>1088</v>
      </c>
      <c r="B126">
        <v>1195</v>
      </c>
      <c r="C126" s="5">
        <f>IF(Tabla_Alimentacion[[#This Row],[id_padre]]="",0,_xlfn.XLOOKUP(Tabla_Alimentacion[[#This Row],[id_padre]],Tabla_Alimentacion[Id],Tabla_Alimentacion[Nivel],0,0,1)+1)</f>
        <v>3</v>
      </c>
      <c r="D126" s="2" t="s">
        <v>1021</v>
      </c>
      <c r="E126">
        <f>IF(Tabla_Alimentacion[[#This Row],[Id_anterior]]=1,ROW()-1,SUM(ROW()-1,Tabla_Alimentacion[[#This Row],[Id_anterior]]))</f>
        <v>1213</v>
      </c>
      <c r="F12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ALIMENTACION_CONSULTAS_PRODUCCION_PLANILLA_COBRO_ALIMENTACION_FISCAL</v>
      </c>
      <c r="G126" s="2" t="str">
        <f>CLEAN(PROPER(Tabla_Alimentacion[[#This Row],[Nombre Opción]]))</f>
        <v>Planilla Cobro Alimentacion Fiscal</v>
      </c>
      <c r="H126" s="2" t="s">
        <v>1735</v>
      </c>
      <c r="I126" s="2" t="str">
        <f>_xlfn.XLOOKUP(Tabla_Alimentacion[[#This Row],[id_padre]],Tabla_Alimentacion[Id],Tabla_Alimentacion[Codigo_Tecnico],"",0,1)</f>
        <v>ALIMENTACION_CONSULTAS_PRODUCCION</v>
      </c>
      <c r="J12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/alimentacion/consultas/produccion/planilla-cobro-alimentacion-fiscal</v>
      </c>
      <c r="K12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planilla-cobro-alimentacion-fiscal</v>
      </c>
      <c r="L126" s="2" t="s">
        <v>1364</v>
      </c>
      <c r="M126" s="2" t="s">
        <v>1794</v>
      </c>
      <c r="N126" s="4" t="s">
        <v>360</v>
      </c>
      <c r="O126" s="4" t="s">
        <v>360</v>
      </c>
      <c r="P126" s="4" t="s">
        <v>360</v>
      </c>
      <c r="Q126" s="4" t="s">
        <v>360</v>
      </c>
      <c r="R126" s="4" t="s">
        <v>360</v>
      </c>
      <c r="S126" s="4" t="s">
        <v>360</v>
      </c>
      <c r="W126" s="4" t="s">
        <v>360</v>
      </c>
      <c r="Y126" s="4" t="s">
        <v>360</v>
      </c>
      <c r="Z126" s="2" t="str">
        <f>IF(Tabla_Alimentacion[[#This Row],[id_padre]]=Tabla_Alimentacion[[#This Row],[Id]],"NOK","OK")</f>
        <v>OK</v>
      </c>
    </row>
    <row r="127" spans="1:26" hidden="1" x14ac:dyDescent="0.5">
      <c r="A127" s="2">
        <f>MAX(Tabla_Descuentos[Id])</f>
        <v>1088</v>
      </c>
      <c r="B127">
        <v>1195</v>
      </c>
      <c r="C127" s="5">
        <f>IF(Tabla_Alimentacion[[#This Row],[id_padre]]="",0,_xlfn.XLOOKUP(Tabla_Alimentacion[[#This Row],[id_padre]],Tabla_Alimentacion[Id],Tabla_Alimentacion[Nivel],0,0,1)+1)</f>
        <v>3</v>
      </c>
      <c r="D127" s="2" t="s">
        <v>1024</v>
      </c>
      <c r="E127">
        <f>IF(Tabla_Alimentacion[[#This Row],[Id_anterior]]=1,ROW()-1,SUM(ROW()-1,Tabla_Alimentacion[[#This Row],[Id_anterior]]))</f>
        <v>1214</v>
      </c>
      <c r="F12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ALIMENTACION_CONSULTAS_PRODUCCION_PLANILLA_COBRO_ALIMENTACION_EXTRAS</v>
      </c>
      <c r="G127" s="2" t="str">
        <f>CLEAN(PROPER(Tabla_Alimentacion[[#This Row],[Nombre Opción]]))</f>
        <v>Planilla Cobro Alimentacion Extras</v>
      </c>
      <c r="H127" s="2" t="s">
        <v>1735</v>
      </c>
      <c r="I127" s="2" t="str">
        <f>_xlfn.XLOOKUP(Tabla_Alimentacion[[#This Row],[id_padre]],Tabla_Alimentacion[Id],Tabla_Alimentacion[Codigo_Tecnico],"",0,1)</f>
        <v>ALIMENTACION_CONSULTAS_PRODUCCION</v>
      </c>
      <c r="J12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/alimentacion/consultas/produccion/planilla-cobro-alimentacion-extras</v>
      </c>
      <c r="K12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planilla-cobro-alimentacion-extras</v>
      </c>
      <c r="L127" s="2" t="s">
        <v>1415</v>
      </c>
      <c r="M127" s="2" t="s">
        <v>1794</v>
      </c>
      <c r="N127" s="4" t="s">
        <v>360</v>
      </c>
      <c r="O127" s="4" t="s">
        <v>360</v>
      </c>
      <c r="P127" s="4" t="s">
        <v>360</v>
      </c>
      <c r="Q127" s="4" t="s">
        <v>360</v>
      </c>
      <c r="R127" s="4" t="s">
        <v>360</v>
      </c>
      <c r="S127" s="4" t="s">
        <v>360</v>
      </c>
      <c r="W127" s="4" t="s">
        <v>360</v>
      </c>
      <c r="Y127" s="4" t="s">
        <v>360</v>
      </c>
      <c r="Z127" s="2" t="str">
        <f>IF(Tabla_Alimentacion[[#This Row],[id_padre]]=Tabla_Alimentacion[[#This Row],[Id]],"NOK","OK")</f>
        <v>OK</v>
      </c>
    </row>
    <row r="128" spans="1:26" hidden="1" x14ac:dyDescent="0.5">
      <c r="A128" s="2">
        <f>MAX(Tabla_Descuentos[Id])</f>
        <v>1088</v>
      </c>
      <c r="B128">
        <v>1195</v>
      </c>
      <c r="C128" s="5">
        <f>IF(Tabla_Alimentacion[[#This Row],[id_padre]]="",0,_xlfn.XLOOKUP(Tabla_Alimentacion[[#This Row],[id_padre]],Tabla_Alimentacion[Id],Tabla_Alimentacion[Nivel],0,0,1)+1)</f>
        <v>3</v>
      </c>
      <c r="D128" s="2" t="s">
        <v>1063</v>
      </c>
      <c r="E128">
        <f>IF(Tabla_Alimentacion[[#This Row],[Id_anterior]]=1,ROW()-1,SUM(ROW()-1,Tabla_Alimentacion[[#This Row],[Id_anterior]]))</f>
        <v>1215</v>
      </c>
      <c r="F12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ALIMENTACION_CONSULTAS_PRODUCCION_RESUMEN_COBRO_ALIMENTACION_MENSUAL</v>
      </c>
      <c r="G128" s="2" t="str">
        <f>CLEAN(PROPER(Tabla_Alimentacion[[#This Row],[Nombre Opción]]))</f>
        <v>Resumen Cobro Alimentacion Mensual</v>
      </c>
      <c r="H128" s="2" t="s">
        <v>1735</v>
      </c>
      <c r="I128" s="2" t="str">
        <f>_xlfn.XLOOKUP(Tabla_Alimentacion[[#This Row],[id_padre]],Tabla_Alimentacion[Id],Tabla_Alimentacion[Codigo_Tecnico],"",0,1)</f>
        <v>ALIMENTACION_CONSULTAS_PRODUCCION</v>
      </c>
      <c r="J12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/alimentacion/consultas/produccion/resumen-cobro-alimentacion-mensual</v>
      </c>
      <c r="K12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resumen-cobro-alimentacion-mensual</v>
      </c>
      <c r="L128" s="2" t="s">
        <v>1372</v>
      </c>
      <c r="M128" s="2" t="s">
        <v>1794</v>
      </c>
      <c r="N128" s="4" t="s">
        <v>360</v>
      </c>
      <c r="O128" s="4" t="s">
        <v>360</v>
      </c>
      <c r="P128" s="4" t="s">
        <v>360</v>
      </c>
      <c r="Q128" s="4" t="s">
        <v>360</v>
      </c>
      <c r="R128" s="4" t="s">
        <v>360</v>
      </c>
      <c r="S128" s="4" t="s">
        <v>360</v>
      </c>
      <c r="W128" s="4" t="s">
        <v>360</v>
      </c>
      <c r="Y128" s="4" t="s">
        <v>360</v>
      </c>
      <c r="Z128" s="2" t="str">
        <f>IF(Tabla_Alimentacion[[#This Row],[id_padre]]=Tabla_Alimentacion[[#This Row],[Id]],"NOK","OK")</f>
        <v>OK</v>
      </c>
    </row>
    <row r="129" spans="1:26" hidden="1" x14ac:dyDescent="0.5">
      <c r="A129" s="2">
        <f>MAX(Tabla_Descuentos[Id])</f>
        <v>1088</v>
      </c>
      <c r="B129">
        <v>1195</v>
      </c>
      <c r="C129" s="5">
        <f>IF(Tabla_Alimentacion[[#This Row],[id_padre]]="",0,_xlfn.XLOOKUP(Tabla_Alimentacion[[#This Row],[id_padre]],Tabla_Alimentacion[Id],Tabla_Alimentacion[Nivel],0,0,1)+1)</f>
        <v>3</v>
      </c>
      <c r="D129" s="2" t="s">
        <v>1066</v>
      </c>
      <c r="E129">
        <f>IF(Tabla_Alimentacion[[#This Row],[Id_anterior]]=1,ROW()-1,SUM(ROW()-1,Tabla_Alimentacion[[#This Row],[Id_anterior]]))</f>
        <v>1216</v>
      </c>
      <c r="F12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ALIMENTACION_CONSULTAS_PRODUCCION_DIFERENCIA_RANCHO</v>
      </c>
      <c r="G129" s="2" t="str">
        <f>CLEAN(PROPER(Tabla_Alimentacion[[#This Row],[Nombre Opción]]))</f>
        <v>Diferencia Rancho</v>
      </c>
      <c r="H129" s="2" t="s">
        <v>1735</v>
      </c>
      <c r="I129" s="2" t="str">
        <f>_xlfn.XLOOKUP(Tabla_Alimentacion[[#This Row],[id_padre]],Tabla_Alimentacion[Id],Tabla_Alimentacion[Codigo_Tecnico],"",0,1)</f>
        <v>ALIMENTACION_CONSULTAS_PRODUCCION</v>
      </c>
      <c r="J12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/alimentacion/consultas/produccion/diferencia-rancho</v>
      </c>
      <c r="K12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diferencia-rancho</v>
      </c>
      <c r="L129" s="2" t="s">
        <v>1408</v>
      </c>
      <c r="M129" s="2" t="s">
        <v>1794</v>
      </c>
      <c r="N129" s="4" t="s">
        <v>360</v>
      </c>
      <c r="O129" s="4" t="s">
        <v>360</v>
      </c>
      <c r="P129" s="4" t="s">
        <v>360</v>
      </c>
      <c r="Q129" s="4" t="s">
        <v>360</v>
      </c>
      <c r="R129" s="4"/>
      <c r="S129" s="4" t="s">
        <v>360</v>
      </c>
      <c r="W129" s="4" t="s">
        <v>360</v>
      </c>
      <c r="Y129" s="4" t="s">
        <v>360</v>
      </c>
      <c r="Z129" s="2" t="str">
        <f>IF(Tabla_Alimentacion[[#This Row],[id_padre]]=Tabla_Alimentacion[[#This Row],[Id]],"NOK","OK")</f>
        <v>OK</v>
      </c>
    </row>
    <row r="130" spans="1:26" hidden="1" x14ac:dyDescent="0.5">
      <c r="A130" s="2">
        <f>MAX(Tabla_Descuentos[Id])</f>
        <v>1088</v>
      </c>
      <c r="B130">
        <v>1092</v>
      </c>
      <c r="C130" s="5">
        <f>IF(Tabla_Alimentacion[[#This Row],[id_padre]]="",0,_xlfn.XLOOKUP(Tabla_Alimentacion[[#This Row],[id_padre]],Tabla_Alimentacion[Id],Tabla_Alimentacion[Nivel],0,0,1)+1)</f>
        <v>2</v>
      </c>
      <c r="D130" s="2" t="s">
        <v>1612</v>
      </c>
      <c r="E130">
        <f>IF(Tabla_Alimentacion[[#This Row],[Id_anterior]]=1,ROW()-1,SUM(ROW()-1,Tabla_Alimentacion[[#This Row],[Id_anterior]]))</f>
        <v>1217</v>
      </c>
      <c r="F13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ALIMENTACION_CONSULTAS_CUENTA_CORRIENTE</v>
      </c>
      <c r="G130" s="2" t="str">
        <f>CLEAN(PROPER(Tabla_Alimentacion[[#This Row],[Nombre Opción]]))</f>
        <v>Cuenta Corriente</v>
      </c>
      <c r="H130" s="2" t="s">
        <v>1735</v>
      </c>
      <c r="I130" s="2" t="str">
        <f>_xlfn.XLOOKUP(Tabla_Alimentacion[[#This Row],[id_padre]],Tabla_Alimentacion[Id],Tabla_Alimentacion[Codigo_Tecnico],"",0,1)</f>
        <v>ALIMENTACION_CONSULTAS</v>
      </c>
      <c r="J13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/alimentacion/consultas/cuenta-corriente</v>
      </c>
      <c r="K13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cuenta-corriente</v>
      </c>
      <c r="L130" s="2" t="s">
        <v>1395</v>
      </c>
      <c r="M130" s="2" t="s">
        <v>1794</v>
      </c>
      <c r="N130" s="4" t="s">
        <v>360</v>
      </c>
      <c r="O130" s="4" t="s">
        <v>360</v>
      </c>
      <c r="P130" s="4" t="s">
        <v>360</v>
      </c>
      <c r="Q130" s="4" t="s">
        <v>360</v>
      </c>
      <c r="R130" s="4"/>
      <c r="S130" s="4" t="s">
        <v>360</v>
      </c>
      <c r="V130" s="4" t="s">
        <v>360</v>
      </c>
      <c r="W130" s="4" t="s">
        <v>360</v>
      </c>
      <c r="Y130" s="4" t="s">
        <v>360</v>
      </c>
      <c r="Z130" s="2" t="str">
        <f>IF(Tabla_Alimentacion[[#This Row],[id_padre]]=Tabla_Alimentacion[[#This Row],[Id]],"NOK","OK")</f>
        <v>OK</v>
      </c>
    </row>
    <row r="131" spans="1:26" hidden="1" x14ac:dyDescent="0.5">
      <c r="A131" s="2">
        <f>MAX(Tabla_Descuentos[Id])</f>
        <v>1088</v>
      </c>
      <c r="B131">
        <v>1217</v>
      </c>
      <c r="C131" s="5">
        <f>IF(Tabla_Alimentacion[[#This Row],[id_padre]]="",0,_xlfn.XLOOKUP(Tabla_Alimentacion[[#This Row],[id_padre]],Tabla_Alimentacion[Id],Tabla_Alimentacion[Nivel],0,0,1)+1)</f>
        <v>3</v>
      </c>
      <c r="D131" s="2" t="s">
        <v>1618</v>
      </c>
      <c r="E131">
        <f>IF(Tabla_Alimentacion[[#This Row],[Id_anterior]]=1,ROW()-1,SUM(ROW()-1,Tabla_Alimentacion[[#This Row],[Id_anterior]]))</f>
        <v>1218</v>
      </c>
      <c r="F13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ALIMENTACION_CONSULTAS_CUENTA_CORRIENTE_VALES</v>
      </c>
      <c r="G131" s="2" t="str">
        <f>CLEAN(PROPER(Tabla_Alimentacion[[#This Row],[Nombre Opción]]))</f>
        <v>Vales</v>
      </c>
      <c r="H131" s="2" t="s">
        <v>1735</v>
      </c>
      <c r="I131" s="2" t="str">
        <f>_xlfn.XLOOKUP(Tabla_Alimentacion[[#This Row],[id_padre]],Tabla_Alimentacion[Id],Tabla_Alimentacion[Codigo_Tecnico],"",0,1)</f>
        <v>ALIMENTACION_CONSULTAS_CUENTA_CORRIENTE</v>
      </c>
      <c r="J13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/alimentacion/consultas/cuenta-corriente/vales</v>
      </c>
      <c r="K13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vales</v>
      </c>
      <c r="L131" s="2" t="s">
        <v>1466</v>
      </c>
      <c r="M131" s="2" t="s">
        <v>1794</v>
      </c>
      <c r="N131" s="4" t="s">
        <v>360</v>
      </c>
      <c r="O131" s="4" t="s">
        <v>360</v>
      </c>
      <c r="P131" s="4" t="s">
        <v>360</v>
      </c>
      <c r="Q131" s="4" t="s">
        <v>360</v>
      </c>
      <c r="R131" s="4"/>
      <c r="S131" s="4" t="s">
        <v>360</v>
      </c>
      <c r="V131" s="4" t="s">
        <v>360</v>
      </c>
      <c r="W131" s="4" t="s">
        <v>360</v>
      </c>
      <c r="Y131" s="4" t="s">
        <v>360</v>
      </c>
      <c r="Z131" s="2" t="str">
        <f>IF(Tabla_Alimentacion[[#This Row],[id_padre]]=Tabla_Alimentacion[[#This Row],[Id]],"NOK","OK")</f>
        <v>OK</v>
      </c>
    </row>
    <row r="132" spans="1:26" hidden="1" x14ac:dyDescent="0.5">
      <c r="A132" s="2">
        <f>MAX(Tabla_Descuentos[Id])</f>
        <v>1088</v>
      </c>
      <c r="B132">
        <v>1218</v>
      </c>
      <c r="C132" s="5">
        <f>IF(Tabla_Alimentacion[[#This Row],[id_padre]]="",0,_xlfn.XLOOKUP(Tabla_Alimentacion[[#This Row],[id_padre]],Tabla_Alimentacion[Id],Tabla_Alimentacion[Nivel],0,0,1)+1)</f>
        <v>4</v>
      </c>
      <c r="D132" s="2" t="s">
        <v>1067</v>
      </c>
      <c r="E132">
        <f>IF(Tabla_Alimentacion[[#This Row],[Id_anterior]]=1,ROW()-1,SUM(ROW()-1,Tabla_Alimentacion[[#This Row],[Id_anterior]]))</f>
        <v>1219</v>
      </c>
      <c r="F13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ALIMENTACION_CONSULTAS_CUENTA_CORRIENTE_VALES_POR_NUMERO</v>
      </c>
      <c r="G132" s="2" t="str">
        <f>CLEAN(PROPER(Tabla_Alimentacion[[#This Row],[Nombre Opción]]))</f>
        <v>Por Numero</v>
      </c>
      <c r="H132" s="2" t="s">
        <v>1735</v>
      </c>
      <c r="I132" s="2" t="str">
        <f>_xlfn.XLOOKUP(Tabla_Alimentacion[[#This Row],[id_padre]],Tabla_Alimentacion[Id],Tabla_Alimentacion[Codigo_Tecnico],"",0,1)</f>
        <v>ALIMENTACION_CONSULTAS_CUENTA_CORRIENTE_VALES</v>
      </c>
      <c r="J13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/alimentacion/consultas/cuenta-corriente/vales/por-numero</v>
      </c>
      <c r="K13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por-numero</v>
      </c>
      <c r="L132" s="2" t="s">
        <v>1406</v>
      </c>
      <c r="M132" s="2" t="s">
        <v>1794</v>
      </c>
      <c r="N132" s="4" t="s">
        <v>360</v>
      </c>
      <c r="O132" s="4" t="s">
        <v>360</v>
      </c>
      <c r="P132" s="4" t="s">
        <v>360</v>
      </c>
      <c r="Q132" s="4" t="s">
        <v>360</v>
      </c>
      <c r="R132" s="4"/>
      <c r="S132" s="4" t="s">
        <v>360</v>
      </c>
      <c r="V132" s="4" t="s">
        <v>360</v>
      </c>
      <c r="W132" s="4" t="s">
        <v>360</v>
      </c>
      <c r="Y132" s="4" t="s">
        <v>360</v>
      </c>
      <c r="Z132" s="2" t="str">
        <f>IF(Tabla_Alimentacion[[#This Row],[id_padre]]=Tabla_Alimentacion[[#This Row],[Id]],"NOK","OK")</f>
        <v>OK</v>
      </c>
    </row>
    <row r="133" spans="1:26" hidden="1" x14ac:dyDescent="0.5">
      <c r="A133" s="2">
        <f>MAX(Tabla_Descuentos[Id])</f>
        <v>1088</v>
      </c>
      <c r="B133">
        <v>1218</v>
      </c>
      <c r="C133" s="5">
        <f>IF(Tabla_Alimentacion[[#This Row],[id_padre]]="",0,_xlfn.XLOOKUP(Tabla_Alimentacion[[#This Row],[id_padre]],Tabla_Alimentacion[Id],Tabla_Alimentacion[Nivel],0,0,1)+1)</f>
        <v>4</v>
      </c>
      <c r="D133" s="2" t="s">
        <v>515</v>
      </c>
      <c r="E133">
        <f>IF(Tabla_Alimentacion[[#This Row],[Id_anterior]]=1,ROW()-1,SUM(ROW()-1,Tabla_Alimentacion[[#This Row],[Id_anterior]]))</f>
        <v>1220</v>
      </c>
      <c r="F13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ALIMENTACION_CONSULTAS_CUENTA_CORRIENTE_VALES_POR_DIA</v>
      </c>
      <c r="G133" s="2" t="str">
        <f>CLEAN(PROPER(Tabla_Alimentacion[[#This Row],[Nombre Opción]]))</f>
        <v>Por Dia</v>
      </c>
      <c r="H133" s="2" t="s">
        <v>1735</v>
      </c>
      <c r="I133" s="2" t="str">
        <f>_xlfn.XLOOKUP(Tabla_Alimentacion[[#This Row],[id_padre]],Tabla_Alimentacion[Id],Tabla_Alimentacion[Codigo_Tecnico],"",0,1)</f>
        <v>ALIMENTACION_CONSULTAS_CUENTA_CORRIENTE_VALES</v>
      </c>
      <c r="J13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/alimentacion/consultas/cuenta-corriente/vales/por-dia</v>
      </c>
      <c r="K13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por-dia</v>
      </c>
      <c r="L133" s="2" t="s">
        <v>1366</v>
      </c>
      <c r="M133" s="2" t="s">
        <v>1794</v>
      </c>
      <c r="N133" s="4" t="s">
        <v>360</v>
      </c>
      <c r="O133" s="4" t="s">
        <v>360</v>
      </c>
      <c r="P133" s="4" t="s">
        <v>360</v>
      </c>
      <c r="Q133" s="4" t="s">
        <v>360</v>
      </c>
      <c r="R133" s="4"/>
      <c r="S133" s="4" t="s">
        <v>360</v>
      </c>
      <c r="V133" s="4" t="s">
        <v>360</v>
      </c>
      <c r="W133" s="4" t="s">
        <v>360</v>
      </c>
      <c r="Y133" s="4" t="s">
        <v>360</v>
      </c>
      <c r="Z133" s="2" t="str">
        <f>IF(Tabla_Alimentacion[[#This Row],[id_padre]]=Tabla_Alimentacion[[#This Row],[Id]],"NOK","OK")</f>
        <v>OK</v>
      </c>
    </row>
    <row r="134" spans="1:26" hidden="1" x14ac:dyDescent="0.5">
      <c r="A134" s="2">
        <f>MAX(Tabla_Descuentos[Id])</f>
        <v>1088</v>
      </c>
      <c r="B134">
        <v>1218</v>
      </c>
      <c r="C134" s="5">
        <f>IF(Tabla_Alimentacion[[#This Row],[id_padre]]="",0,_xlfn.XLOOKUP(Tabla_Alimentacion[[#This Row],[id_padre]],Tabla_Alimentacion[Id],Tabla_Alimentacion[Nivel],0,0,1)+1)</f>
        <v>4</v>
      </c>
      <c r="D134" s="2" t="s">
        <v>1068</v>
      </c>
      <c r="E134">
        <f>IF(Tabla_Alimentacion[[#This Row],[Id_anterior]]=1,ROW()-1,SUM(ROW()-1,Tabla_Alimentacion[[#This Row],[Id_anterior]]))</f>
        <v>1221</v>
      </c>
      <c r="F13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ALIMENTACION_CONSULTAS_CUENTA_CORRIENTE_VALES_POR_COMISION</v>
      </c>
      <c r="G134" s="2" t="str">
        <f>CLEAN(PROPER(Tabla_Alimentacion[[#This Row],[Nombre Opción]]))</f>
        <v>Por Comision</v>
      </c>
      <c r="H134" s="2" t="s">
        <v>1735</v>
      </c>
      <c r="I134" s="2" t="str">
        <f>_xlfn.XLOOKUP(Tabla_Alimentacion[[#This Row],[id_padre]],Tabla_Alimentacion[Id],Tabla_Alimentacion[Codigo_Tecnico],"",0,1)</f>
        <v>ALIMENTACION_CONSULTAS_CUENTA_CORRIENTE_VALES</v>
      </c>
      <c r="J13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/alimentacion/consultas/cuenta-corriente/vales/por-comision</v>
      </c>
      <c r="K13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por-comision</v>
      </c>
      <c r="L134" s="2" t="s">
        <v>1505</v>
      </c>
      <c r="M134" s="2" t="s">
        <v>1794</v>
      </c>
      <c r="N134" s="4" t="s">
        <v>360</v>
      </c>
      <c r="O134" s="4" t="s">
        <v>360</v>
      </c>
      <c r="P134" s="4" t="s">
        <v>360</v>
      </c>
      <c r="Q134" s="4" t="s">
        <v>360</v>
      </c>
      <c r="R134" s="4"/>
      <c r="S134" s="4" t="s">
        <v>360</v>
      </c>
      <c r="V134" s="4" t="s">
        <v>360</v>
      </c>
      <c r="W134" s="4" t="s">
        <v>360</v>
      </c>
      <c r="Y134" s="4" t="s">
        <v>360</v>
      </c>
      <c r="Z134" s="2" t="str">
        <f>IF(Tabla_Alimentacion[[#This Row],[id_padre]]=Tabla_Alimentacion[[#This Row],[Id]],"NOK","OK")</f>
        <v>OK</v>
      </c>
    </row>
    <row r="135" spans="1:26" hidden="1" x14ac:dyDescent="0.5">
      <c r="A135" s="2">
        <f>MAX(Tabla_Descuentos[Id])</f>
        <v>1088</v>
      </c>
      <c r="B135">
        <v>1218</v>
      </c>
      <c r="C135" s="5">
        <f>IF(Tabla_Alimentacion[[#This Row],[id_padre]]="",0,_xlfn.XLOOKUP(Tabla_Alimentacion[[#This Row],[id_padre]],Tabla_Alimentacion[Id],Tabla_Alimentacion[Nivel],0,0,1)+1)</f>
        <v>4</v>
      </c>
      <c r="D135" s="2" t="s">
        <v>1044</v>
      </c>
      <c r="E135">
        <f>IF(Tabla_Alimentacion[[#This Row],[Id_anterior]]=1,ROW()-1,SUM(ROW()-1,Tabla_Alimentacion[[#This Row],[Id_anterior]]))</f>
        <v>1222</v>
      </c>
      <c r="F13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ALIMENTACION_CONSULTAS_CUENTA_CORRIENTE_VALES_POR_CENTRO_CONSUMO</v>
      </c>
      <c r="G135" s="2" t="str">
        <f>CLEAN(PROPER(Tabla_Alimentacion[[#This Row],[Nombre Opción]]))</f>
        <v>Por Centro De Consumo</v>
      </c>
      <c r="H135" s="2" t="s">
        <v>1735</v>
      </c>
      <c r="I135" s="2" t="str">
        <f>_xlfn.XLOOKUP(Tabla_Alimentacion[[#This Row],[id_padre]],Tabla_Alimentacion[Id],Tabla_Alimentacion[Codigo_Tecnico],"",0,1)</f>
        <v>ALIMENTACION_CONSULTAS_CUENTA_CORRIENTE_VALES</v>
      </c>
      <c r="J13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/alimentacion/consultas/cuenta-corriente/vales/por-centro-consumo</v>
      </c>
      <c r="K13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por-centro-consumo</v>
      </c>
      <c r="L135" s="2" t="s">
        <v>1389</v>
      </c>
      <c r="M135" s="2" t="s">
        <v>1794</v>
      </c>
      <c r="N135" s="4" t="s">
        <v>360</v>
      </c>
      <c r="O135" s="4" t="s">
        <v>360</v>
      </c>
      <c r="P135" s="4" t="s">
        <v>360</v>
      </c>
      <c r="Q135" s="4" t="s">
        <v>360</v>
      </c>
      <c r="R135" s="4"/>
      <c r="S135" s="4" t="s">
        <v>360</v>
      </c>
      <c r="V135" s="4" t="s">
        <v>360</v>
      </c>
      <c r="W135" s="4" t="s">
        <v>360</v>
      </c>
      <c r="Y135" s="4" t="s">
        <v>360</v>
      </c>
      <c r="Z135" s="2" t="str">
        <f>IF(Tabla_Alimentacion[[#This Row],[id_padre]]=Tabla_Alimentacion[[#This Row],[Id]],"NOK","OK")</f>
        <v>OK</v>
      </c>
    </row>
    <row r="136" spans="1:26" hidden="1" x14ac:dyDescent="0.5">
      <c r="A136" s="2">
        <f>MAX(Tabla_Descuentos[Id])</f>
        <v>1088</v>
      </c>
      <c r="B136">
        <v>1218</v>
      </c>
      <c r="C136" s="5">
        <f>IF(Tabla_Alimentacion[[#This Row],[id_padre]]="",0,_xlfn.XLOOKUP(Tabla_Alimentacion[[#This Row],[id_padre]],Tabla_Alimentacion[Id],Tabla_Alimentacion[Nivel],0,0,1)+1)</f>
        <v>4</v>
      </c>
      <c r="D136" s="2" t="s">
        <v>1069</v>
      </c>
      <c r="E136">
        <f>IF(Tabla_Alimentacion[[#This Row],[Id_anterior]]=1,ROW()-1,SUM(ROW()-1,Tabla_Alimentacion[[#This Row],[Id_anterior]]))</f>
        <v>1223</v>
      </c>
      <c r="F13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ALIMENTACION_CONSULTAS_CUENTA_CORRIENTE_VALES_VALES_POR_ESTADO</v>
      </c>
      <c r="G136" s="2" t="str">
        <f>CLEAN(PROPER(Tabla_Alimentacion[[#This Row],[Nombre Opción]]))</f>
        <v>Vales Por Estado</v>
      </c>
      <c r="H136" s="2" t="s">
        <v>1735</v>
      </c>
      <c r="I136" s="2" t="str">
        <f>_xlfn.XLOOKUP(Tabla_Alimentacion[[#This Row],[id_padre]],Tabla_Alimentacion[Id],Tabla_Alimentacion[Codigo_Tecnico],"",0,1)</f>
        <v>ALIMENTACION_CONSULTAS_CUENTA_CORRIENTE_VALES</v>
      </c>
      <c r="J13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/alimentacion/consultas/cuenta-corriente/vales/vales-por-estado</v>
      </c>
      <c r="K13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vales-por-estado</v>
      </c>
      <c r="L136" s="2" t="s">
        <v>1424</v>
      </c>
      <c r="M136" s="2" t="s">
        <v>1794</v>
      </c>
      <c r="N136" s="4" t="s">
        <v>360</v>
      </c>
      <c r="O136" s="4" t="s">
        <v>360</v>
      </c>
      <c r="P136" s="4" t="s">
        <v>360</v>
      </c>
      <c r="Q136" s="4" t="s">
        <v>360</v>
      </c>
      <c r="R136" s="4"/>
      <c r="S136" s="4" t="s">
        <v>360</v>
      </c>
      <c r="V136" s="4" t="s">
        <v>360</v>
      </c>
      <c r="W136" s="4" t="s">
        <v>360</v>
      </c>
      <c r="Y136" s="4" t="s">
        <v>360</v>
      </c>
      <c r="Z136" s="2" t="str">
        <f>IF(Tabla_Alimentacion[[#This Row],[id_padre]]=Tabla_Alimentacion[[#This Row],[Id]],"NOK","OK")</f>
        <v>OK</v>
      </c>
    </row>
    <row r="137" spans="1:26" hidden="1" x14ac:dyDescent="0.5">
      <c r="A137" s="2">
        <f>MAX(Tabla_Descuentos[Id])</f>
        <v>1088</v>
      </c>
      <c r="B137">
        <v>1218</v>
      </c>
      <c r="C137" s="5">
        <f>IF(Tabla_Alimentacion[[#This Row],[id_padre]]="",0,_xlfn.XLOOKUP(Tabla_Alimentacion[[#This Row],[id_padre]],Tabla_Alimentacion[Id],Tabla_Alimentacion[Nivel],0,0,1)+1)</f>
        <v>4</v>
      </c>
      <c r="D137" s="2" t="s">
        <v>1070</v>
      </c>
      <c r="E137">
        <f>IF(Tabla_Alimentacion[[#This Row],[Id_anterior]]=1,ROW()-1,SUM(ROW()-1,Tabla_Alimentacion[[#This Row],[Id_anterior]]))</f>
        <v>1224</v>
      </c>
      <c r="F13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ALIMENTACION_CONSULTAS_CUENTA_CORRIENTE_VALES_CARTOLA_POR_EMPLEADOS</v>
      </c>
      <c r="G137" s="2" t="str">
        <f>CLEAN(PROPER(Tabla_Alimentacion[[#This Row],[Nombre Opción]]))</f>
        <v>Cartola Por Empleados</v>
      </c>
      <c r="H137" s="2" t="s">
        <v>1735</v>
      </c>
      <c r="I137" s="2" t="str">
        <f>_xlfn.XLOOKUP(Tabla_Alimentacion[[#This Row],[id_padre]],Tabla_Alimentacion[Id],Tabla_Alimentacion[Codigo_Tecnico],"",0,1)</f>
        <v>ALIMENTACION_CONSULTAS_CUENTA_CORRIENTE_VALES</v>
      </c>
      <c r="J13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/alimentacion/consultas/cuenta-corriente/vales/cartola-por-empleados</v>
      </c>
      <c r="K13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cartola-por-empleados</v>
      </c>
      <c r="L137" s="2" t="s">
        <v>1378</v>
      </c>
      <c r="M137" s="2" t="s">
        <v>1794</v>
      </c>
      <c r="N137" s="4" t="s">
        <v>360</v>
      </c>
      <c r="O137" s="4" t="s">
        <v>360</v>
      </c>
      <c r="P137" s="4" t="s">
        <v>360</v>
      </c>
      <c r="Q137" s="4" t="s">
        <v>360</v>
      </c>
      <c r="R137" s="4"/>
      <c r="S137" s="4" t="s">
        <v>360</v>
      </c>
      <c r="V137" s="4" t="s">
        <v>360</v>
      </c>
      <c r="W137" s="4" t="s">
        <v>360</v>
      </c>
      <c r="Y137" s="4" t="s">
        <v>360</v>
      </c>
      <c r="Z137" s="2" t="str">
        <f>IF(Tabla_Alimentacion[[#This Row],[id_padre]]=Tabla_Alimentacion[[#This Row],[Id]],"NOK","OK")</f>
        <v>OK</v>
      </c>
    </row>
    <row r="138" spans="1:26" hidden="1" x14ac:dyDescent="0.5">
      <c r="A138" s="2">
        <f>MAX(Tabla_Descuentos[Id])</f>
        <v>1088</v>
      </c>
      <c r="B138">
        <v>1093</v>
      </c>
      <c r="C138" s="5">
        <f>IF(Tabla_Alimentacion[[#This Row],[id_padre]]="",0,_xlfn.XLOOKUP(Tabla_Alimentacion[[#This Row],[id_padre]],Tabla_Alimentacion[Id],Tabla_Alimentacion[Nivel],0,0,1)+1)</f>
        <v>2</v>
      </c>
      <c r="D138" s="2" t="s">
        <v>978</v>
      </c>
      <c r="E138">
        <f>IF(Tabla_Alimentacion[[#This Row],[Id_anterior]]=1,ROW()-1,SUM(ROW()-1,Tabla_Alimentacion[[#This Row],[Id_anterior]]))</f>
        <v>1225</v>
      </c>
      <c r="F13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</v>
      </c>
      <c r="G138" s="2" t="str">
        <f>CLEAN(PROPER(Tabla_Alimentacion[[#This Row],[Nombre Opción]]))</f>
        <v>Existencias</v>
      </c>
      <c r="H138" s="2" t="s">
        <v>1735</v>
      </c>
      <c r="I138" s="2" t="str">
        <f>_xlfn.XLOOKUP(Tabla_Alimentacion[[#This Row],[id_padre]],Tabla_Alimentacion[Id],Tabla_Alimentacion[Codigo_Tecnico],"",0,1)</f>
        <v>ALIMENTACION_INFORMES</v>
      </c>
      <c r="J13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</v>
      </c>
      <c r="K13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existencias</v>
      </c>
      <c r="L138" s="2" t="s">
        <v>1412</v>
      </c>
      <c r="M138" s="2" t="s">
        <v>1794</v>
      </c>
      <c r="N138" s="4" t="s">
        <v>360</v>
      </c>
      <c r="O138" s="4" t="s">
        <v>360</v>
      </c>
      <c r="P138" s="4" t="s">
        <v>360</v>
      </c>
      <c r="Q138" s="4" t="s">
        <v>360</v>
      </c>
      <c r="R138" s="4" t="s">
        <v>360</v>
      </c>
      <c r="S138" s="4" t="s">
        <v>360</v>
      </c>
      <c r="T138" s="4" t="s">
        <v>360</v>
      </c>
      <c r="U138" s="4" t="s">
        <v>360</v>
      </c>
      <c r="V138" s="4" t="s">
        <v>360</v>
      </c>
      <c r="W138" s="4" t="s">
        <v>360</v>
      </c>
      <c r="X138" s="4" t="s">
        <v>360</v>
      </c>
      <c r="Y138" s="4" t="s">
        <v>360</v>
      </c>
      <c r="Z138" s="2" t="str">
        <f>IF(Tabla_Alimentacion[[#This Row],[id_padre]]=Tabla_Alimentacion[[#This Row],[Id]],"NOK","OK")</f>
        <v>OK</v>
      </c>
    </row>
    <row r="139" spans="1:26" hidden="1" x14ac:dyDescent="0.5">
      <c r="A139" s="2">
        <f>MAX(Tabla_Descuentos[Id])</f>
        <v>1088</v>
      </c>
      <c r="B139">
        <v>1225</v>
      </c>
      <c r="C139" s="5">
        <f>IF(Tabla_Alimentacion[[#This Row],[id_padre]]="",0,_xlfn.XLOOKUP(Tabla_Alimentacion[[#This Row],[id_padre]],Tabla_Alimentacion[Id],Tabla_Alimentacion[Nivel],0,0,1)+1)</f>
        <v>3</v>
      </c>
      <c r="D139" s="2" t="s">
        <v>980</v>
      </c>
      <c r="E139">
        <f>IF(Tabla_Alimentacion[[#This Row],[Id_anterior]]=1,ROW()-1,SUM(ROW()-1,Tabla_Alimentacion[[#This Row],[Id_anterior]]))</f>
        <v>1226</v>
      </c>
      <c r="F13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ALIMENTACION_INFORMES_EXISTENCIAS_ARTICULOS</v>
      </c>
      <c r="G139" s="2" t="str">
        <f>CLEAN(PROPER(Tabla_Alimentacion[[#This Row],[Nombre Opción]]))</f>
        <v>Articulos</v>
      </c>
      <c r="H139" s="2" t="s">
        <v>1735</v>
      </c>
      <c r="I139" s="2" t="str">
        <f>_xlfn.XLOOKUP(Tabla_Alimentacion[[#This Row],[id_padre]],Tabla_Alimentacion[Id],Tabla_Alimentacion[Codigo_Tecnico],"",0,1)</f>
        <v>ALIMENTACION_INFORMES_EXISTENCIAS</v>
      </c>
      <c r="J13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/alimentacion/informes/existencias/articulos</v>
      </c>
      <c r="K13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articulos</v>
      </c>
      <c r="L139" s="2" t="s">
        <v>1626</v>
      </c>
      <c r="M139" s="2" t="s">
        <v>1794</v>
      </c>
      <c r="N139" s="4" t="s">
        <v>360</v>
      </c>
      <c r="O139" s="4" t="s">
        <v>360</v>
      </c>
      <c r="P139" s="4" t="s">
        <v>360</v>
      </c>
      <c r="Q139" s="4" t="s">
        <v>360</v>
      </c>
      <c r="R139" s="4" t="s">
        <v>360</v>
      </c>
      <c r="S139" s="4" t="s">
        <v>360</v>
      </c>
      <c r="T139" s="4" t="s">
        <v>360</v>
      </c>
      <c r="U139" s="4" t="s">
        <v>360</v>
      </c>
      <c r="V139" s="4" t="s">
        <v>360</v>
      </c>
      <c r="W139" s="4" t="s">
        <v>360</v>
      </c>
      <c r="X139" s="4" t="s">
        <v>360</v>
      </c>
      <c r="Y139" s="4" t="s">
        <v>360</v>
      </c>
      <c r="Z139" s="2" t="str">
        <f>IF(Tabla_Alimentacion[[#This Row],[id_padre]]=Tabla_Alimentacion[[#This Row],[Id]],"NOK","OK")</f>
        <v>OK</v>
      </c>
    </row>
    <row r="140" spans="1:26" hidden="1" x14ac:dyDescent="0.5">
      <c r="A140" s="2">
        <f>MAX(Tabla_Descuentos[Id])</f>
        <v>1088</v>
      </c>
      <c r="B140">
        <v>1226</v>
      </c>
      <c r="C140" s="5">
        <f>IF(Tabla_Alimentacion[[#This Row],[id_padre]]="",0,_xlfn.XLOOKUP(Tabla_Alimentacion[[#This Row],[id_padre]],Tabla_Alimentacion[Id],Tabla_Alimentacion[Nivel],0,0,1)+1)</f>
        <v>4</v>
      </c>
      <c r="D140" s="2" t="s">
        <v>1071</v>
      </c>
      <c r="E140">
        <f>IF(Tabla_Alimentacion[[#This Row],[Id_anterior]]=1,ROW()-1,SUM(ROW()-1,Tabla_Alimentacion[[#This Row],[Id_anterior]]))</f>
        <v>1227</v>
      </c>
      <c r="F14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ALIMENTACION_INFORMES_EXISTENCIAS_ARTICULOS_POR_CLASE</v>
      </c>
      <c r="G140" s="2" t="str">
        <f>CLEAN(PROPER(Tabla_Alimentacion[[#This Row],[Nombre Opción]]))</f>
        <v>Por Clase</v>
      </c>
      <c r="H140" s="2" t="s">
        <v>1735</v>
      </c>
      <c r="I140" s="2" t="str">
        <f>_xlfn.XLOOKUP(Tabla_Alimentacion[[#This Row],[id_padre]],Tabla_Alimentacion[Id],Tabla_Alimentacion[Codigo_Tecnico],"",0,1)</f>
        <v>ALIMENTACION_INFORMES_EXISTENCIAS_ARTICULOS</v>
      </c>
      <c r="J14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/alimentacion/informes/existencias/articulos/por-clase</v>
      </c>
      <c r="K14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por-clase</v>
      </c>
      <c r="L140" s="2" t="s">
        <v>1514</v>
      </c>
      <c r="M140" s="2" t="s">
        <v>1794</v>
      </c>
      <c r="N140" s="4" t="s">
        <v>360</v>
      </c>
      <c r="O140" s="4" t="s">
        <v>360</v>
      </c>
      <c r="P140" s="4" t="s">
        <v>360</v>
      </c>
      <c r="Q140" s="4" t="s">
        <v>360</v>
      </c>
      <c r="R140" s="4" t="s">
        <v>360</v>
      </c>
      <c r="S140" s="4" t="s">
        <v>360</v>
      </c>
      <c r="T140" s="4" t="s">
        <v>360</v>
      </c>
      <c r="U140" s="4" t="s">
        <v>360</v>
      </c>
      <c r="V140" s="4" t="s">
        <v>360</v>
      </c>
      <c r="W140" s="4" t="s">
        <v>360</v>
      </c>
      <c r="X140" s="4" t="s">
        <v>360</v>
      </c>
      <c r="Y140" s="4" t="s">
        <v>360</v>
      </c>
      <c r="Z140" s="2" t="str">
        <f>IF(Tabla_Alimentacion[[#This Row],[id_padre]]=Tabla_Alimentacion[[#This Row],[Id]],"NOK","OK")</f>
        <v>OK</v>
      </c>
    </row>
    <row r="141" spans="1:26" hidden="1" x14ac:dyDescent="0.5">
      <c r="A141" s="2">
        <f>MAX(Tabla_Descuentos[Id])</f>
        <v>1088</v>
      </c>
      <c r="B141">
        <v>1226</v>
      </c>
      <c r="C141" s="5">
        <f>IF(Tabla_Alimentacion[[#This Row],[id_padre]]="",0,_xlfn.XLOOKUP(Tabla_Alimentacion[[#This Row],[id_padre]],Tabla_Alimentacion[Id],Tabla_Alimentacion[Nivel],0,0,1)+1)</f>
        <v>4</v>
      </c>
      <c r="D141" s="2" t="s">
        <v>1072</v>
      </c>
      <c r="E141">
        <f>IF(Tabla_Alimentacion[[#This Row],[Id_anterior]]=1,ROW()-1,SUM(ROW()-1,Tabla_Alimentacion[[#This Row],[Id_anterior]]))</f>
        <v>1228</v>
      </c>
      <c r="F14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ALIMENTACION_INFORMES_EXISTENCIAS_ARTICULOS_PRECIOS</v>
      </c>
      <c r="G141" s="2" t="str">
        <f>CLEAN(PROPER(Tabla_Alimentacion[[#This Row],[Nombre Opción]]))</f>
        <v>Precios</v>
      </c>
      <c r="H141" s="2" t="s">
        <v>1735</v>
      </c>
      <c r="I141" s="2" t="str">
        <f>_xlfn.XLOOKUP(Tabla_Alimentacion[[#This Row],[id_padre]],Tabla_Alimentacion[Id],Tabla_Alimentacion[Codigo_Tecnico],"",0,1)</f>
        <v>ALIMENTACION_INFORMES_EXISTENCIAS_ARTICULOS</v>
      </c>
      <c r="J14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/alimentacion/informes/existencias/articulos/precios</v>
      </c>
      <c r="K14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precios</v>
      </c>
      <c r="L141" s="2" t="s">
        <v>1641</v>
      </c>
      <c r="M141" s="2" t="s">
        <v>1794</v>
      </c>
      <c r="N141" s="4" t="s">
        <v>360</v>
      </c>
      <c r="O141" s="4" t="s">
        <v>360</v>
      </c>
      <c r="P141" s="4" t="s">
        <v>360</v>
      </c>
      <c r="Q141" s="4" t="s">
        <v>360</v>
      </c>
      <c r="R141" s="4" t="s">
        <v>360</v>
      </c>
      <c r="S141" s="4" t="s">
        <v>360</v>
      </c>
      <c r="T141" s="4" t="s">
        <v>360</v>
      </c>
      <c r="U141" s="4" t="s">
        <v>360</v>
      </c>
      <c r="V141" s="4" t="s">
        <v>360</v>
      </c>
      <c r="W141" s="4" t="s">
        <v>360</v>
      </c>
      <c r="X141" s="4" t="s">
        <v>360</v>
      </c>
      <c r="Y141" s="4" t="s">
        <v>360</v>
      </c>
      <c r="Z141" s="2" t="str">
        <f>IF(Tabla_Alimentacion[[#This Row],[id_padre]]=Tabla_Alimentacion[[#This Row],[Id]],"NOK","OK")</f>
        <v>OK</v>
      </c>
    </row>
    <row r="142" spans="1:26" hidden="1" x14ac:dyDescent="0.5">
      <c r="A142" s="2">
        <f>MAX(Tabla_Descuentos[Id])</f>
        <v>1088</v>
      </c>
      <c r="B142">
        <v>1226</v>
      </c>
      <c r="C142" s="5">
        <f>IF(Tabla_Alimentacion[[#This Row],[id_padre]]="",0,_xlfn.XLOOKUP(Tabla_Alimentacion[[#This Row],[id_padre]],Tabla_Alimentacion[Id],Tabla_Alimentacion[Nivel],0,0,1)+1)</f>
        <v>4</v>
      </c>
      <c r="D142" s="2" t="s">
        <v>1073</v>
      </c>
      <c r="E142">
        <f>IF(Tabla_Alimentacion[[#This Row],[Id_anterior]]=1,ROW()-1,SUM(ROW()-1,Tabla_Alimentacion[[#This Row],[Id_anterior]]))</f>
        <v>1229</v>
      </c>
      <c r="F14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ALIMENTACION_INFORMES_EXISTENCIAS_ARTICULOS_STOCK_BODEGA</v>
      </c>
      <c r="G142" s="2" t="str">
        <f>CLEAN(PROPER(Tabla_Alimentacion[[#This Row],[Nombre Opción]]))</f>
        <v>Stock En Bodega</v>
      </c>
      <c r="H142" s="2" t="s">
        <v>1735</v>
      </c>
      <c r="I142" s="2" t="str">
        <f>_xlfn.XLOOKUP(Tabla_Alimentacion[[#This Row],[id_padre]],Tabla_Alimentacion[Id],Tabla_Alimentacion[Codigo_Tecnico],"",0,1)</f>
        <v>ALIMENTACION_INFORMES_EXISTENCIAS_ARTICULOS</v>
      </c>
      <c r="J14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/alimentacion/informes/existencias/articulos/stock-bodega</v>
      </c>
      <c r="K14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stock-bodega</v>
      </c>
      <c r="L142" s="2" t="s">
        <v>1622</v>
      </c>
      <c r="M142" s="2" t="s">
        <v>1794</v>
      </c>
      <c r="N142" s="4" t="s">
        <v>360</v>
      </c>
      <c r="O142" s="4" t="s">
        <v>360</v>
      </c>
      <c r="P142" s="4" t="s">
        <v>360</v>
      </c>
      <c r="Q142" s="4" t="s">
        <v>360</v>
      </c>
      <c r="R142" s="4" t="s">
        <v>360</v>
      </c>
      <c r="S142" s="4" t="s">
        <v>360</v>
      </c>
      <c r="W142" s="4" t="s">
        <v>360</v>
      </c>
      <c r="Y142" s="4" t="s">
        <v>360</v>
      </c>
      <c r="Z142" s="2" t="str">
        <f>IF(Tabla_Alimentacion[[#This Row],[id_padre]]=Tabla_Alimentacion[[#This Row],[Id]],"NOK","OK")</f>
        <v>OK</v>
      </c>
    </row>
    <row r="143" spans="1:26" hidden="1" x14ac:dyDescent="0.5">
      <c r="A143" s="2">
        <f>MAX(Tabla_Descuentos[Id])</f>
        <v>1088</v>
      </c>
      <c r="B143">
        <v>1225</v>
      </c>
      <c r="C143" s="5">
        <f>IF(Tabla_Alimentacion[[#This Row],[id_padre]]="",0,_xlfn.XLOOKUP(Tabla_Alimentacion[[#This Row],[id_padre]],Tabla_Alimentacion[Id],Tabla_Alimentacion[Nivel],0,0,1)+1)</f>
        <v>3</v>
      </c>
      <c r="D143" s="2" t="s">
        <v>1614</v>
      </c>
      <c r="E143">
        <f>IF(Tabla_Alimentacion[[#This Row],[Id_anterior]]=1,ROW()-1,SUM(ROW()-1,Tabla_Alimentacion[[#This Row],[Id_anterior]]))</f>
        <v>1230</v>
      </c>
      <c r="F14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ALIMENTACION_INFORMES_EXISTENCIAS_MOVIMIENTO</v>
      </c>
      <c r="G143" s="2" t="str">
        <f>CLEAN(PROPER(Tabla_Alimentacion[[#This Row],[Nombre Opción]]))</f>
        <v>Movimiento</v>
      </c>
      <c r="H143" s="2" t="s">
        <v>1735</v>
      </c>
      <c r="I143" s="2" t="str">
        <f>_xlfn.XLOOKUP(Tabla_Alimentacion[[#This Row],[id_padre]],Tabla_Alimentacion[Id],Tabla_Alimentacion[Codigo_Tecnico],"",0,1)</f>
        <v>ALIMENTACION_INFORMES_EXISTENCIAS</v>
      </c>
      <c r="J14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/alimentacion/informes/existencias/movimiento</v>
      </c>
      <c r="K14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movimiento</v>
      </c>
      <c r="L143" s="2" t="s">
        <v>1379</v>
      </c>
      <c r="M143" s="2" t="s">
        <v>1794</v>
      </c>
      <c r="N143" s="4" t="s">
        <v>360</v>
      </c>
      <c r="O143" s="4" t="s">
        <v>360</v>
      </c>
      <c r="P143" s="4" t="s">
        <v>360</v>
      </c>
      <c r="Q143" s="4" t="s">
        <v>360</v>
      </c>
      <c r="R143" s="4" t="s">
        <v>360</v>
      </c>
      <c r="S143" s="4" t="s">
        <v>360</v>
      </c>
      <c r="T143" s="4" t="s">
        <v>360</v>
      </c>
      <c r="U143" s="4" t="s">
        <v>360</v>
      </c>
      <c r="V143" s="4" t="s">
        <v>360</v>
      </c>
      <c r="W143" s="4" t="s">
        <v>360</v>
      </c>
      <c r="X143" s="4" t="s">
        <v>360</v>
      </c>
      <c r="Y143" s="4" t="s">
        <v>360</v>
      </c>
      <c r="Z143" s="2" t="str">
        <f>IF(Tabla_Alimentacion[[#This Row],[id_padre]]=Tabla_Alimentacion[[#This Row],[Id]],"NOK","OK")</f>
        <v>OK</v>
      </c>
    </row>
    <row r="144" spans="1:26" hidden="1" x14ac:dyDescent="0.5">
      <c r="A144" s="2">
        <f>MAX(Tabla_Descuentos[Id])</f>
        <v>1088</v>
      </c>
      <c r="B144">
        <v>1230</v>
      </c>
      <c r="C144" s="5">
        <f>IF(Tabla_Alimentacion[[#This Row],[id_padre]]="",0,_xlfn.XLOOKUP(Tabla_Alimentacion[[#This Row],[id_padre]],Tabla_Alimentacion[Id],Tabla_Alimentacion[Nivel],0,0,1)+1)</f>
        <v>4</v>
      </c>
      <c r="D144" s="2" t="s">
        <v>1042</v>
      </c>
      <c r="E144">
        <f>IF(Tabla_Alimentacion[[#This Row],[Id_anterior]]=1,ROW()-1,SUM(ROW()-1,Tabla_Alimentacion[[#This Row],[Id_anterior]]))</f>
        <v>1231</v>
      </c>
      <c r="F14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ALIMENTACION_INFORMES_EXISTENCIAS_MOVIMIENTO_POR_TIPO</v>
      </c>
      <c r="G144" s="2" t="str">
        <f>CLEAN(PROPER(Tabla_Alimentacion[[#This Row],[Nombre Opción]]))</f>
        <v>Por Tipo</v>
      </c>
      <c r="H144" s="2" t="s">
        <v>1735</v>
      </c>
      <c r="I144" s="2" t="str">
        <f>_xlfn.XLOOKUP(Tabla_Alimentacion[[#This Row],[id_padre]],Tabla_Alimentacion[Id],Tabla_Alimentacion[Codigo_Tecnico],"",0,1)</f>
        <v>ALIMENTACION_INFORMES_EXISTENCIAS_MOVIMIENTO</v>
      </c>
      <c r="J14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/alimentacion/informes/existencias/movimiento/por-tipo</v>
      </c>
      <c r="K14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por-tipo</v>
      </c>
      <c r="L144" s="2" t="s">
        <v>1407</v>
      </c>
      <c r="M144" s="2" t="s">
        <v>1794</v>
      </c>
      <c r="N144" s="4" t="s">
        <v>360</v>
      </c>
      <c r="O144" s="4" t="s">
        <v>360</v>
      </c>
      <c r="P144" s="4" t="s">
        <v>360</v>
      </c>
      <c r="Q144" s="4" t="s">
        <v>360</v>
      </c>
      <c r="R144" s="4" t="s">
        <v>360</v>
      </c>
      <c r="S144" s="4" t="s">
        <v>360</v>
      </c>
      <c r="T144" s="4" t="s">
        <v>360</v>
      </c>
      <c r="U144" s="4" t="s">
        <v>360</v>
      </c>
      <c r="V144" s="4" t="s">
        <v>360</v>
      </c>
      <c r="W144" s="4" t="s">
        <v>360</v>
      </c>
      <c r="X144" s="4" t="s">
        <v>360</v>
      </c>
      <c r="Y144" s="4" t="s">
        <v>360</v>
      </c>
      <c r="Z144" s="2" t="str">
        <f>IF(Tabla_Alimentacion[[#This Row],[id_padre]]=Tabla_Alimentacion[[#This Row],[Id]],"NOK","OK")</f>
        <v>OK</v>
      </c>
    </row>
    <row r="145" spans="1:26" hidden="1" x14ac:dyDescent="0.5">
      <c r="A145" s="2">
        <f>MAX(Tabla_Descuentos[Id])</f>
        <v>1088</v>
      </c>
      <c r="B145">
        <v>1230</v>
      </c>
      <c r="C145" s="5">
        <f>IF(Tabla_Alimentacion[[#This Row],[id_padre]]="",0,_xlfn.XLOOKUP(Tabla_Alimentacion[[#This Row],[id_padre]],Tabla_Alimentacion[Id],Tabla_Alimentacion[Nivel],0,0,1)+1)</f>
        <v>4</v>
      </c>
      <c r="D145" s="2" t="s">
        <v>1074</v>
      </c>
      <c r="E145">
        <f>IF(Tabla_Alimentacion[[#This Row],[Id_anterior]]=1,ROW()-1,SUM(ROW()-1,Tabla_Alimentacion[[#This Row],[Id_anterior]]))</f>
        <v>1232</v>
      </c>
      <c r="F14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ALIMENTACION_INFORMES_EXISTENCIAS_MOVIMIENTO_POR_NUMERO_MOVIMIENTO</v>
      </c>
      <c r="G145" s="2" t="str">
        <f>CLEAN(PROPER(Tabla_Alimentacion[[#This Row],[Nombre Opción]]))</f>
        <v>Por Numero De Movimiento</v>
      </c>
      <c r="H145" s="2" t="s">
        <v>1735</v>
      </c>
      <c r="I145" s="2" t="str">
        <f>_xlfn.XLOOKUP(Tabla_Alimentacion[[#This Row],[id_padre]],Tabla_Alimentacion[Id],Tabla_Alimentacion[Codigo_Tecnico],"",0,1)</f>
        <v>ALIMENTACION_INFORMES_EXISTENCIAS_MOVIMIENTO</v>
      </c>
      <c r="J14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/alimentacion/informes/existencias/movimiento/por-numero-movimiento</v>
      </c>
      <c r="K14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por-numero-movimiento</v>
      </c>
      <c r="L145" s="2" t="s">
        <v>1406</v>
      </c>
      <c r="M145" s="2" t="s">
        <v>1794</v>
      </c>
      <c r="N145" s="4" t="s">
        <v>360</v>
      </c>
      <c r="O145" s="4" t="s">
        <v>360</v>
      </c>
      <c r="P145" s="4" t="s">
        <v>360</v>
      </c>
      <c r="Q145" s="4" t="s">
        <v>360</v>
      </c>
      <c r="R145" s="4" t="s">
        <v>360</v>
      </c>
      <c r="S145" s="4" t="s">
        <v>360</v>
      </c>
      <c r="T145" s="4" t="s">
        <v>360</v>
      </c>
      <c r="U145" s="4" t="s">
        <v>360</v>
      </c>
      <c r="V145" s="4" t="s">
        <v>360</v>
      </c>
      <c r="W145" s="4" t="s">
        <v>360</v>
      </c>
      <c r="X145" s="4" t="s">
        <v>360</v>
      </c>
      <c r="Y145" s="4" t="s">
        <v>360</v>
      </c>
      <c r="Z145" s="2" t="str">
        <f>IF(Tabla_Alimentacion[[#This Row],[id_padre]]=Tabla_Alimentacion[[#This Row],[Id]],"NOK","OK")</f>
        <v>OK</v>
      </c>
    </row>
    <row r="146" spans="1:26" hidden="1" x14ac:dyDescent="0.5">
      <c r="A146" s="2">
        <f>MAX(Tabla_Descuentos[Id])</f>
        <v>1088</v>
      </c>
      <c r="B146">
        <v>1230</v>
      </c>
      <c r="C146" s="5">
        <f>IF(Tabla_Alimentacion[[#This Row],[id_padre]]="",0,_xlfn.XLOOKUP(Tabla_Alimentacion[[#This Row],[id_padre]],Tabla_Alimentacion[Id],Tabla_Alimentacion[Nivel],0,0,1)+1)</f>
        <v>4</v>
      </c>
      <c r="D146" s="2" t="s">
        <v>1044</v>
      </c>
      <c r="E146">
        <f>IF(Tabla_Alimentacion[[#This Row],[Id_anterior]]=1,ROW()-1,SUM(ROW()-1,Tabla_Alimentacion[[#This Row],[Id_anterior]]))</f>
        <v>1233</v>
      </c>
      <c r="F14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ALIMENTACION_INFORMES_EXISTENCIAS_MOVIMIENTO_POR_CENTRO_CONSUMO</v>
      </c>
      <c r="G146" s="2" t="str">
        <f>CLEAN(PROPER(Tabla_Alimentacion[[#This Row],[Nombre Opción]]))</f>
        <v>Por Centro De Consumo</v>
      </c>
      <c r="H146" s="2" t="s">
        <v>1735</v>
      </c>
      <c r="I146" s="2" t="str">
        <f>_xlfn.XLOOKUP(Tabla_Alimentacion[[#This Row],[id_padre]],Tabla_Alimentacion[Id],Tabla_Alimentacion[Codigo_Tecnico],"",0,1)</f>
        <v>ALIMENTACION_INFORMES_EXISTENCIAS_MOVIMIENTO</v>
      </c>
      <c r="J14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/alimentacion/informes/existencias/movimiento/por-centro-consumo</v>
      </c>
      <c r="K14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por-centro-consumo</v>
      </c>
      <c r="L146" s="2" t="s">
        <v>1389</v>
      </c>
      <c r="M146" s="2" t="s">
        <v>1794</v>
      </c>
      <c r="N146" s="4" t="s">
        <v>360</v>
      </c>
      <c r="O146" s="4" t="s">
        <v>360</v>
      </c>
      <c r="P146" s="4" t="s">
        <v>360</v>
      </c>
      <c r="Q146" s="4" t="s">
        <v>360</v>
      </c>
      <c r="R146" s="4" t="s">
        <v>360</v>
      </c>
      <c r="S146" s="4" t="s">
        <v>360</v>
      </c>
      <c r="T146" s="4" t="s">
        <v>360</v>
      </c>
      <c r="U146" s="4" t="s">
        <v>360</v>
      </c>
      <c r="V146" s="4" t="s">
        <v>360</v>
      </c>
      <c r="W146" s="4" t="s">
        <v>360</v>
      </c>
      <c r="X146" s="4" t="s">
        <v>360</v>
      </c>
      <c r="Y146" s="4" t="s">
        <v>360</v>
      </c>
      <c r="Z146" s="2" t="str">
        <f>IF(Tabla_Alimentacion[[#This Row],[id_padre]]=Tabla_Alimentacion[[#This Row],[Id]],"NOK","OK")</f>
        <v>OK</v>
      </c>
    </row>
    <row r="147" spans="1:26" hidden="1" x14ac:dyDescent="0.5">
      <c r="A147" s="2">
        <f>MAX(Tabla_Descuentos[Id])</f>
        <v>1088</v>
      </c>
      <c r="B147">
        <v>1230</v>
      </c>
      <c r="C147" s="5">
        <f>IF(Tabla_Alimentacion[[#This Row],[id_padre]]="",0,_xlfn.XLOOKUP(Tabla_Alimentacion[[#This Row],[id_padre]],Tabla_Alimentacion[Id],Tabla_Alimentacion[Nivel],0,0,1)+1)</f>
        <v>4</v>
      </c>
      <c r="D147" s="2" t="s">
        <v>1075</v>
      </c>
      <c r="E147">
        <f>IF(Tabla_Alimentacion[[#This Row],[Id_anterior]]=1,ROW()-1,SUM(ROW()-1,Tabla_Alimentacion[[#This Row],[Id_anterior]]))</f>
        <v>1234</v>
      </c>
      <c r="F14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ALIMENTACION_INFORMES_EXISTENCIAS_MOVIMIENTO_SALDOS_NEGATIVOS</v>
      </c>
      <c r="G147" s="2" t="str">
        <f>CLEAN(PROPER(Tabla_Alimentacion[[#This Row],[Nombre Opción]]))</f>
        <v>Saldos Negativos</v>
      </c>
      <c r="H147" s="2" t="s">
        <v>1735</v>
      </c>
      <c r="I147" s="2" t="str">
        <f>_xlfn.XLOOKUP(Tabla_Alimentacion[[#This Row],[id_padre]],Tabla_Alimentacion[Id],Tabla_Alimentacion[Codigo_Tecnico],"",0,1)</f>
        <v>ALIMENTACION_INFORMES_EXISTENCIAS_MOVIMIENTO</v>
      </c>
      <c r="J14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/alimentacion/informes/existencias/movimiento/saldos-negativos</v>
      </c>
      <c r="K14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saldos-negativos</v>
      </c>
      <c r="L147" s="2" t="s">
        <v>1475</v>
      </c>
      <c r="M147" s="2" t="s">
        <v>1794</v>
      </c>
      <c r="N147" s="4" t="s">
        <v>360</v>
      </c>
      <c r="O147" s="4" t="s">
        <v>360</v>
      </c>
      <c r="P147" s="4" t="s">
        <v>360</v>
      </c>
      <c r="Q147" s="4" t="s">
        <v>360</v>
      </c>
      <c r="R147" s="4" t="s">
        <v>360</v>
      </c>
      <c r="S147" s="4" t="s">
        <v>360</v>
      </c>
      <c r="T147" s="4" t="s">
        <v>360</v>
      </c>
      <c r="U147" s="4" t="s">
        <v>360</v>
      </c>
      <c r="V147" s="4" t="s">
        <v>360</v>
      </c>
      <c r="W147" s="4" t="s">
        <v>360</v>
      </c>
      <c r="X147" s="4" t="s">
        <v>360</v>
      </c>
      <c r="Y147" s="4" t="s">
        <v>360</v>
      </c>
      <c r="Z147" s="2" t="str">
        <f>IF(Tabla_Alimentacion[[#This Row],[id_padre]]=Tabla_Alimentacion[[#This Row],[Id]],"NOK","OK")</f>
        <v>OK</v>
      </c>
    </row>
    <row r="148" spans="1:26" hidden="1" x14ac:dyDescent="0.5">
      <c r="A148" s="2">
        <f>MAX(Tabla_Descuentos[Id])</f>
        <v>1088</v>
      </c>
      <c r="B148">
        <v>1230</v>
      </c>
      <c r="C148" s="5">
        <f>IF(Tabla_Alimentacion[[#This Row],[id_padre]]="",0,_xlfn.XLOOKUP(Tabla_Alimentacion[[#This Row],[id_padre]],Tabla_Alimentacion[Id],Tabla_Alimentacion[Nivel],0,0,1)+1)</f>
        <v>4</v>
      </c>
      <c r="D148" s="2" t="s">
        <v>1043</v>
      </c>
      <c r="E148">
        <f>IF(Tabla_Alimentacion[[#This Row],[Id_anterior]]=1,ROW()-1,SUM(ROW()-1,Tabla_Alimentacion[[#This Row],[Id_anterior]]))</f>
        <v>1235</v>
      </c>
      <c r="F14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ALIMENTACION_INFORMES_EXISTENCIAS_MOVIMIENTO_POR_MENU</v>
      </c>
      <c r="G148" s="2" t="str">
        <f>CLEAN(PROPER(Tabla_Alimentacion[[#This Row],[Nombre Opción]]))</f>
        <v>Por Menu</v>
      </c>
      <c r="H148" s="2" t="s">
        <v>1735</v>
      </c>
      <c r="I148" s="2" t="str">
        <f>_xlfn.XLOOKUP(Tabla_Alimentacion[[#This Row],[id_padre]],Tabla_Alimentacion[Id],Tabla_Alimentacion[Codigo_Tecnico],"",0,1)</f>
        <v>ALIMENTACION_INFORMES_EXISTENCIAS_MOVIMIENTO</v>
      </c>
      <c r="J14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/alimentacion/informes/existencias/movimiento/por-menu</v>
      </c>
      <c r="K14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por-menu</v>
      </c>
      <c r="L148" s="2" t="s">
        <v>1627</v>
      </c>
      <c r="M148" s="2" t="s">
        <v>1794</v>
      </c>
      <c r="N148" s="4" t="s">
        <v>360</v>
      </c>
      <c r="O148" s="4" t="s">
        <v>360</v>
      </c>
      <c r="P148" s="4" t="s">
        <v>360</v>
      </c>
      <c r="Q148" s="4" t="s">
        <v>360</v>
      </c>
      <c r="R148" s="4" t="s">
        <v>360</v>
      </c>
      <c r="S148" s="4" t="s">
        <v>360</v>
      </c>
      <c r="T148" s="4" t="s">
        <v>360</v>
      </c>
      <c r="U148" s="4" t="s">
        <v>360</v>
      </c>
      <c r="V148" s="4" t="s">
        <v>360</v>
      </c>
      <c r="Y148" s="4" t="s">
        <v>360</v>
      </c>
      <c r="Z148" s="2" t="str">
        <f>IF(Tabla_Alimentacion[[#This Row],[id_padre]]=Tabla_Alimentacion[[#This Row],[Id]],"NOK","OK")</f>
        <v>OK</v>
      </c>
    </row>
    <row r="149" spans="1:26" hidden="1" x14ac:dyDescent="0.5">
      <c r="A149" s="2">
        <f>MAX(Tabla_Descuentos[Id])</f>
        <v>1088</v>
      </c>
      <c r="B149">
        <v>1230</v>
      </c>
      <c r="C149" s="5">
        <f>IF(Tabla_Alimentacion[[#This Row],[id_padre]]="",0,_xlfn.XLOOKUP(Tabla_Alimentacion[[#This Row],[id_padre]],Tabla_Alimentacion[Id],Tabla_Alimentacion[Nivel],0,0,1)+1)</f>
        <v>4</v>
      </c>
      <c r="D149" s="2" t="s">
        <v>1045</v>
      </c>
      <c r="E149">
        <f>IF(Tabla_Alimentacion[[#This Row],[Id_anterior]]=1,ROW()-1,SUM(ROW()-1,Tabla_Alimentacion[[#This Row],[Id_anterior]]))</f>
        <v>1236</v>
      </c>
      <c r="F14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ALIMENTACION_INFORMES_EXISTENCIAS_MOVIMIENTO_POR_ARTICULO</v>
      </c>
      <c r="G149" s="2" t="str">
        <f>CLEAN(PROPER(Tabla_Alimentacion[[#This Row],[Nombre Opción]]))</f>
        <v>Por Articulo</v>
      </c>
      <c r="H149" s="2" t="s">
        <v>1735</v>
      </c>
      <c r="I149" s="2" t="str">
        <f>_xlfn.XLOOKUP(Tabla_Alimentacion[[#This Row],[id_padre]],Tabla_Alimentacion[Id],Tabla_Alimentacion[Codigo_Tecnico],"",0,1)</f>
        <v>ALIMENTACION_INFORMES_EXISTENCIAS_MOVIMIENTO</v>
      </c>
      <c r="J14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/alimentacion/informes/existencias/movimiento/por-articulo</v>
      </c>
      <c r="K14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por-articulo</v>
      </c>
      <c r="L149" s="2" t="s">
        <v>1626</v>
      </c>
      <c r="M149" s="2" t="s">
        <v>1794</v>
      </c>
      <c r="N149" s="4" t="s">
        <v>360</v>
      </c>
      <c r="O149" s="4" t="s">
        <v>360</v>
      </c>
      <c r="P149" s="4" t="s">
        <v>360</v>
      </c>
      <c r="Q149" s="4" t="s">
        <v>360</v>
      </c>
      <c r="R149" s="4" t="s">
        <v>360</v>
      </c>
      <c r="S149" s="4" t="s">
        <v>360</v>
      </c>
      <c r="T149" s="4" t="s">
        <v>360</v>
      </c>
      <c r="U149" s="4" t="s">
        <v>360</v>
      </c>
      <c r="V149" s="4" t="s">
        <v>360</v>
      </c>
      <c r="Y149" s="4" t="s">
        <v>360</v>
      </c>
      <c r="Z149" s="2" t="str">
        <f>IF(Tabla_Alimentacion[[#This Row],[id_padre]]=Tabla_Alimentacion[[#This Row],[Id]],"NOK","OK")</f>
        <v>OK</v>
      </c>
    </row>
    <row r="150" spans="1:26" hidden="1" x14ac:dyDescent="0.5">
      <c r="A150" s="2">
        <f>MAX(Tabla_Descuentos[Id])</f>
        <v>1088</v>
      </c>
      <c r="B150">
        <v>1225</v>
      </c>
      <c r="C150" s="5">
        <f>IF(Tabla_Alimentacion[[#This Row],[id_padre]]="",0,_xlfn.XLOOKUP(Tabla_Alimentacion[[#This Row],[id_padre]],Tabla_Alimentacion[Id],Tabla_Alimentacion[Nivel],0,0,1)+1)</f>
        <v>3</v>
      </c>
      <c r="D150" s="2" t="s">
        <v>1076</v>
      </c>
      <c r="E150">
        <f>IF(Tabla_Alimentacion[[#This Row],[Id_anterior]]=1,ROW()-1,SUM(ROW()-1,Tabla_Alimentacion[[#This Row],[Id_anterior]]))</f>
        <v>1237</v>
      </c>
      <c r="F15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ALIMENTACION_INFORMES_EXISTENCIAS_CENTRO_CONSUMO_POR_UNIDAD</v>
      </c>
      <c r="G150" s="2" t="str">
        <f>CLEAN(PROPER(Tabla_Alimentacion[[#This Row],[Nombre Opción]]))</f>
        <v>Centro De Consumo Por Unidad</v>
      </c>
      <c r="H150" s="2" t="s">
        <v>1735</v>
      </c>
      <c r="I150" s="2" t="str">
        <f>_xlfn.XLOOKUP(Tabla_Alimentacion[[#This Row],[id_padre]],Tabla_Alimentacion[Id],Tabla_Alimentacion[Codigo_Tecnico],"",0,1)</f>
        <v>ALIMENTACION_INFORMES_EXISTENCIAS</v>
      </c>
      <c r="J15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/alimentacion/informes/existencias/centro-consumo-por-unidad</v>
      </c>
      <c r="K15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centro-consumo-por-unidad</v>
      </c>
      <c r="L150" s="2" t="s">
        <v>1389</v>
      </c>
      <c r="M150" s="2" t="s">
        <v>1794</v>
      </c>
      <c r="N150" s="4" t="s">
        <v>360</v>
      </c>
      <c r="O150" s="4" t="s">
        <v>360</v>
      </c>
      <c r="P150" s="4" t="s">
        <v>360</v>
      </c>
      <c r="Q150" s="4" t="s">
        <v>360</v>
      </c>
      <c r="R150" s="4" t="s">
        <v>360</v>
      </c>
      <c r="S150" s="4" t="s">
        <v>360</v>
      </c>
      <c r="T150" s="4" t="s">
        <v>360</v>
      </c>
      <c r="U150" s="4" t="s">
        <v>360</v>
      </c>
      <c r="V150" s="4" t="s">
        <v>360</v>
      </c>
      <c r="W150" s="4" t="s">
        <v>360</v>
      </c>
      <c r="X150" s="4" t="s">
        <v>360</v>
      </c>
      <c r="Y150" s="4" t="s">
        <v>360</v>
      </c>
      <c r="Z150" s="2" t="str">
        <f>IF(Tabla_Alimentacion[[#This Row],[id_padre]]=Tabla_Alimentacion[[#This Row],[Id]],"NOK","OK")</f>
        <v>OK</v>
      </c>
    </row>
    <row r="151" spans="1:26" hidden="1" x14ac:dyDescent="0.5">
      <c r="A151" s="2">
        <f>MAX(Tabla_Descuentos[Id])</f>
        <v>1088</v>
      </c>
      <c r="B151">
        <v>1225</v>
      </c>
      <c r="C151" s="5">
        <f>IF(Tabla_Alimentacion[[#This Row],[id_padre]]="",0,_xlfn.XLOOKUP(Tabla_Alimentacion[[#This Row],[id_padre]],Tabla_Alimentacion[Id],Tabla_Alimentacion[Nivel],0,0,1)+1)</f>
        <v>3</v>
      </c>
      <c r="D151" s="2" t="s">
        <v>1077</v>
      </c>
      <c r="E151">
        <f>IF(Tabla_Alimentacion[[#This Row],[Id_anterior]]=1,ROW()-1,SUM(ROW()-1,Tabla_Alimentacion[[#This Row],[Id_anterior]]))</f>
        <v>1238</v>
      </c>
      <c r="F15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ALIMENTACION_INFORMES_EXISTENCIAS_ASIENTOS_SALIDA_BODEGA</v>
      </c>
      <c r="G151" s="2" t="str">
        <f>CLEAN(PROPER(Tabla_Alimentacion[[#This Row],[Nombre Opción]]))</f>
        <v>Asientos Salida De Bodega</v>
      </c>
      <c r="H151" s="2" t="s">
        <v>1735</v>
      </c>
      <c r="I151" s="2" t="str">
        <f>_xlfn.XLOOKUP(Tabla_Alimentacion[[#This Row],[id_padre]],Tabla_Alimentacion[Id],Tabla_Alimentacion[Codigo_Tecnico],"",0,1)</f>
        <v>ALIMENTACION_INFORMES_EXISTENCIAS</v>
      </c>
      <c r="J15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/alimentacion/informes/existencias/asientos-salida-bodega</v>
      </c>
      <c r="K15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asientos-salida-bodega</v>
      </c>
      <c r="L151" s="2" t="s">
        <v>1349</v>
      </c>
      <c r="M151" s="2" t="s">
        <v>1794</v>
      </c>
      <c r="N151" s="4" t="s">
        <v>360</v>
      </c>
      <c r="O151" s="4" t="s">
        <v>360</v>
      </c>
      <c r="P151" s="4" t="s">
        <v>360</v>
      </c>
      <c r="Q151" s="4" t="s">
        <v>360</v>
      </c>
      <c r="R151" s="4" t="s">
        <v>360</v>
      </c>
      <c r="S151" s="4" t="s">
        <v>360</v>
      </c>
      <c r="T151" s="4" t="s">
        <v>360</v>
      </c>
      <c r="U151" s="4" t="s">
        <v>360</v>
      </c>
      <c r="V151" s="4" t="s">
        <v>360</v>
      </c>
      <c r="W151" s="4" t="s">
        <v>360</v>
      </c>
      <c r="X151" s="4" t="s">
        <v>360</v>
      </c>
      <c r="Y151" s="4" t="s">
        <v>360</v>
      </c>
      <c r="Z151" s="2" t="str">
        <f>IF(Tabla_Alimentacion[[#This Row],[id_padre]]=Tabla_Alimentacion[[#This Row],[Id]],"NOK","OK")</f>
        <v>OK</v>
      </c>
    </row>
    <row r="152" spans="1:26" hidden="1" x14ac:dyDescent="0.5">
      <c r="A152" s="2">
        <f>MAX(Tabla_Descuentos[Id])</f>
        <v>1088</v>
      </c>
      <c r="B152">
        <v>1225</v>
      </c>
      <c r="C152" s="5">
        <f>IF(Tabla_Alimentacion[[#This Row],[id_padre]]="",0,_xlfn.XLOOKUP(Tabla_Alimentacion[[#This Row],[id_padre]],Tabla_Alimentacion[Id],Tabla_Alimentacion[Nivel],0,0,1)+1)</f>
        <v>3</v>
      </c>
      <c r="D152" s="2" t="s">
        <v>1078</v>
      </c>
      <c r="E152">
        <f>IF(Tabla_Alimentacion[[#This Row],[Id_anterior]]=1,ROW()-1,SUM(ROW()-1,Tabla_Alimentacion[[#This Row],[Id_anterior]]))</f>
        <v>1239</v>
      </c>
      <c r="F15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ALIMENTACION_INFORMES_EXISTENCIAS_ASIENTOS_FONDO_FIJO</v>
      </c>
      <c r="G152" s="2" t="str">
        <f>CLEAN(PROPER(Tabla_Alimentacion[[#This Row],[Nombre Opción]]))</f>
        <v>Asientos Fondo Fijo</v>
      </c>
      <c r="H152" s="2" t="s">
        <v>1735</v>
      </c>
      <c r="I152" s="2" t="str">
        <f>_xlfn.XLOOKUP(Tabla_Alimentacion[[#This Row],[id_padre]],Tabla_Alimentacion[Id],Tabla_Alimentacion[Codigo_Tecnico],"",0,1)</f>
        <v>ALIMENTACION_INFORMES_EXISTENCIAS</v>
      </c>
      <c r="J15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/alimentacion/informes/existencias/asientos-fondo-fijo</v>
      </c>
      <c r="K15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asientos-fondo-fijo</v>
      </c>
      <c r="L152" s="2" t="s">
        <v>1364</v>
      </c>
      <c r="M152" s="2" t="s">
        <v>1794</v>
      </c>
      <c r="N152" s="4" t="s">
        <v>360</v>
      </c>
      <c r="O152" s="4" t="s">
        <v>360</v>
      </c>
      <c r="P152" s="4" t="s">
        <v>360</v>
      </c>
      <c r="Q152" s="4" t="s">
        <v>360</v>
      </c>
      <c r="R152" s="4" t="s">
        <v>360</v>
      </c>
      <c r="S152" s="4" t="s">
        <v>360</v>
      </c>
      <c r="T152" s="4" t="s">
        <v>360</v>
      </c>
      <c r="U152" s="4" t="s">
        <v>360</v>
      </c>
      <c r="V152" s="4" t="s">
        <v>360</v>
      </c>
      <c r="W152" s="4" t="s">
        <v>360</v>
      </c>
      <c r="X152" s="4" t="s">
        <v>360</v>
      </c>
      <c r="Y152" s="4" t="s">
        <v>360</v>
      </c>
      <c r="Z152" s="2" t="str">
        <f>IF(Tabla_Alimentacion[[#This Row],[id_padre]]=Tabla_Alimentacion[[#This Row],[Id]],"NOK","OK")</f>
        <v>OK</v>
      </c>
    </row>
    <row r="153" spans="1:26" hidden="1" x14ac:dyDescent="0.5">
      <c r="A153" s="2">
        <f>MAX(Tabla_Descuentos[Id])</f>
        <v>1088</v>
      </c>
      <c r="B153">
        <v>1225</v>
      </c>
      <c r="C153" s="5">
        <f>IF(Tabla_Alimentacion[[#This Row],[id_padre]]="",0,_xlfn.XLOOKUP(Tabla_Alimentacion[[#This Row],[id_padre]],Tabla_Alimentacion[Id],Tabla_Alimentacion[Nivel],0,0,1)+1)</f>
        <v>3</v>
      </c>
      <c r="D153" s="2" t="s">
        <v>1619</v>
      </c>
      <c r="E153">
        <f>IF(Tabla_Alimentacion[[#This Row],[Id_anterior]]=1,ROW()-1,SUM(ROW()-1,Tabla_Alimentacion[[#This Row],[Id_anterior]]))</f>
        <v>1240</v>
      </c>
      <c r="F15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ALIMENTACION_INFORMES_EXISTENCIAS_TOMA_EXISTENCIA</v>
      </c>
      <c r="G153" s="2" t="str">
        <f>CLEAN(PROPER(Tabla_Alimentacion[[#This Row],[Nombre Opción]]))</f>
        <v>Toma De Existencia</v>
      </c>
      <c r="H153" s="2" t="s">
        <v>1735</v>
      </c>
      <c r="I153" s="2" t="str">
        <f>_xlfn.XLOOKUP(Tabla_Alimentacion[[#This Row],[id_padre]],Tabla_Alimentacion[Id],Tabla_Alimentacion[Codigo_Tecnico],"",0,1)</f>
        <v>ALIMENTACION_INFORMES_EXISTENCIAS</v>
      </c>
      <c r="J15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/alimentacion/informes/existencias/toma-existencia</v>
      </c>
      <c r="K15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toma-existencia</v>
      </c>
      <c r="L153" s="2" t="s">
        <v>1386</v>
      </c>
      <c r="M153" s="2" t="s">
        <v>1794</v>
      </c>
      <c r="N153" s="4" t="s">
        <v>360</v>
      </c>
      <c r="O153" s="4" t="s">
        <v>360</v>
      </c>
      <c r="P153" s="4" t="s">
        <v>360</v>
      </c>
      <c r="Q153" s="4" t="s">
        <v>360</v>
      </c>
      <c r="R153" s="4" t="s">
        <v>360</v>
      </c>
      <c r="S153" s="4" t="s">
        <v>360</v>
      </c>
      <c r="T153" s="4" t="s">
        <v>360</v>
      </c>
      <c r="U153" s="4" t="s">
        <v>360</v>
      </c>
      <c r="V153" s="4" t="s">
        <v>360</v>
      </c>
      <c r="W153" s="4" t="s">
        <v>360</v>
      </c>
      <c r="X153" s="4" t="s">
        <v>360</v>
      </c>
      <c r="Y153" s="4" t="s">
        <v>360</v>
      </c>
      <c r="Z153" s="2" t="str">
        <f>IF(Tabla_Alimentacion[[#This Row],[id_padre]]=Tabla_Alimentacion[[#This Row],[Id]],"NOK","OK")</f>
        <v>OK</v>
      </c>
    </row>
    <row r="154" spans="1:26" hidden="1" x14ac:dyDescent="0.5">
      <c r="A154" s="2">
        <f>MAX(Tabla_Descuentos[Id])</f>
        <v>1088</v>
      </c>
      <c r="B154">
        <v>1240</v>
      </c>
      <c r="C154" s="5">
        <f>IF(Tabla_Alimentacion[[#This Row],[id_padre]]="",0,_xlfn.XLOOKUP(Tabla_Alimentacion[[#This Row],[id_padre]],Tabla_Alimentacion[Id],Tabla_Alimentacion[Nivel],0,0,1)+1)</f>
        <v>4</v>
      </c>
      <c r="D154" s="2" t="s">
        <v>1079</v>
      </c>
      <c r="E154">
        <f>IF(Tabla_Alimentacion[[#This Row],[Id_anterior]]=1,ROW()-1,SUM(ROW()-1,Tabla_Alimentacion[[#This Row],[Id_anterior]]))</f>
        <v>1241</v>
      </c>
      <c r="F15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ALIMENTACION_INFORMES_EXISTENCIAS_TOMA_EXISTENCIA_EXISTENCIA_INGRESADA</v>
      </c>
      <c r="G154" s="2" t="str">
        <f>CLEAN(PROPER(Tabla_Alimentacion[[#This Row],[Nombre Opción]]))</f>
        <v>Existencia Ingresada</v>
      </c>
      <c r="H154" s="2" t="s">
        <v>1735</v>
      </c>
      <c r="I154" s="2" t="str">
        <f>_xlfn.XLOOKUP(Tabla_Alimentacion[[#This Row],[id_padre]],Tabla_Alimentacion[Id],Tabla_Alimentacion[Codigo_Tecnico],"",0,1)</f>
        <v>ALIMENTACION_INFORMES_EXISTENCIAS_TOMA_EXISTENCIA</v>
      </c>
      <c r="J15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/alimentacion/informes/existencias/toma-existencia/existencia-ingresada</v>
      </c>
      <c r="K15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existencia-ingresada</v>
      </c>
      <c r="L154" s="2" t="s">
        <v>1508</v>
      </c>
      <c r="M154" s="2" t="s">
        <v>1794</v>
      </c>
      <c r="N154" s="4" t="s">
        <v>360</v>
      </c>
      <c r="O154" s="4" t="s">
        <v>360</v>
      </c>
      <c r="P154" s="4" t="s">
        <v>360</v>
      </c>
      <c r="Q154" s="4" t="s">
        <v>360</v>
      </c>
      <c r="R154" s="4" t="s">
        <v>360</v>
      </c>
      <c r="S154" s="4" t="s">
        <v>360</v>
      </c>
      <c r="T154" s="4" t="s">
        <v>360</v>
      </c>
      <c r="U154" s="4" t="s">
        <v>360</v>
      </c>
      <c r="V154" s="4" t="s">
        <v>360</v>
      </c>
      <c r="W154" s="4" t="s">
        <v>360</v>
      </c>
      <c r="X154" s="4" t="s">
        <v>360</v>
      </c>
      <c r="Y154" s="4" t="s">
        <v>360</v>
      </c>
      <c r="Z154" s="2" t="str">
        <f>IF(Tabla_Alimentacion[[#This Row],[id_padre]]=Tabla_Alimentacion[[#This Row],[Id]],"NOK","OK")</f>
        <v>OK</v>
      </c>
    </row>
    <row r="155" spans="1:26" hidden="1" x14ac:dyDescent="0.5">
      <c r="A155" s="2">
        <f>MAX(Tabla_Descuentos[Id])</f>
        <v>1088</v>
      </c>
      <c r="B155">
        <v>1240</v>
      </c>
      <c r="C155" s="5">
        <f>IF(Tabla_Alimentacion[[#This Row],[id_padre]]="",0,_xlfn.XLOOKUP(Tabla_Alimentacion[[#This Row],[id_padre]],Tabla_Alimentacion[Id],Tabla_Alimentacion[Nivel],0,0,1)+1)</f>
        <v>4</v>
      </c>
      <c r="D155" s="2" t="s">
        <v>1080</v>
      </c>
      <c r="E155">
        <f>IF(Tabla_Alimentacion[[#This Row],[Id_anterior]]=1,ROW()-1,SUM(ROW()-1,Tabla_Alimentacion[[#This Row],[Id_anterior]]))</f>
        <v>1242</v>
      </c>
      <c r="F15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ALIMENTACION_INFORMES_EXISTENCIAS_TOMA_EXISTENCIA_FORMULARIO_PARA_TOMA_EXISTENCIA</v>
      </c>
      <c r="G155" s="2" t="str">
        <f>CLEAN(PROPER(Tabla_Alimentacion[[#This Row],[Nombre Opción]]))</f>
        <v>Formulario Para Toma Existencia</v>
      </c>
      <c r="H155" s="2" t="s">
        <v>1735</v>
      </c>
      <c r="I155" s="2" t="str">
        <f>_xlfn.XLOOKUP(Tabla_Alimentacion[[#This Row],[id_padre]],Tabla_Alimentacion[Id],Tabla_Alimentacion[Codigo_Tecnico],"",0,1)</f>
        <v>ALIMENTACION_INFORMES_EXISTENCIAS_TOMA_EXISTENCIA</v>
      </c>
      <c r="J15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/alimentacion/informes/existencias/toma-existencia/formulario-para-toma-existencia</v>
      </c>
      <c r="K15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formulario-para-toma-existencia</v>
      </c>
      <c r="L155" s="2" t="s">
        <v>1369</v>
      </c>
      <c r="M155" s="2" t="s">
        <v>1794</v>
      </c>
      <c r="N155" s="4" t="s">
        <v>360</v>
      </c>
      <c r="O155" s="4" t="s">
        <v>360</v>
      </c>
      <c r="P155" s="4" t="s">
        <v>360</v>
      </c>
      <c r="Q155" s="4" t="s">
        <v>360</v>
      </c>
      <c r="R155" s="4" t="s">
        <v>360</v>
      </c>
      <c r="S155" s="4" t="s">
        <v>360</v>
      </c>
      <c r="T155" s="4" t="s">
        <v>360</v>
      </c>
      <c r="U155" s="4" t="s">
        <v>360</v>
      </c>
      <c r="V155" s="4" t="s">
        <v>360</v>
      </c>
      <c r="W155" s="4" t="s">
        <v>360</v>
      </c>
      <c r="X155" s="4" t="s">
        <v>360</v>
      </c>
      <c r="Y155" s="4" t="s">
        <v>360</v>
      </c>
      <c r="Z155" s="2" t="str">
        <f>IF(Tabla_Alimentacion[[#This Row],[id_padre]]=Tabla_Alimentacion[[#This Row],[Id]],"NOK","OK")</f>
        <v>OK</v>
      </c>
    </row>
    <row r="156" spans="1:26" hidden="1" x14ac:dyDescent="0.5">
      <c r="A156" s="2">
        <f>MAX(Tabla_Descuentos[Id])</f>
        <v>1088</v>
      </c>
      <c r="B156">
        <v>1225</v>
      </c>
      <c r="C156" s="5">
        <f>IF(Tabla_Alimentacion[[#This Row],[id_padre]]="",0,_xlfn.XLOOKUP(Tabla_Alimentacion[[#This Row],[id_padre]],Tabla_Alimentacion[Id],Tabla_Alimentacion[Nivel],0,0,1)+1)</f>
        <v>3</v>
      </c>
      <c r="D156" s="2" t="s">
        <v>990</v>
      </c>
      <c r="E156">
        <f>IF(Tabla_Alimentacion[[#This Row],[Id_anterior]]=1,ROW()-1,SUM(ROW()-1,Tabla_Alimentacion[[#This Row],[Id_anterior]]))</f>
        <v>1243</v>
      </c>
      <c r="F15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ALIMENTACION_INFORMES_EXISTENCIAS_DIVIDENDO</v>
      </c>
      <c r="G156" s="2" t="str">
        <f>CLEAN(PROPER(Tabla_Alimentacion[[#This Row],[Nombre Opción]]))</f>
        <v>Dividendo</v>
      </c>
      <c r="H156" s="2" t="s">
        <v>1735</v>
      </c>
      <c r="I156" s="2" t="str">
        <f>_xlfn.XLOOKUP(Tabla_Alimentacion[[#This Row],[id_padre]],Tabla_Alimentacion[Id],Tabla_Alimentacion[Codigo_Tecnico],"",0,1)</f>
        <v>ALIMENTACION_INFORMES_EXISTENCIAS</v>
      </c>
      <c r="J15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/alimentacion/informes/existencias/dividendo</v>
      </c>
      <c r="K15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dividendo</v>
      </c>
      <c r="L156" s="2" t="s">
        <v>1411</v>
      </c>
      <c r="M156" s="2" t="s">
        <v>1794</v>
      </c>
      <c r="N156" s="4" t="s">
        <v>360</v>
      </c>
      <c r="O156" s="4" t="s">
        <v>360</v>
      </c>
      <c r="P156" s="4" t="s">
        <v>360</v>
      </c>
      <c r="Q156" s="4" t="s">
        <v>360</v>
      </c>
      <c r="R156" s="4" t="s">
        <v>360</v>
      </c>
      <c r="S156" s="4" t="s">
        <v>360</v>
      </c>
      <c r="T156" s="4" t="s">
        <v>360</v>
      </c>
      <c r="U156" s="4" t="s">
        <v>360</v>
      </c>
      <c r="V156" s="4" t="s">
        <v>360</v>
      </c>
      <c r="W156" s="4" t="s">
        <v>360</v>
      </c>
      <c r="X156" s="4" t="s">
        <v>360</v>
      </c>
      <c r="Y156" s="4" t="s">
        <v>360</v>
      </c>
      <c r="Z156" s="2" t="str">
        <f>IF(Tabla_Alimentacion[[#This Row],[id_padre]]=Tabla_Alimentacion[[#This Row],[Id]],"NOK","OK")</f>
        <v>OK</v>
      </c>
    </row>
    <row r="157" spans="1:26" hidden="1" x14ac:dyDescent="0.5">
      <c r="A157" s="2">
        <f>MAX(Tabla_Descuentos[Id])</f>
        <v>1088</v>
      </c>
      <c r="B157">
        <v>1243</v>
      </c>
      <c r="C157" s="5">
        <f>IF(Tabla_Alimentacion[[#This Row],[id_padre]]="",0,_xlfn.XLOOKUP(Tabla_Alimentacion[[#This Row],[id_padre]],Tabla_Alimentacion[Id],Tabla_Alimentacion[Nivel],0,0,1)+1)</f>
        <v>4</v>
      </c>
      <c r="D157" s="2" t="s">
        <v>1081</v>
      </c>
      <c r="E157">
        <f>IF(Tabla_Alimentacion[[#This Row],[Id_anterior]]=1,ROW()-1,SUM(ROW()-1,Tabla_Alimentacion[[#This Row],[Id_anterior]]))</f>
        <v>1244</v>
      </c>
      <c r="F15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ALIMENTACION_INFORMES_EXISTENCIAS_DIVIDENDO_DEMOSTRACION_MOVIMIENTOS_BODEGA</v>
      </c>
      <c r="G157" s="2" t="str">
        <f>CLEAN(PROPER(Tabla_Alimentacion[[#This Row],[Nombre Opción]]))</f>
        <v>Demostracion Movimientos En Bodega</v>
      </c>
      <c r="H157" s="2" t="s">
        <v>1735</v>
      </c>
      <c r="I157" s="2" t="str">
        <f>_xlfn.XLOOKUP(Tabla_Alimentacion[[#This Row],[id_padre]],Tabla_Alimentacion[Id],Tabla_Alimentacion[Codigo_Tecnico],"",0,1)</f>
        <v>ALIMENTACION_INFORMES_EXISTENCIAS_DIVIDENDO</v>
      </c>
      <c r="J15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/alimentacion/informes/existencias/dividendo/demostracion-movimientos-bodega</v>
      </c>
      <c r="K15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demostracion-movimientos-bodega</v>
      </c>
      <c r="L157" s="2" t="s">
        <v>1421</v>
      </c>
      <c r="M157" s="2" t="s">
        <v>1794</v>
      </c>
      <c r="N157" s="4" t="s">
        <v>360</v>
      </c>
      <c r="O157" s="4" t="s">
        <v>360</v>
      </c>
      <c r="P157" s="4" t="s">
        <v>360</v>
      </c>
      <c r="Q157" s="4" t="s">
        <v>360</v>
      </c>
      <c r="R157" s="4" t="s">
        <v>360</v>
      </c>
      <c r="S157" s="4" t="s">
        <v>360</v>
      </c>
      <c r="T157" s="4" t="s">
        <v>360</v>
      </c>
      <c r="U157" s="4" t="s">
        <v>360</v>
      </c>
      <c r="V157" s="4" t="s">
        <v>360</v>
      </c>
      <c r="W157" s="4" t="s">
        <v>360</v>
      </c>
      <c r="X157" s="4" t="s">
        <v>360</v>
      </c>
      <c r="Y157" s="4" t="s">
        <v>360</v>
      </c>
      <c r="Z157" s="2" t="str">
        <f>IF(Tabla_Alimentacion[[#This Row],[id_padre]]=Tabla_Alimentacion[[#This Row],[Id]],"NOK","OK")</f>
        <v>OK</v>
      </c>
    </row>
    <row r="158" spans="1:26" hidden="1" x14ac:dyDescent="0.5">
      <c r="A158" s="2">
        <f>MAX(Tabla_Descuentos[Id])</f>
        <v>1088</v>
      </c>
      <c r="B158">
        <v>1243</v>
      </c>
      <c r="C158" s="5">
        <f>IF(Tabla_Alimentacion[[#This Row],[id_padre]]="",0,_xlfn.XLOOKUP(Tabla_Alimentacion[[#This Row],[id_padre]],Tabla_Alimentacion[Id],Tabla_Alimentacion[Nivel],0,0,1)+1)</f>
        <v>4</v>
      </c>
      <c r="D158" s="2" t="s">
        <v>990</v>
      </c>
      <c r="E158">
        <f>IF(Tabla_Alimentacion[[#This Row],[Id_anterior]]=1,ROW()-1,SUM(ROW()-1,Tabla_Alimentacion[[#This Row],[Id_anterior]]))</f>
        <v>1245</v>
      </c>
      <c r="F15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ALIMENTACION_INFORMES_EXISTENCIAS_DIVIDENDO_DIVIDENDO</v>
      </c>
      <c r="G158" s="2" t="str">
        <f>CLEAN(PROPER(Tabla_Alimentacion[[#This Row],[Nombre Opción]]))</f>
        <v>Dividendo</v>
      </c>
      <c r="H158" s="2" t="s">
        <v>1735</v>
      </c>
      <c r="I158" s="2" t="str">
        <f>_xlfn.XLOOKUP(Tabla_Alimentacion[[#This Row],[id_padre]],Tabla_Alimentacion[Id],Tabla_Alimentacion[Codigo_Tecnico],"",0,1)</f>
        <v>ALIMENTACION_INFORMES_EXISTENCIAS_DIVIDENDO</v>
      </c>
      <c r="J15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/alimentacion/informes/existencias/dividendo/dividendo</v>
      </c>
      <c r="K15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dividendo</v>
      </c>
      <c r="L158" s="2" t="s">
        <v>1411</v>
      </c>
      <c r="M158" s="2" t="s">
        <v>1794</v>
      </c>
      <c r="N158" s="4" t="s">
        <v>360</v>
      </c>
      <c r="O158" s="4" t="s">
        <v>360</v>
      </c>
      <c r="P158" s="4" t="s">
        <v>360</v>
      </c>
      <c r="Q158" s="4" t="s">
        <v>360</v>
      </c>
      <c r="R158" s="4"/>
      <c r="S158" s="4" t="s">
        <v>360</v>
      </c>
      <c r="W158" s="4" t="s">
        <v>360</v>
      </c>
      <c r="Y158" s="4" t="s">
        <v>360</v>
      </c>
      <c r="Z158" s="2" t="str">
        <f>IF(Tabla_Alimentacion[[#This Row],[id_padre]]=Tabla_Alimentacion[[#This Row],[Id]],"NOK","OK")</f>
        <v>OK</v>
      </c>
    </row>
    <row r="159" spans="1:26" hidden="1" x14ac:dyDescent="0.5">
      <c r="A159" s="2">
        <f>MAX(Tabla_Descuentos[Id])</f>
        <v>1088</v>
      </c>
      <c r="B159">
        <v>1243</v>
      </c>
      <c r="C159" s="5">
        <f>IF(Tabla_Alimentacion[[#This Row],[id_padre]]="",0,_xlfn.XLOOKUP(Tabla_Alimentacion[[#This Row],[id_padre]],Tabla_Alimentacion[Id],Tabla_Alimentacion[Nivel],0,0,1)+1)</f>
        <v>4</v>
      </c>
      <c r="D159" s="2" t="s">
        <v>1082</v>
      </c>
      <c r="E159">
        <f>IF(Tabla_Alimentacion[[#This Row],[Id_anterior]]=1,ROW()-1,SUM(ROW()-1,Tabla_Alimentacion[[#This Row],[Id_anterior]]))</f>
        <v>1246</v>
      </c>
      <c r="F15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ALIMENTACION_INFORMES_EXISTENCIAS_DIVIDENDO_INFORME_GESTION_BODEGA</v>
      </c>
      <c r="G159" s="2" t="str">
        <f>CLEAN(PROPER(Tabla_Alimentacion[[#This Row],[Nombre Opción]]))</f>
        <v>Informe De Gestion (Bodega)</v>
      </c>
      <c r="H159" s="2" t="s">
        <v>1735</v>
      </c>
      <c r="I159" s="2" t="str">
        <f>_xlfn.XLOOKUP(Tabla_Alimentacion[[#This Row],[id_padre]],Tabla_Alimentacion[Id],Tabla_Alimentacion[Codigo_Tecnico],"",0,1)</f>
        <v>ALIMENTACION_INFORMES_EXISTENCIAS_DIVIDENDO</v>
      </c>
      <c r="J15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/alimentacion/informes/existencias/dividendo/informe-gestion-bodega</v>
      </c>
      <c r="K15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informe-gestion-bodega</v>
      </c>
      <c r="L159" s="2" t="s">
        <v>1340</v>
      </c>
      <c r="M159" s="2" t="s">
        <v>1794</v>
      </c>
      <c r="N159" s="4" t="s">
        <v>360</v>
      </c>
      <c r="O159" s="4" t="s">
        <v>360</v>
      </c>
      <c r="P159" s="4" t="s">
        <v>360</v>
      </c>
      <c r="Q159" s="4" t="s">
        <v>360</v>
      </c>
      <c r="R159" s="4"/>
      <c r="S159" s="4" t="s">
        <v>360</v>
      </c>
      <c r="W159" s="4" t="s">
        <v>360</v>
      </c>
      <c r="Y159" s="4" t="s">
        <v>360</v>
      </c>
      <c r="Z159" s="2" t="str">
        <f>IF(Tabla_Alimentacion[[#This Row],[id_padre]]=Tabla_Alimentacion[[#This Row],[Id]],"NOK","OK")</f>
        <v>OK</v>
      </c>
    </row>
    <row r="160" spans="1:26" hidden="1" x14ac:dyDescent="0.5">
      <c r="A160" s="2">
        <f>MAX(Tabla_Descuentos[Id])</f>
        <v>1088</v>
      </c>
      <c r="B160">
        <v>1243</v>
      </c>
      <c r="C160" s="5">
        <f>IF(Tabla_Alimentacion[[#This Row],[id_padre]]="",0,_xlfn.XLOOKUP(Tabla_Alimentacion[[#This Row],[id_padre]],Tabla_Alimentacion[Id],Tabla_Alimentacion[Nivel],0,0,1)+1)</f>
        <v>4</v>
      </c>
      <c r="D160" s="2" t="s">
        <v>1083</v>
      </c>
      <c r="E160">
        <f>IF(Tabla_Alimentacion[[#This Row],[Id_anterior]]=1,ROW()-1,SUM(ROW()-1,Tabla_Alimentacion[[#This Row],[Id_anterior]]))</f>
        <v>1247</v>
      </c>
      <c r="F16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ALIMENTACION_INFORMES_EXISTENCIAS_DIVIDENDO_COMPRAS_MES</v>
      </c>
      <c r="G160" s="2" t="str">
        <f>CLEAN(PROPER(Tabla_Alimentacion[[#This Row],[Nombre Opción]]))</f>
        <v>Compras Del Mes</v>
      </c>
      <c r="H160" s="2" t="s">
        <v>1735</v>
      </c>
      <c r="I160" s="2" t="str">
        <f>_xlfn.XLOOKUP(Tabla_Alimentacion[[#This Row],[id_padre]],Tabla_Alimentacion[Id],Tabla_Alimentacion[Codigo_Tecnico],"",0,1)</f>
        <v>ALIMENTACION_INFORMES_EXISTENCIAS_DIVIDENDO</v>
      </c>
      <c r="J16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/alimentacion/informes/existencias/dividendo/compras-mes</v>
      </c>
      <c r="K16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compras-mes</v>
      </c>
      <c r="L160" s="2" t="s">
        <v>1533</v>
      </c>
      <c r="M160" s="2" t="s">
        <v>1794</v>
      </c>
      <c r="N160" s="4" t="s">
        <v>360</v>
      </c>
      <c r="O160" s="4" t="s">
        <v>360</v>
      </c>
      <c r="P160" s="4" t="s">
        <v>360</v>
      </c>
      <c r="Q160" s="4" t="s">
        <v>360</v>
      </c>
      <c r="R160" s="4"/>
      <c r="S160" s="4" t="s">
        <v>360</v>
      </c>
      <c r="W160" s="4" t="s">
        <v>360</v>
      </c>
      <c r="Y160" s="4" t="s">
        <v>360</v>
      </c>
      <c r="Z160" s="2" t="str">
        <f>IF(Tabla_Alimentacion[[#This Row],[id_padre]]=Tabla_Alimentacion[[#This Row],[Id]],"NOK","OK")</f>
        <v>OK</v>
      </c>
    </row>
    <row r="161" spans="1:26" hidden="1" x14ac:dyDescent="0.5">
      <c r="A161" s="2">
        <f>MAX(Tabla_Descuentos[Id])</f>
        <v>1088</v>
      </c>
      <c r="B161">
        <v>1243</v>
      </c>
      <c r="C161" s="5">
        <f>IF(Tabla_Alimentacion[[#This Row],[id_padre]]="",0,_xlfn.XLOOKUP(Tabla_Alimentacion[[#This Row],[id_padre]],Tabla_Alimentacion[Id],Tabla_Alimentacion[Nivel],0,0,1)+1)</f>
        <v>4</v>
      </c>
      <c r="D161" s="2" t="s">
        <v>1084</v>
      </c>
      <c r="E161">
        <f>IF(Tabla_Alimentacion[[#This Row],[Id_anterior]]=1,ROW()-1,SUM(ROW()-1,Tabla_Alimentacion[[#This Row],[Id_anterior]]))</f>
        <v>1248</v>
      </c>
      <c r="F16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ALIMENTACION_INFORMES_EXISTENCIAS_DIVIDENDO_CUADRATURA_DIVIDENDO_CONSUMOS_FISCALES</v>
      </c>
      <c r="G161" s="2" t="str">
        <f>CLEAN(PROPER(Tabla_Alimentacion[[#This Row],[Nombre Opción]]))</f>
        <v>Cuadratura Dividendo Consumos Fiscales</v>
      </c>
      <c r="H161" s="2" t="s">
        <v>1735</v>
      </c>
      <c r="I161" s="2" t="str">
        <f>_xlfn.XLOOKUP(Tabla_Alimentacion[[#This Row],[id_padre]],Tabla_Alimentacion[Id],Tabla_Alimentacion[Codigo_Tecnico],"",0,1)</f>
        <v>ALIMENTACION_INFORMES_EXISTENCIAS_DIVIDENDO</v>
      </c>
      <c r="J16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/alimentacion/informes/existencias/dividendo/cuadratura-dividendo-consumos-fiscales</v>
      </c>
      <c r="K16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cuadratura-dividendo-consumos-fiscales</v>
      </c>
      <c r="L161" s="2" t="s">
        <v>1431</v>
      </c>
      <c r="M161" s="2" t="s">
        <v>1794</v>
      </c>
      <c r="N161" s="4" t="s">
        <v>360</v>
      </c>
      <c r="O161" s="4" t="s">
        <v>360</v>
      </c>
      <c r="P161" s="4" t="s">
        <v>360</v>
      </c>
      <c r="Q161" s="4" t="s">
        <v>360</v>
      </c>
      <c r="R161" s="4"/>
      <c r="S161" s="4" t="s">
        <v>360</v>
      </c>
      <c r="W161" s="4" t="s">
        <v>360</v>
      </c>
      <c r="Y161" s="4" t="s">
        <v>360</v>
      </c>
      <c r="Z161" s="2" t="str">
        <f>IF(Tabla_Alimentacion[[#This Row],[id_padre]]=Tabla_Alimentacion[[#This Row],[Id]],"NOK","OK")</f>
        <v>OK</v>
      </c>
    </row>
    <row r="162" spans="1:26" hidden="1" x14ac:dyDescent="0.5">
      <c r="A162" s="2">
        <f>MAX(Tabla_Descuentos[Id])</f>
        <v>1088</v>
      </c>
      <c r="B162">
        <v>1243</v>
      </c>
      <c r="C162" s="5">
        <f>IF(Tabla_Alimentacion[[#This Row],[id_padre]]="",0,_xlfn.XLOOKUP(Tabla_Alimentacion[[#This Row],[id_padre]],Tabla_Alimentacion[Id],Tabla_Alimentacion[Nivel],0,0,1)+1)</f>
        <v>4</v>
      </c>
      <c r="D162" s="2" t="s">
        <v>1085</v>
      </c>
      <c r="E162">
        <f>IF(Tabla_Alimentacion[[#This Row],[Id_anterior]]=1,ROW()-1,SUM(ROW()-1,Tabla_Alimentacion[[#This Row],[Id_anterior]]))</f>
        <v>1249</v>
      </c>
      <c r="F16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ALIMENTACION_INFORMES_EXISTENCIAS_DIVIDENDO_CUADRATURA_DIVIDENDO_CONSUMOS_EXTRAS</v>
      </c>
      <c r="G162" s="2" t="str">
        <f>CLEAN(PROPER(Tabla_Alimentacion[[#This Row],[Nombre Opción]]))</f>
        <v>Cuadratura Dividendo Consumos Extras</v>
      </c>
      <c r="H162" s="2" t="s">
        <v>1735</v>
      </c>
      <c r="I162" s="2" t="str">
        <f>_xlfn.XLOOKUP(Tabla_Alimentacion[[#This Row],[id_padre]],Tabla_Alimentacion[Id],Tabla_Alimentacion[Codigo_Tecnico],"",0,1)</f>
        <v>ALIMENTACION_INFORMES_EXISTENCIAS_DIVIDENDO</v>
      </c>
      <c r="J16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/alimentacion/informes/existencias/dividendo/cuadratura-dividendo-consumos-extras</v>
      </c>
      <c r="K16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cuadratura-dividendo-consumos-extras</v>
      </c>
      <c r="L162" s="2" t="s">
        <v>1408</v>
      </c>
      <c r="M162" s="2" t="s">
        <v>1794</v>
      </c>
      <c r="N162" s="4" t="s">
        <v>360</v>
      </c>
      <c r="O162" s="4" t="s">
        <v>360</v>
      </c>
      <c r="P162" s="4" t="s">
        <v>360</v>
      </c>
      <c r="Q162" s="4" t="s">
        <v>360</v>
      </c>
      <c r="R162" s="4"/>
      <c r="S162" s="4" t="s">
        <v>360</v>
      </c>
      <c r="W162" s="4" t="s">
        <v>360</v>
      </c>
      <c r="Y162" s="4" t="s">
        <v>360</v>
      </c>
      <c r="Z162" s="2" t="str">
        <f>IF(Tabla_Alimentacion[[#This Row],[id_padre]]=Tabla_Alimentacion[[#This Row],[Id]],"NOK","OK")</f>
        <v>OK</v>
      </c>
    </row>
    <row r="163" spans="1:26" hidden="1" x14ac:dyDescent="0.5">
      <c r="A163" s="2">
        <f>MAX(Tabla_Descuentos[Id])</f>
        <v>1088</v>
      </c>
      <c r="B163">
        <v>1093</v>
      </c>
      <c r="C163" s="5">
        <f>IF(Tabla_Alimentacion[[#This Row],[id_padre]]="",0,_xlfn.XLOOKUP(Tabla_Alimentacion[[#This Row],[id_padre]],Tabla_Alimentacion[Id],Tabla_Alimentacion[Nivel],0,0,1)+1)</f>
        <v>2</v>
      </c>
      <c r="D163" s="2" t="s">
        <v>1616</v>
      </c>
      <c r="E163">
        <f>IF(Tabla_Alimentacion[[#This Row],[Id_anterior]]=1,ROW()-1,SUM(ROW()-1,Tabla_Alimentacion[[#This Row],[Id_anterior]]))</f>
        <v>1250</v>
      </c>
      <c r="F16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</v>
      </c>
      <c r="G163" s="2" t="str">
        <f>CLEAN(PROPER(Tabla_Alimentacion[[#This Row],[Nombre Opción]]))</f>
        <v>Produccion</v>
      </c>
      <c r="H163" s="2" t="s">
        <v>1735</v>
      </c>
      <c r="I163" s="2" t="str">
        <f>_xlfn.XLOOKUP(Tabla_Alimentacion[[#This Row],[id_padre]],Tabla_Alimentacion[Id],Tabla_Alimentacion[Codigo_Tecnico],"",0,1)</f>
        <v>ALIMENTACION_INFORMES</v>
      </c>
      <c r="J16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</v>
      </c>
      <c r="K16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produccion</v>
      </c>
      <c r="L163" s="2" t="s">
        <v>1624</v>
      </c>
      <c r="M163" s="2" t="s">
        <v>1794</v>
      </c>
      <c r="N163" s="4" t="s">
        <v>360</v>
      </c>
      <c r="O163" s="4" t="s">
        <v>360</v>
      </c>
      <c r="P163" s="4" t="s">
        <v>360</v>
      </c>
      <c r="Q163" s="4" t="s">
        <v>360</v>
      </c>
      <c r="R163" s="4" t="s">
        <v>360</v>
      </c>
      <c r="S163" s="4"/>
      <c r="T163" s="4" t="s">
        <v>360</v>
      </c>
      <c r="Y163" s="4" t="s">
        <v>360</v>
      </c>
      <c r="Z163" s="2" t="str">
        <f>IF(Tabla_Alimentacion[[#This Row],[id_padre]]=Tabla_Alimentacion[[#This Row],[Id]],"NOK","OK")</f>
        <v>OK</v>
      </c>
    </row>
    <row r="164" spans="1:26" hidden="1" x14ac:dyDescent="0.5">
      <c r="A164" s="2">
        <f>MAX(Tabla_Descuentos[Id])</f>
        <v>1088</v>
      </c>
      <c r="B164">
        <v>1250</v>
      </c>
      <c r="C164" s="5">
        <f>IF(Tabla_Alimentacion[[#This Row],[id_padre]]="",0,_xlfn.XLOOKUP(Tabla_Alimentacion[[#This Row],[id_padre]],Tabla_Alimentacion[Id],Tabla_Alimentacion[Nivel],0,0,1)+1)</f>
        <v>3</v>
      </c>
      <c r="D164" s="2" t="s">
        <v>988</v>
      </c>
      <c r="E164">
        <f>IF(Tabla_Alimentacion[[#This Row],[Id_anterior]]=1,ROW()-1,SUM(ROW()-1,Tabla_Alimentacion[[#This Row],[Id_anterior]]))</f>
        <v>1251</v>
      </c>
      <c r="F16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ALIMENTACION_INFORMES_PRODUCCION_PLATOS</v>
      </c>
      <c r="G164" s="2" t="str">
        <f>CLEAN(PROPER(Tabla_Alimentacion[[#This Row],[Nombre Opción]]))</f>
        <v>Platos</v>
      </c>
      <c r="H164" s="2" t="s">
        <v>1735</v>
      </c>
      <c r="I164" s="2" t="str">
        <f>_xlfn.XLOOKUP(Tabla_Alimentacion[[#This Row],[id_padre]],Tabla_Alimentacion[Id],Tabla_Alimentacion[Codigo_Tecnico],"",0,1)</f>
        <v>ALIMENTACION_INFORMES_PRODUCCION</v>
      </c>
      <c r="J16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/alimentacion/informes/produccion/platos</v>
      </c>
      <c r="K16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platos</v>
      </c>
      <c r="L164" s="2" t="s">
        <v>1627</v>
      </c>
      <c r="M164" s="2" t="s">
        <v>1794</v>
      </c>
      <c r="N164" s="4" t="s">
        <v>360</v>
      </c>
      <c r="O164" s="4" t="s">
        <v>360</v>
      </c>
      <c r="P164" s="4" t="s">
        <v>360</v>
      </c>
      <c r="Q164" s="4" t="s">
        <v>360</v>
      </c>
      <c r="R164" s="4" t="s">
        <v>360</v>
      </c>
      <c r="S164" s="4"/>
      <c r="T164" s="4" t="s">
        <v>360</v>
      </c>
      <c r="Y164" s="4" t="s">
        <v>360</v>
      </c>
      <c r="Z164" s="2" t="str">
        <f>IF(Tabla_Alimentacion[[#This Row],[id_padre]]=Tabla_Alimentacion[[#This Row],[Id]],"NOK","OK")</f>
        <v>OK</v>
      </c>
    </row>
    <row r="165" spans="1:26" hidden="1" x14ac:dyDescent="0.5">
      <c r="A165" s="2">
        <f>MAX(Tabla_Descuentos[Id])</f>
        <v>1088</v>
      </c>
      <c r="B165">
        <v>1250</v>
      </c>
      <c r="C165" s="5">
        <f>IF(Tabla_Alimentacion[[#This Row],[id_padre]]="",0,_xlfn.XLOOKUP(Tabla_Alimentacion[[#This Row],[id_padre]],Tabla_Alimentacion[Id],Tabla_Alimentacion[Nivel],0,0,1)+1)</f>
        <v>3</v>
      </c>
      <c r="D165" s="2" t="s">
        <v>1086</v>
      </c>
      <c r="E165">
        <f>IF(Tabla_Alimentacion[[#This Row],[Id_anterior]]=1,ROW()-1,SUM(ROW()-1,Tabla_Alimentacion[[#This Row],[Id_anterior]]))</f>
        <v>1252</v>
      </c>
      <c r="F16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ALIMENTACION_INFORMES_PRODUCCION_DETALLE_PLATOS</v>
      </c>
      <c r="G165" s="2" t="str">
        <f>CLEAN(PROPER(Tabla_Alimentacion[[#This Row],[Nombre Opción]]))</f>
        <v>Detalle De Platos</v>
      </c>
      <c r="H165" s="2" t="s">
        <v>1735</v>
      </c>
      <c r="I165" s="2" t="str">
        <f>_xlfn.XLOOKUP(Tabla_Alimentacion[[#This Row],[id_padre]],Tabla_Alimentacion[Id],Tabla_Alimentacion[Codigo_Tecnico],"",0,1)</f>
        <v>ALIMENTACION_INFORMES_PRODUCCION</v>
      </c>
      <c r="J16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/alimentacion/informes/produccion/detalle-platos</v>
      </c>
      <c r="K16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detalle-platos</v>
      </c>
      <c r="L165" s="2" t="s">
        <v>1627</v>
      </c>
      <c r="M165" s="2" t="s">
        <v>1794</v>
      </c>
      <c r="N165" s="4" t="s">
        <v>360</v>
      </c>
      <c r="O165" s="4" t="s">
        <v>360</v>
      </c>
      <c r="P165" s="4" t="s">
        <v>360</v>
      </c>
      <c r="Q165" s="4" t="s">
        <v>360</v>
      </c>
      <c r="R165" s="4" t="s">
        <v>360</v>
      </c>
      <c r="S165" s="4"/>
      <c r="T165" s="4" t="s">
        <v>360</v>
      </c>
      <c r="Y165" s="4" t="s">
        <v>360</v>
      </c>
      <c r="Z165" s="2" t="str">
        <f>IF(Tabla_Alimentacion[[#This Row],[id_padre]]=Tabla_Alimentacion[[#This Row],[Id]],"NOK","OK")</f>
        <v>OK</v>
      </c>
    </row>
    <row r="166" spans="1:26" hidden="1" x14ac:dyDescent="0.5">
      <c r="A166" s="2">
        <f>MAX(Tabla_Descuentos[Id])</f>
        <v>1088</v>
      </c>
      <c r="B166">
        <v>1250</v>
      </c>
      <c r="C166" s="5">
        <f>IF(Tabla_Alimentacion[[#This Row],[id_padre]]="",0,_xlfn.XLOOKUP(Tabla_Alimentacion[[#This Row],[id_padre]],Tabla_Alimentacion[Id],Tabla_Alimentacion[Nivel],0,0,1)+1)</f>
        <v>3</v>
      </c>
      <c r="D166" s="2" t="s">
        <v>1051</v>
      </c>
      <c r="E166">
        <f>IF(Tabla_Alimentacion[[#This Row],[Id_anterior]]=1,ROW()-1,SUM(ROW()-1,Tabla_Alimentacion[[#This Row],[Id_anterior]]))</f>
        <v>1253</v>
      </c>
      <c r="F16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ALIMENTACION_INFORMES_PRODUCCION_EXTRAS</v>
      </c>
      <c r="G166" s="2" t="str">
        <f>CLEAN(PROPER(Tabla_Alimentacion[[#This Row],[Nombre Opción]]))</f>
        <v>Extras</v>
      </c>
      <c r="H166" s="2" t="s">
        <v>1735</v>
      </c>
      <c r="I166" s="2" t="str">
        <f>_xlfn.XLOOKUP(Tabla_Alimentacion[[#This Row],[id_padre]],Tabla_Alimentacion[Id],Tabla_Alimentacion[Codigo_Tecnico],"",0,1)</f>
        <v>ALIMENTACION_INFORMES_PRODUCCION</v>
      </c>
      <c r="J16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/alimentacion/informes/produccion/extras</v>
      </c>
      <c r="K16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extras</v>
      </c>
      <c r="L166" s="2" t="s">
        <v>1639</v>
      </c>
      <c r="M166" s="2" t="s">
        <v>1794</v>
      </c>
      <c r="N166" s="4" t="s">
        <v>360</v>
      </c>
      <c r="O166" s="4" t="s">
        <v>360</v>
      </c>
      <c r="P166" s="4" t="s">
        <v>360</v>
      </c>
      <c r="Q166" s="4" t="s">
        <v>360</v>
      </c>
      <c r="R166" s="4" t="s">
        <v>360</v>
      </c>
      <c r="S166" s="4"/>
      <c r="T166" s="4" t="s">
        <v>360</v>
      </c>
      <c r="W166" s="4" t="s">
        <v>360</v>
      </c>
      <c r="Y166" s="4" t="s">
        <v>360</v>
      </c>
      <c r="Z166" s="2" t="str">
        <f>IF(Tabla_Alimentacion[[#This Row],[id_padre]]=Tabla_Alimentacion[[#This Row],[Id]],"NOK","OK")</f>
        <v>OK</v>
      </c>
    </row>
    <row r="167" spans="1:26" hidden="1" x14ac:dyDescent="0.5">
      <c r="A167" s="2">
        <f>MAX(Tabla_Descuentos[Id])</f>
        <v>1088</v>
      </c>
      <c r="B167">
        <v>1250</v>
      </c>
      <c r="C167" s="5">
        <f>IF(Tabla_Alimentacion[[#This Row],[id_padre]]="",0,_xlfn.XLOOKUP(Tabla_Alimentacion[[#This Row],[id_padre]],Tabla_Alimentacion[Id],Tabla_Alimentacion[Nivel],0,0,1)+1)</f>
        <v>3</v>
      </c>
      <c r="D167" s="2" t="s">
        <v>1087</v>
      </c>
      <c r="E167">
        <f>IF(Tabla_Alimentacion[[#This Row],[Id_anterior]]=1,ROW()-1,SUM(ROW()-1,Tabla_Alimentacion[[#This Row],[Id_anterior]]))</f>
        <v>1254</v>
      </c>
      <c r="F16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ALIMENTACION_INFORMES_PRODUCCION_DETALLE_EXTRAS</v>
      </c>
      <c r="G167" s="2" t="str">
        <f>CLEAN(PROPER(Tabla_Alimentacion[[#This Row],[Nombre Opción]]))</f>
        <v>Detalle De Extras</v>
      </c>
      <c r="H167" s="2" t="s">
        <v>1735</v>
      </c>
      <c r="I167" s="2" t="str">
        <f>_xlfn.XLOOKUP(Tabla_Alimentacion[[#This Row],[id_padre]],Tabla_Alimentacion[Id],Tabla_Alimentacion[Codigo_Tecnico],"",0,1)</f>
        <v>ALIMENTACION_INFORMES_PRODUCCION</v>
      </c>
      <c r="J16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/alimentacion/informes/produccion/detalle-extras</v>
      </c>
      <c r="K16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detalle-extras</v>
      </c>
      <c r="L167" s="2" t="s">
        <v>1428</v>
      </c>
      <c r="M167" s="2" t="s">
        <v>1794</v>
      </c>
      <c r="N167" s="4" t="s">
        <v>360</v>
      </c>
      <c r="O167" s="4" t="s">
        <v>360</v>
      </c>
      <c r="P167" s="4" t="s">
        <v>360</v>
      </c>
      <c r="Q167" s="4" t="s">
        <v>360</v>
      </c>
      <c r="R167" s="4" t="s">
        <v>360</v>
      </c>
      <c r="S167" s="4" t="s">
        <v>360</v>
      </c>
      <c r="Y167" s="4" t="s">
        <v>360</v>
      </c>
      <c r="Z167" s="2" t="str">
        <f>IF(Tabla_Alimentacion[[#This Row],[id_padre]]=Tabla_Alimentacion[[#This Row],[Id]],"NOK","OK")</f>
        <v>OK</v>
      </c>
    </row>
    <row r="168" spans="1:26" hidden="1" x14ac:dyDescent="0.5">
      <c r="A168" s="2">
        <f>MAX(Tabla_Descuentos[Id])</f>
        <v>1088</v>
      </c>
      <c r="B168">
        <v>1250</v>
      </c>
      <c r="C168" s="5">
        <f>IF(Tabla_Alimentacion[[#This Row],[id_padre]]="",0,_xlfn.XLOOKUP(Tabla_Alimentacion[[#This Row],[id_padre]],Tabla_Alimentacion[Id],Tabla_Alimentacion[Nivel],0,0,1)+1)</f>
        <v>3</v>
      </c>
      <c r="D168" s="2" t="s">
        <v>1617</v>
      </c>
      <c r="E168">
        <f>IF(Tabla_Alimentacion[[#This Row],[Id_anterior]]=1,ROW()-1,SUM(ROW()-1,Tabla_Alimentacion[[#This Row],[Id_anterior]]))</f>
        <v>1255</v>
      </c>
      <c r="F16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ALIMENTACION_INFORMES_PRODUCCION_MINUTAS</v>
      </c>
      <c r="G168" s="2" t="str">
        <f>CLEAN(PROPER(Tabla_Alimentacion[[#This Row],[Nombre Opción]]))</f>
        <v>Minutas</v>
      </c>
      <c r="H168" s="2" t="s">
        <v>1735</v>
      </c>
      <c r="I168" s="2" t="str">
        <f>_xlfn.XLOOKUP(Tabla_Alimentacion[[#This Row],[id_padre]],Tabla_Alimentacion[Id],Tabla_Alimentacion[Codigo_Tecnico],"",0,1)</f>
        <v>ALIMENTACION_INFORMES_PRODUCCION</v>
      </c>
      <c r="J16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/alimentacion/informes/produccion/minutas</v>
      </c>
      <c r="K16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minutas</v>
      </c>
      <c r="L168" s="2" t="s">
        <v>1487</v>
      </c>
      <c r="M168" s="2" t="s">
        <v>1794</v>
      </c>
      <c r="N168" s="4" t="s">
        <v>360</v>
      </c>
      <c r="O168" s="4" t="s">
        <v>360</v>
      </c>
      <c r="P168" s="4" t="s">
        <v>360</v>
      </c>
      <c r="Q168" s="4" t="s">
        <v>360</v>
      </c>
      <c r="R168" s="4" t="s">
        <v>360</v>
      </c>
      <c r="S168" s="4" t="s">
        <v>360</v>
      </c>
      <c r="Y168" s="4" t="s">
        <v>360</v>
      </c>
      <c r="Z168" s="2" t="str">
        <f>IF(Tabla_Alimentacion[[#This Row],[id_padre]]=Tabla_Alimentacion[[#This Row],[Id]],"NOK","OK")</f>
        <v>OK</v>
      </c>
    </row>
    <row r="169" spans="1:26" hidden="1" x14ac:dyDescent="0.5">
      <c r="A169" s="2">
        <f>MAX(Tabla_Descuentos[Id])</f>
        <v>1088</v>
      </c>
      <c r="B169">
        <v>1255</v>
      </c>
      <c r="C169" s="5">
        <f>IF(Tabla_Alimentacion[[#This Row],[id_padre]]="",0,_xlfn.XLOOKUP(Tabla_Alimentacion[[#This Row],[id_padre]],Tabla_Alimentacion[Id],Tabla_Alimentacion[Nivel],0,0,1)+1)</f>
        <v>4</v>
      </c>
      <c r="D169" s="2" t="s">
        <v>1049</v>
      </c>
      <c r="E169">
        <f>IF(Tabla_Alimentacion[[#This Row],[Id_anterior]]=1,ROW()-1,SUM(ROW()-1,Tabla_Alimentacion[[#This Row],[Id_anterior]]))</f>
        <v>1256</v>
      </c>
      <c r="F16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ALIMENTACION_INFORMES_PRODUCCION_MINUTAS_DETALLE</v>
      </c>
      <c r="G169" s="2" t="str">
        <f>CLEAN(PROPER(Tabla_Alimentacion[[#This Row],[Nombre Opción]]))</f>
        <v>Detalle</v>
      </c>
      <c r="H169" s="2" t="s">
        <v>1735</v>
      </c>
      <c r="I169" s="2" t="str">
        <f>_xlfn.XLOOKUP(Tabla_Alimentacion[[#This Row],[id_padre]],Tabla_Alimentacion[Id],Tabla_Alimentacion[Codigo_Tecnico],"",0,1)</f>
        <v>ALIMENTACION_INFORMES_PRODUCCION_MINUTAS</v>
      </c>
      <c r="J16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/alimentacion/informes/produccion/minutas/detalle</v>
      </c>
      <c r="K16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</v>
      </c>
      <c r="L169" s="2" t="s">
        <v>1460</v>
      </c>
      <c r="M169" s="2" t="s">
        <v>1794</v>
      </c>
      <c r="N169" s="4" t="s">
        <v>360</v>
      </c>
      <c r="O169" s="4" t="s">
        <v>360</v>
      </c>
      <c r="P169" s="4" t="s">
        <v>360</v>
      </c>
      <c r="Q169" s="4" t="s">
        <v>360</v>
      </c>
      <c r="R169" s="4" t="s">
        <v>360</v>
      </c>
      <c r="S169" s="4" t="s">
        <v>360</v>
      </c>
      <c r="Y169" s="4" t="s">
        <v>360</v>
      </c>
      <c r="Z169" s="2" t="str">
        <f>IF(Tabla_Alimentacion[[#This Row],[id_padre]]=Tabla_Alimentacion[[#This Row],[Id]],"NOK","OK")</f>
        <v>OK</v>
      </c>
    </row>
    <row r="170" spans="1:26" hidden="1" x14ac:dyDescent="0.5">
      <c r="A170" s="2">
        <f>MAX(Tabla_Descuentos[Id])</f>
        <v>1088</v>
      </c>
      <c r="B170">
        <v>1255</v>
      </c>
      <c r="C170" s="5">
        <f>IF(Tabla_Alimentacion[[#This Row],[id_padre]]="",0,_xlfn.XLOOKUP(Tabla_Alimentacion[[#This Row],[id_padre]],Tabla_Alimentacion[Id],Tabla_Alimentacion[Nivel],0,0,1)+1)</f>
        <v>4</v>
      </c>
      <c r="D170" s="2" t="s">
        <v>1053</v>
      </c>
      <c r="E170">
        <f>IF(Tabla_Alimentacion[[#This Row],[Id_anterior]]=1,ROW()-1,SUM(ROW()-1,Tabla_Alimentacion[[#This Row],[Id_anterior]]))</f>
        <v>1257</v>
      </c>
      <c r="F17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ALIMENTACION_INFORMES_PRODUCCION_MINUTAS_SEMANAL</v>
      </c>
      <c r="G170" s="2" t="str">
        <f>CLEAN(PROPER(Tabla_Alimentacion[[#This Row],[Nombre Opción]]))</f>
        <v>Semanal</v>
      </c>
      <c r="H170" s="2" t="s">
        <v>1735</v>
      </c>
      <c r="I170" s="2" t="str">
        <f>_xlfn.XLOOKUP(Tabla_Alimentacion[[#This Row],[id_padre]],Tabla_Alimentacion[Id],Tabla_Alimentacion[Codigo_Tecnico],"",0,1)</f>
        <v>ALIMENTACION_INFORMES_PRODUCCION_MINUTAS</v>
      </c>
      <c r="J17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/alimentacion/informes/produccion/minutas/semanal</v>
      </c>
      <c r="K17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semanal</v>
      </c>
      <c r="L170" s="2" t="s">
        <v>1640</v>
      </c>
      <c r="M170" s="2" t="s">
        <v>1794</v>
      </c>
      <c r="N170" s="4" t="s">
        <v>360</v>
      </c>
      <c r="O170" s="4" t="s">
        <v>360</v>
      </c>
      <c r="P170" s="4" t="s">
        <v>360</v>
      </c>
      <c r="Q170" s="4" t="s">
        <v>360</v>
      </c>
      <c r="R170" s="4" t="s">
        <v>360</v>
      </c>
      <c r="S170" s="4" t="s">
        <v>360</v>
      </c>
      <c r="Y170" s="4" t="s">
        <v>360</v>
      </c>
      <c r="Z170" s="2" t="str">
        <f>IF(Tabla_Alimentacion[[#This Row],[id_padre]]=Tabla_Alimentacion[[#This Row],[Id]],"NOK","OK")</f>
        <v>OK</v>
      </c>
    </row>
    <row r="171" spans="1:26" hidden="1" x14ac:dyDescent="0.5">
      <c r="A171" s="2">
        <f>MAX(Tabla_Descuentos[Id])</f>
        <v>1088</v>
      </c>
      <c r="B171">
        <v>1250</v>
      </c>
      <c r="C171" s="5">
        <f>IF(Tabla_Alimentacion[[#This Row],[id_padre]]="",0,_xlfn.XLOOKUP(Tabla_Alimentacion[[#This Row],[id_padre]],Tabla_Alimentacion[Id],Tabla_Alimentacion[Nivel],0,0,1)+1)</f>
        <v>3</v>
      </c>
      <c r="D171" s="2" t="s">
        <v>1055</v>
      </c>
      <c r="E171">
        <f>IF(Tabla_Alimentacion[[#This Row],[Id_anterior]]=1,ROW()-1,SUM(ROW()-1,Tabla_Alimentacion[[#This Row],[Id_anterior]]))</f>
        <v>1258</v>
      </c>
      <c r="F17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ALIMENTACION_INFORMES_PRODUCCION_PEDIDO_BODEGA</v>
      </c>
      <c r="G171" s="2" t="str">
        <f>CLEAN(PROPER(Tabla_Alimentacion[[#This Row],[Nombre Opción]]))</f>
        <v>Pedido A Bodega</v>
      </c>
      <c r="H171" s="2" t="s">
        <v>1735</v>
      </c>
      <c r="I171" s="2" t="str">
        <f>_xlfn.XLOOKUP(Tabla_Alimentacion[[#This Row],[id_padre]],Tabla_Alimentacion[Id],Tabla_Alimentacion[Codigo_Tecnico],"",0,1)</f>
        <v>ALIMENTACION_INFORMES_PRODUCCION</v>
      </c>
      <c r="J17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/alimentacion/informes/produccion/pedido-bodega</v>
      </c>
      <c r="K17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pedido-bodega</v>
      </c>
      <c r="L171" s="2" t="s">
        <v>1526</v>
      </c>
      <c r="M171" s="2" t="s">
        <v>1794</v>
      </c>
      <c r="N171" s="4" t="s">
        <v>360</v>
      </c>
      <c r="O171" s="4" t="s">
        <v>360</v>
      </c>
      <c r="P171" s="4" t="s">
        <v>360</v>
      </c>
      <c r="Q171" s="4" t="s">
        <v>360</v>
      </c>
      <c r="R171" s="4" t="s">
        <v>360</v>
      </c>
      <c r="S171" s="4" t="s">
        <v>360</v>
      </c>
      <c r="W171" s="4" t="s">
        <v>360</v>
      </c>
      <c r="Y171" s="4" t="s">
        <v>360</v>
      </c>
      <c r="Z171" s="2" t="str">
        <f>IF(Tabla_Alimentacion[[#This Row],[id_padre]]=Tabla_Alimentacion[[#This Row],[Id]],"NOK","OK")</f>
        <v>OK</v>
      </c>
    </row>
    <row r="172" spans="1:26" hidden="1" x14ac:dyDescent="0.5">
      <c r="A172" s="2">
        <f>MAX(Tabla_Descuentos[Id])</f>
        <v>1088</v>
      </c>
      <c r="B172">
        <v>1258</v>
      </c>
      <c r="C172" s="5">
        <f>IF(Tabla_Alimentacion[[#This Row],[id_padre]]="",0,_xlfn.XLOOKUP(Tabla_Alimentacion[[#This Row],[id_padre]],Tabla_Alimentacion[Id],Tabla_Alimentacion[Nivel],0,0,1)+1)</f>
        <v>4</v>
      </c>
      <c r="D172" s="2" t="s">
        <v>1049</v>
      </c>
      <c r="E172">
        <f>IF(Tabla_Alimentacion[[#This Row],[Id_anterior]]=1,ROW()-1,SUM(ROW()-1,Tabla_Alimentacion[[#This Row],[Id_anterior]]))</f>
        <v>1259</v>
      </c>
      <c r="F17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ALIMENTACION_INFORMES_PRODUCCION_PEDIDO_BODEGA_DETALLE</v>
      </c>
      <c r="G172" s="2" t="str">
        <f>CLEAN(PROPER(Tabla_Alimentacion[[#This Row],[Nombre Opción]]))</f>
        <v>Detalle</v>
      </c>
      <c r="H172" s="2" t="s">
        <v>1735</v>
      </c>
      <c r="I172" s="2" t="str">
        <f>_xlfn.XLOOKUP(Tabla_Alimentacion[[#This Row],[id_padre]],Tabla_Alimentacion[Id],Tabla_Alimentacion[Codigo_Tecnico],"",0,1)</f>
        <v>ALIMENTACION_INFORMES_PRODUCCION_PEDIDO_BODEGA</v>
      </c>
      <c r="J17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/alimentacion/informes/produccion/pedido-bodega/detalle</v>
      </c>
      <c r="K17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</v>
      </c>
      <c r="L172" s="2" t="s">
        <v>1460</v>
      </c>
      <c r="M172" s="2" t="s">
        <v>1794</v>
      </c>
      <c r="N172" s="4" t="s">
        <v>360</v>
      </c>
      <c r="O172" s="4" t="s">
        <v>360</v>
      </c>
      <c r="P172" s="4" t="s">
        <v>360</v>
      </c>
      <c r="Q172" s="4" t="s">
        <v>360</v>
      </c>
      <c r="R172" s="4" t="s">
        <v>360</v>
      </c>
      <c r="S172" s="4" t="s">
        <v>360</v>
      </c>
      <c r="W172" s="4" t="s">
        <v>360</v>
      </c>
      <c r="Y172" s="4" t="s">
        <v>360</v>
      </c>
      <c r="Z172" s="2" t="str">
        <f>IF(Tabla_Alimentacion[[#This Row],[id_padre]]=Tabla_Alimentacion[[#This Row],[Id]],"NOK","OK")</f>
        <v>OK</v>
      </c>
    </row>
    <row r="173" spans="1:26" hidden="1" x14ac:dyDescent="0.5">
      <c r="A173" s="2">
        <f>MAX(Tabla_Descuentos[Id])</f>
        <v>1088</v>
      </c>
      <c r="B173">
        <v>1258</v>
      </c>
      <c r="C173" s="5">
        <f>IF(Tabla_Alimentacion[[#This Row],[id_padre]]="",0,_xlfn.XLOOKUP(Tabla_Alimentacion[[#This Row],[id_padre]],Tabla_Alimentacion[Id],Tabla_Alimentacion[Nivel],0,0,1)+1)</f>
        <v>4</v>
      </c>
      <c r="D173" s="2" t="s">
        <v>1048</v>
      </c>
      <c r="E173">
        <f>IF(Tabla_Alimentacion[[#This Row],[Id_anterior]]=1,ROW()-1,SUM(ROW()-1,Tabla_Alimentacion[[#This Row],[Id_anterior]]))</f>
        <v>1260</v>
      </c>
      <c r="F17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ALIMENTACION_INFORMES_PRODUCCION_PEDIDO_BODEGA_RESUMEN</v>
      </c>
      <c r="G173" s="2" t="str">
        <f>CLEAN(PROPER(Tabla_Alimentacion[[#This Row],[Nombre Opción]]))</f>
        <v>Resumen</v>
      </c>
      <c r="H173" s="2" t="s">
        <v>1735</v>
      </c>
      <c r="I173" s="2" t="str">
        <f>_xlfn.XLOOKUP(Tabla_Alimentacion[[#This Row],[id_padre]],Tabla_Alimentacion[Id],Tabla_Alimentacion[Codigo_Tecnico],"",0,1)</f>
        <v>ALIMENTACION_INFORMES_PRODUCCION_PEDIDO_BODEGA</v>
      </c>
      <c r="J17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/alimentacion/informes/produccion/pedido-bodega/resumen</v>
      </c>
      <c r="K17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</v>
      </c>
      <c r="L173" s="2" t="s">
        <v>1387</v>
      </c>
      <c r="M173" s="2" t="s">
        <v>1794</v>
      </c>
      <c r="N173" s="4" t="s">
        <v>360</v>
      </c>
      <c r="O173" s="4" t="s">
        <v>360</v>
      </c>
      <c r="P173" s="4" t="s">
        <v>360</v>
      </c>
      <c r="Q173" s="4" t="s">
        <v>360</v>
      </c>
      <c r="R173" s="4" t="s">
        <v>360</v>
      </c>
      <c r="S173" s="4" t="s">
        <v>360</v>
      </c>
      <c r="W173" s="4" t="s">
        <v>360</v>
      </c>
      <c r="Y173" s="4" t="s">
        <v>360</v>
      </c>
      <c r="Z173" s="2" t="str">
        <f>IF(Tabla_Alimentacion[[#This Row],[id_padre]]=Tabla_Alimentacion[[#This Row],[Id]],"NOK","OK")</f>
        <v>OK</v>
      </c>
    </row>
    <row r="174" spans="1:26" hidden="1" x14ac:dyDescent="0.5">
      <c r="A174" s="2">
        <f>MAX(Tabla_Descuentos[Id])</f>
        <v>1088</v>
      </c>
      <c r="B174">
        <v>1258</v>
      </c>
      <c r="C174" s="5">
        <f>IF(Tabla_Alimentacion[[#This Row],[id_padre]]="",0,_xlfn.XLOOKUP(Tabla_Alimentacion[[#This Row],[id_padre]],Tabla_Alimentacion[Id],Tabla_Alimentacion[Nivel],0,0,1)+1)</f>
        <v>4</v>
      </c>
      <c r="D174" s="2" t="s">
        <v>1088</v>
      </c>
      <c r="E174">
        <f>IF(Tabla_Alimentacion[[#This Row],[Id_anterior]]=1,ROW()-1,SUM(ROW()-1,Tabla_Alimentacion[[#This Row],[Id_anterior]]))</f>
        <v>1261</v>
      </c>
      <c r="F17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ALIMENTACION_INFORMES_PRODUCCION_PEDIDO_BODEGA_ASIENTOS_POR_SALIDA_BODEGA</v>
      </c>
      <c r="G174" s="2" t="str">
        <f>CLEAN(PROPER(Tabla_Alimentacion[[#This Row],[Nombre Opción]]))</f>
        <v>Asientos Por Salida Bodega</v>
      </c>
      <c r="H174" s="2" t="s">
        <v>1735</v>
      </c>
      <c r="I174" s="2" t="str">
        <f>_xlfn.XLOOKUP(Tabla_Alimentacion[[#This Row],[id_padre]],Tabla_Alimentacion[Id],Tabla_Alimentacion[Codigo_Tecnico],"",0,1)</f>
        <v>ALIMENTACION_INFORMES_PRODUCCION_PEDIDO_BODEGA</v>
      </c>
      <c r="J17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/alimentacion/informes/produccion/pedido-bodega/asientos-por-salida-bodega</v>
      </c>
      <c r="K17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asientos-por-salida-bodega</v>
      </c>
      <c r="L174" s="2" t="s">
        <v>1349</v>
      </c>
      <c r="M174" s="2" t="s">
        <v>1794</v>
      </c>
      <c r="N174" s="4" t="s">
        <v>360</v>
      </c>
      <c r="O174" s="4" t="s">
        <v>360</v>
      </c>
      <c r="P174" s="4" t="s">
        <v>360</v>
      </c>
      <c r="Q174" s="4" t="s">
        <v>360</v>
      </c>
      <c r="R174" s="4" t="s">
        <v>360</v>
      </c>
      <c r="S174" s="4" t="s">
        <v>360</v>
      </c>
      <c r="W174" s="4" t="s">
        <v>360</v>
      </c>
      <c r="Y174" s="4" t="s">
        <v>360</v>
      </c>
      <c r="Z174" s="2" t="str">
        <f>IF(Tabla_Alimentacion[[#This Row],[id_padre]]=Tabla_Alimentacion[[#This Row],[Id]],"NOK","OK")</f>
        <v>OK</v>
      </c>
    </row>
    <row r="175" spans="1:26" hidden="1" x14ac:dyDescent="0.5">
      <c r="A175" s="2">
        <f>MAX(Tabla_Descuentos[Id])</f>
        <v>1088</v>
      </c>
      <c r="B175">
        <v>1250</v>
      </c>
      <c r="C175" s="5">
        <f>IF(Tabla_Alimentacion[[#This Row],[id_padre]]="",0,_xlfn.XLOOKUP(Tabla_Alimentacion[[#This Row],[id_padre]],Tabla_Alimentacion[Id],Tabla_Alimentacion[Nivel],0,0,1)+1)</f>
        <v>3</v>
      </c>
      <c r="D175" s="2" t="s">
        <v>1089</v>
      </c>
      <c r="E175">
        <f>IF(Tabla_Alimentacion[[#This Row],[Id_anterior]]=1,ROW()-1,SUM(ROW()-1,Tabla_Alimentacion[[#This Row],[Id_anterior]]))</f>
        <v>1262</v>
      </c>
      <c r="F17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ALIMENTACION_INFORMES_PRODUCCION_DOTACION_APORCIONAMIENTO</v>
      </c>
      <c r="G175" s="2" t="str">
        <f>CLEAN(PROPER(Tabla_Alimentacion[[#This Row],[Nombre Opción]]))</f>
        <v>Dotacion Aporcionamiento</v>
      </c>
      <c r="H175" s="2" t="s">
        <v>1735</v>
      </c>
      <c r="I175" s="2" t="str">
        <f>_xlfn.XLOOKUP(Tabla_Alimentacion[[#This Row],[id_padre]],Tabla_Alimentacion[Id],Tabla_Alimentacion[Codigo_Tecnico],"",0,1)</f>
        <v>ALIMENTACION_INFORMES_PRODUCCION</v>
      </c>
      <c r="J17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/alimentacion/informes/produccion/dotacion-aporcionamiento</v>
      </c>
      <c r="K17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dotacion-aporcionamiento</v>
      </c>
      <c r="L175" s="2" t="s">
        <v>1506</v>
      </c>
      <c r="M175" s="2" t="s">
        <v>1794</v>
      </c>
      <c r="N175" s="4" t="s">
        <v>360</v>
      </c>
      <c r="O175" s="4" t="s">
        <v>360</v>
      </c>
      <c r="P175" s="4" t="s">
        <v>360</v>
      </c>
      <c r="Q175" s="4" t="s">
        <v>360</v>
      </c>
      <c r="R175" s="4" t="s">
        <v>360</v>
      </c>
      <c r="S175" s="4" t="s">
        <v>360</v>
      </c>
      <c r="X175" s="4" t="s">
        <v>360</v>
      </c>
      <c r="Y175" s="4" t="s">
        <v>360</v>
      </c>
      <c r="Z175" s="2" t="str">
        <f>IF(Tabla_Alimentacion[[#This Row],[id_padre]]=Tabla_Alimentacion[[#This Row],[Id]],"NOK","OK")</f>
        <v>OK</v>
      </c>
    </row>
    <row r="176" spans="1:26" hidden="1" x14ac:dyDescent="0.5">
      <c r="A176" s="2">
        <f>MAX(Tabla_Descuentos[Id])</f>
        <v>1088</v>
      </c>
      <c r="B176">
        <v>1250</v>
      </c>
      <c r="C176" s="5">
        <f>IF(Tabla_Alimentacion[[#This Row],[id_padre]]="",0,_xlfn.XLOOKUP(Tabla_Alimentacion[[#This Row],[id_padre]],Tabla_Alimentacion[Id],Tabla_Alimentacion[Nivel],0,0,1)+1)</f>
        <v>3</v>
      </c>
      <c r="D176" s="2" t="s">
        <v>1620</v>
      </c>
      <c r="E176">
        <f>IF(Tabla_Alimentacion[[#This Row],[Id_anterior]]=1,ROW()-1,SUM(ROW()-1,Tabla_Alimentacion[[#This Row],[Id_anterior]]))</f>
        <v>1263</v>
      </c>
      <c r="F17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ALIMENTACION_INFORMES_PRODUCCION_CENTRO_CONSUMO</v>
      </c>
      <c r="G176" s="2" t="str">
        <f>CLEAN(PROPER(Tabla_Alimentacion[[#This Row],[Nombre Opción]]))</f>
        <v>Centro De Consumo</v>
      </c>
      <c r="H176" s="2" t="s">
        <v>1735</v>
      </c>
      <c r="I176" s="2" t="str">
        <f>_xlfn.XLOOKUP(Tabla_Alimentacion[[#This Row],[id_padre]],Tabla_Alimentacion[Id],Tabla_Alimentacion[Codigo_Tecnico],"",0,1)</f>
        <v>ALIMENTACION_INFORMES_PRODUCCION</v>
      </c>
      <c r="J17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/alimentacion/informes/produccion/centro-consumo</v>
      </c>
      <c r="K17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centro-consumo</v>
      </c>
      <c r="L176" s="2" t="s">
        <v>1389</v>
      </c>
      <c r="M176" s="2" t="s">
        <v>1794</v>
      </c>
      <c r="N176" s="4" t="s">
        <v>360</v>
      </c>
      <c r="O176" s="4" t="s">
        <v>360</v>
      </c>
      <c r="P176" s="4" t="s">
        <v>360</v>
      </c>
      <c r="Q176" s="4" t="s">
        <v>360</v>
      </c>
      <c r="R176" s="4" t="s">
        <v>360</v>
      </c>
      <c r="S176" s="4" t="s">
        <v>360</v>
      </c>
      <c r="W176" s="4" t="s">
        <v>360</v>
      </c>
      <c r="X176" s="4" t="s">
        <v>360</v>
      </c>
      <c r="Y176" s="4" t="s">
        <v>360</v>
      </c>
      <c r="Z176" s="2" t="str">
        <f>IF(Tabla_Alimentacion[[#This Row],[id_padre]]=Tabla_Alimentacion[[#This Row],[Id]],"NOK","OK")</f>
        <v>OK</v>
      </c>
    </row>
    <row r="177" spans="1:26" hidden="1" x14ac:dyDescent="0.5">
      <c r="A177" s="2">
        <f>MAX(Tabla_Descuentos[Id])</f>
        <v>1088</v>
      </c>
      <c r="B177">
        <v>1263</v>
      </c>
      <c r="C177" s="5">
        <f>IF(Tabla_Alimentacion[[#This Row],[id_padre]]="",0,_xlfn.XLOOKUP(Tabla_Alimentacion[[#This Row],[id_padre]],Tabla_Alimentacion[Id],Tabla_Alimentacion[Nivel],0,0,1)+1)</f>
        <v>4</v>
      </c>
      <c r="D177" s="2" t="s">
        <v>1090</v>
      </c>
      <c r="E177">
        <f>IF(Tabla_Alimentacion[[#This Row],[Id_anterior]]=1,ROW()-1,SUM(ROW()-1,Tabla_Alimentacion[[#This Row],[Id_anterior]]))</f>
        <v>1264</v>
      </c>
      <c r="F17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ALIMENTACION_INFORMES_PRODUCCION_CENTRO_CONSUMO_PARTE_DETALLADO_NORMAL</v>
      </c>
      <c r="G177" s="2" t="str">
        <f>CLEAN(PROPER(Tabla_Alimentacion[[#This Row],[Nombre Opción]]))</f>
        <v>Parte Detallado Normal</v>
      </c>
      <c r="H177" s="2" t="s">
        <v>1735</v>
      </c>
      <c r="I177" s="2" t="str">
        <f>_xlfn.XLOOKUP(Tabla_Alimentacion[[#This Row],[id_padre]],Tabla_Alimentacion[Id],Tabla_Alimentacion[Codigo_Tecnico],"",0,1)</f>
        <v>ALIMENTACION_INFORMES_PRODUCCION_CENTRO_CONSUMO</v>
      </c>
      <c r="J17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/alimentacion/informes/produccion/centro-consumo/parte-detallado-normal</v>
      </c>
      <c r="K17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parte-detallado-normal</v>
      </c>
      <c r="L177" s="2" t="s">
        <v>1343</v>
      </c>
      <c r="M177" s="2" t="s">
        <v>1794</v>
      </c>
      <c r="N177" s="4" t="s">
        <v>360</v>
      </c>
      <c r="O177" s="4" t="s">
        <v>360</v>
      </c>
      <c r="P177" s="4" t="s">
        <v>360</v>
      </c>
      <c r="Q177" s="4" t="s">
        <v>360</v>
      </c>
      <c r="R177" s="4" t="s">
        <v>360</v>
      </c>
      <c r="S177" s="4" t="s">
        <v>360</v>
      </c>
      <c r="W177" s="4" t="s">
        <v>360</v>
      </c>
      <c r="X177" s="4" t="s">
        <v>360</v>
      </c>
      <c r="Y177" s="4" t="s">
        <v>360</v>
      </c>
      <c r="Z177" s="2" t="str">
        <f>IF(Tabla_Alimentacion[[#This Row],[id_padre]]=Tabla_Alimentacion[[#This Row],[Id]],"NOK","OK")</f>
        <v>OK</v>
      </c>
    </row>
    <row r="178" spans="1:26" hidden="1" x14ac:dyDescent="0.5">
      <c r="A178" s="2">
        <f>MAX(Tabla_Descuentos[Id])</f>
        <v>1088</v>
      </c>
      <c r="B178">
        <v>1263</v>
      </c>
      <c r="C178" s="5">
        <f>IF(Tabla_Alimentacion[[#This Row],[id_padre]]="",0,_xlfn.XLOOKUP(Tabla_Alimentacion[[#This Row],[id_padre]],Tabla_Alimentacion[Id],Tabla_Alimentacion[Nivel],0,0,1)+1)</f>
        <v>4</v>
      </c>
      <c r="D178" s="2" t="s">
        <v>1091</v>
      </c>
      <c r="E178">
        <f>IF(Tabla_Alimentacion[[#This Row],[Id_anterior]]=1,ROW()-1,SUM(ROW()-1,Tabla_Alimentacion[[#This Row],[Id_anterior]]))</f>
        <v>1265</v>
      </c>
      <c r="F17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ALIMENTACION_INFORMES_PRODUCCION_CENTRO_CONSUMO_PARTE_DETALLADO_COMPLEMENTARIO</v>
      </c>
      <c r="G178" s="2" t="str">
        <f>CLEAN(PROPER(Tabla_Alimentacion[[#This Row],[Nombre Opción]]))</f>
        <v>Parte Detallado Complementario</v>
      </c>
      <c r="H178" s="2" t="s">
        <v>1735</v>
      </c>
      <c r="I178" s="2" t="str">
        <f>_xlfn.XLOOKUP(Tabla_Alimentacion[[#This Row],[id_padre]],Tabla_Alimentacion[Id],Tabla_Alimentacion[Codigo_Tecnico],"",0,1)</f>
        <v>ALIMENTACION_INFORMES_PRODUCCION_CENTRO_CONSUMO</v>
      </c>
      <c r="J17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/alimentacion/informes/produccion/centro-consumo/parte-detallado-complementario</v>
      </c>
      <c r="K17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parte-detallado-complementario</v>
      </c>
      <c r="L178" s="2" t="s">
        <v>1359</v>
      </c>
      <c r="M178" s="2" t="s">
        <v>1794</v>
      </c>
      <c r="N178" s="4" t="s">
        <v>360</v>
      </c>
      <c r="O178" s="4" t="s">
        <v>360</v>
      </c>
      <c r="P178" s="4" t="s">
        <v>360</v>
      </c>
      <c r="Q178" s="4" t="s">
        <v>360</v>
      </c>
      <c r="R178" s="4" t="s">
        <v>360</v>
      </c>
      <c r="S178" s="4" t="s">
        <v>360</v>
      </c>
      <c r="W178" s="4" t="s">
        <v>360</v>
      </c>
      <c r="X178" s="4" t="s">
        <v>360</v>
      </c>
      <c r="Y178" s="4" t="s">
        <v>360</v>
      </c>
      <c r="Z178" s="2" t="str">
        <f>IF(Tabla_Alimentacion[[#This Row],[id_padre]]=Tabla_Alimentacion[[#This Row],[Id]],"NOK","OK")</f>
        <v>OK</v>
      </c>
    </row>
    <row r="179" spans="1:26" hidden="1" x14ac:dyDescent="0.5">
      <c r="A179" s="2">
        <f>MAX(Tabla_Descuentos[Id])</f>
        <v>1088</v>
      </c>
      <c r="B179">
        <v>1263</v>
      </c>
      <c r="C179" s="5">
        <f>IF(Tabla_Alimentacion[[#This Row],[id_padre]]="",0,_xlfn.XLOOKUP(Tabla_Alimentacion[[#This Row],[id_padre]],Tabla_Alimentacion[Id],Tabla_Alimentacion[Nivel],0,0,1)+1)</f>
        <v>4</v>
      </c>
      <c r="D179" s="2" t="s">
        <v>1092</v>
      </c>
      <c r="E179">
        <f>IF(Tabla_Alimentacion[[#This Row],[Id_anterior]]=1,ROW()-1,SUM(ROW()-1,Tabla_Alimentacion[[#This Row],[Id_anterior]]))</f>
        <v>1266</v>
      </c>
      <c r="F17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ALIMENTACION_INFORMES_PRODUCCION_CENTRO_CONSUMO_PARTE_DETALLADO_UNI_CENTRAL</v>
      </c>
      <c r="G179" s="2" t="str">
        <f>CLEAN(PROPER(Tabla_Alimentacion[[#This Row],[Nombre Opción]]))</f>
        <v>Parte Detallado Uní. Central</v>
      </c>
      <c r="H179" s="2" t="s">
        <v>1735</v>
      </c>
      <c r="I179" s="2" t="str">
        <f>_xlfn.XLOOKUP(Tabla_Alimentacion[[#This Row],[id_padre]],Tabla_Alimentacion[Id],Tabla_Alimentacion[Codigo_Tecnico],"",0,1)</f>
        <v>ALIMENTACION_INFORMES_PRODUCCION_CENTRO_CONSUMO</v>
      </c>
      <c r="J17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/alimentacion/informes/produccion/centro-consumo/parte-detallado-uni-central</v>
      </c>
      <c r="K17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parte-detallado-uni-central</v>
      </c>
      <c r="L179" s="2" t="s">
        <v>1341</v>
      </c>
      <c r="M179" s="2" t="s">
        <v>1794</v>
      </c>
      <c r="N179" s="4" t="s">
        <v>360</v>
      </c>
      <c r="O179" s="4" t="s">
        <v>360</v>
      </c>
      <c r="P179" s="4" t="s">
        <v>360</v>
      </c>
      <c r="Q179" s="4" t="s">
        <v>360</v>
      </c>
      <c r="R179" s="4" t="s">
        <v>360</v>
      </c>
      <c r="S179" s="4" t="s">
        <v>360</v>
      </c>
      <c r="W179" s="4" t="s">
        <v>360</v>
      </c>
      <c r="X179" s="4" t="s">
        <v>360</v>
      </c>
      <c r="Y179" s="4" t="s">
        <v>360</v>
      </c>
      <c r="Z179" s="2" t="str">
        <f>IF(Tabla_Alimentacion[[#This Row],[id_padre]]=Tabla_Alimentacion[[#This Row],[Id]],"NOK","OK")</f>
        <v>OK</v>
      </c>
    </row>
    <row r="180" spans="1:26" hidden="1" x14ac:dyDescent="0.5">
      <c r="A180" s="2">
        <f>MAX(Tabla_Descuentos[Id])</f>
        <v>1088</v>
      </c>
      <c r="B180">
        <v>1250</v>
      </c>
      <c r="C180" s="5">
        <f>IF(Tabla_Alimentacion[[#This Row],[id_padre]]="",0,_xlfn.XLOOKUP(Tabla_Alimentacion[[#This Row],[id_padre]],Tabla_Alimentacion[Id],Tabla_Alimentacion[Nivel],0,0,1)+1)</f>
        <v>3</v>
      </c>
      <c r="D180" s="2" t="s">
        <v>1093</v>
      </c>
      <c r="E180">
        <f>IF(Tabla_Alimentacion[[#This Row],[Id_anterior]]=1,ROW()-1,SUM(ROW()-1,Tabla_Alimentacion[[#This Row],[Id_anterior]]))</f>
        <v>1267</v>
      </c>
      <c r="F18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ALIMENTACION_INFORMES_PRODUCCION_PARTE_ALIMENTACION_DIARIA_POR_UNIDAD_INTERNA</v>
      </c>
      <c r="G180" s="2" t="str">
        <f>CLEAN(PROPER(Tabla_Alimentacion[[#This Row],[Nombre Opción]]))</f>
        <v>Parte Alimentación Diaria Por Unidad Interna</v>
      </c>
      <c r="H180" s="2" t="s">
        <v>1735</v>
      </c>
      <c r="I180" s="2" t="str">
        <f>_xlfn.XLOOKUP(Tabla_Alimentacion[[#This Row],[id_padre]],Tabla_Alimentacion[Id],Tabla_Alimentacion[Codigo_Tecnico],"",0,1)</f>
        <v>ALIMENTACION_INFORMES_PRODUCCION</v>
      </c>
      <c r="J18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/alimentacion/informes/produccion/parte-alimentacion-diaria-por-unidad-interna</v>
      </c>
      <c r="K18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parte-alimentacion-diaria-por-unidad-interna</v>
      </c>
      <c r="L180" s="2" t="s">
        <v>1391</v>
      </c>
      <c r="M180" s="2" t="s">
        <v>1794</v>
      </c>
      <c r="N180" s="4" t="s">
        <v>360</v>
      </c>
      <c r="O180" s="4" t="s">
        <v>360</v>
      </c>
      <c r="P180" s="4" t="s">
        <v>360</v>
      </c>
      <c r="Q180" s="4" t="s">
        <v>360</v>
      </c>
      <c r="R180" s="4" t="s">
        <v>360</v>
      </c>
      <c r="S180" s="4" t="s">
        <v>360</v>
      </c>
      <c r="W180" s="4" t="s">
        <v>360</v>
      </c>
      <c r="X180" s="4" t="s">
        <v>360</v>
      </c>
      <c r="Y180" s="4" t="s">
        <v>360</v>
      </c>
      <c r="Z180" s="2" t="str">
        <f>IF(Tabla_Alimentacion[[#This Row],[id_padre]]=Tabla_Alimentacion[[#This Row],[Id]],"NOK","OK")</f>
        <v>OK</v>
      </c>
    </row>
    <row r="181" spans="1:26" hidden="1" x14ac:dyDescent="0.5">
      <c r="A181" s="2">
        <f>MAX(Tabla_Descuentos[Id])</f>
        <v>1088</v>
      </c>
      <c r="B181">
        <v>1250</v>
      </c>
      <c r="C181" s="5">
        <f>IF(Tabla_Alimentacion[[#This Row],[id_padre]]="",0,_xlfn.XLOOKUP(Tabla_Alimentacion[[#This Row],[id_padre]],Tabla_Alimentacion[Id],Tabla_Alimentacion[Nivel],0,0,1)+1)</f>
        <v>3</v>
      </c>
      <c r="D181" s="2" t="s">
        <v>1094</v>
      </c>
      <c r="E181">
        <f>IF(Tabla_Alimentacion[[#This Row],[Id_anterior]]=1,ROW()-1,SUM(ROW()-1,Tabla_Alimentacion[[#This Row],[Id_anterior]]))</f>
        <v>1268</v>
      </c>
      <c r="F18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ALIMENTACION_INFORMES_PRODUCCION_CARTOLA_POR_EMPLEADO</v>
      </c>
      <c r="G181" s="2" t="str">
        <f>CLEAN(PROPER(Tabla_Alimentacion[[#This Row],[Nombre Opción]]))</f>
        <v>Cartola Por Empleado</v>
      </c>
      <c r="H181" s="2" t="s">
        <v>1735</v>
      </c>
      <c r="I181" s="2" t="str">
        <f>_xlfn.XLOOKUP(Tabla_Alimentacion[[#This Row],[id_padre]],Tabla_Alimentacion[Id],Tabla_Alimentacion[Codigo_Tecnico],"",0,1)</f>
        <v>ALIMENTACION_INFORMES_PRODUCCION</v>
      </c>
      <c r="J18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/alimentacion/informes/produccion/cartola-por-empleado</v>
      </c>
      <c r="K18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cartola-por-empleado</v>
      </c>
      <c r="L181" s="2" t="s">
        <v>1378</v>
      </c>
      <c r="M181" s="2" t="s">
        <v>1794</v>
      </c>
      <c r="N181" s="4" t="s">
        <v>360</v>
      </c>
      <c r="O181" s="4" t="s">
        <v>360</v>
      </c>
      <c r="P181" s="4" t="s">
        <v>360</v>
      </c>
      <c r="Q181" s="4" t="s">
        <v>360</v>
      </c>
      <c r="R181" s="4" t="s">
        <v>360</v>
      </c>
      <c r="S181" s="4" t="s">
        <v>360</v>
      </c>
      <c r="W181" s="4" t="s">
        <v>360</v>
      </c>
      <c r="X181" s="4" t="s">
        <v>360</v>
      </c>
      <c r="Y181" s="4" t="s">
        <v>360</v>
      </c>
      <c r="Z181" s="2" t="str">
        <f>IF(Tabla_Alimentacion[[#This Row],[id_padre]]=Tabla_Alimentacion[[#This Row],[Id]],"NOK","OK")</f>
        <v>OK</v>
      </c>
    </row>
    <row r="182" spans="1:26" hidden="1" x14ac:dyDescent="0.5">
      <c r="A182" s="2">
        <f>MAX(Tabla_Descuentos[Id])</f>
        <v>1088</v>
      </c>
      <c r="B182">
        <v>1250</v>
      </c>
      <c r="C182" s="5">
        <f>IF(Tabla_Alimentacion[[#This Row],[id_padre]]="",0,_xlfn.XLOOKUP(Tabla_Alimentacion[[#This Row],[id_padre]],Tabla_Alimentacion[Id],Tabla_Alimentacion[Nivel],0,0,1)+1)</f>
        <v>3</v>
      </c>
      <c r="D182" s="2" t="s">
        <v>1095</v>
      </c>
      <c r="E182">
        <f>IF(Tabla_Alimentacion[[#This Row],[Id_anterior]]=1,ROW()-1,SUM(ROW()-1,Tabla_Alimentacion[[#This Row],[Id_anterior]]))</f>
        <v>1269</v>
      </c>
      <c r="F18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ALIMENTACION_INFORMES_PRODUCCION_DETALLE_COBRO_ALIMENTACION</v>
      </c>
      <c r="G182" s="2" t="str">
        <f>CLEAN(PROPER(Tabla_Alimentacion[[#This Row],[Nombre Opción]]))</f>
        <v>Detalle Cobro Alimentacion</v>
      </c>
      <c r="H182" s="2" t="s">
        <v>1735</v>
      </c>
      <c r="I182" s="2" t="str">
        <f>_xlfn.XLOOKUP(Tabla_Alimentacion[[#This Row],[id_padre]],Tabla_Alimentacion[Id],Tabla_Alimentacion[Codigo_Tecnico],"",0,1)</f>
        <v>ALIMENTACION_INFORMES_PRODUCCION</v>
      </c>
      <c r="J18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/alimentacion/informes/produccion/detalle-cobro-alimentacion</v>
      </c>
      <c r="K18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detalle-cobro-alimentacion</v>
      </c>
      <c r="L182" s="2" t="s">
        <v>1349</v>
      </c>
      <c r="M182" s="2" t="s">
        <v>1794</v>
      </c>
      <c r="N182" s="4" t="s">
        <v>360</v>
      </c>
      <c r="O182" s="4" t="s">
        <v>360</v>
      </c>
      <c r="P182" s="4" t="s">
        <v>360</v>
      </c>
      <c r="Q182" s="4" t="s">
        <v>360</v>
      </c>
      <c r="R182" s="4" t="s">
        <v>360</v>
      </c>
      <c r="S182" s="4" t="s">
        <v>360</v>
      </c>
      <c r="W182" s="4" t="s">
        <v>360</v>
      </c>
      <c r="X182" s="4" t="s">
        <v>360</v>
      </c>
      <c r="Y182" s="4" t="s">
        <v>360</v>
      </c>
      <c r="Z182" s="2" t="str">
        <f>IF(Tabla_Alimentacion[[#This Row],[id_padre]]=Tabla_Alimentacion[[#This Row],[Id]],"NOK","OK")</f>
        <v>OK</v>
      </c>
    </row>
    <row r="183" spans="1:26" hidden="1" x14ac:dyDescent="0.5">
      <c r="A183" s="2">
        <f>MAX(Tabla_Descuentos[Id])</f>
        <v>1088</v>
      </c>
      <c r="B183">
        <v>1250</v>
      </c>
      <c r="C183" s="5">
        <f>IF(Tabla_Alimentacion[[#This Row],[id_padre]]="",0,_xlfn.XLOOKUP(Tabla_Alimentacion[[#This Row],[id_padre]],Tabla_Alimentacion[Id],Tabla_Alimentacion[Nivel],0,0,1)+1)</f>
        <v>3</v>
      </c>
      <c r="D183" s="2" t="s">
        <v>1096</v>
      </c>
      <c r="E183">
        <f>IF(Tabla_Alimentacion[[#This Row],[Id_anterior]]=1,ROW()-1,SUM(ROW()-1,Tabla_Alimentacion[[#This Row],[Id_anterior]]))</f>
        <v>1270</v>
      </c>
      <c r="F18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ALIMENTACION_INFORMES_PRODUCCION_PARTE_DETALALDO_POR_CASINO</v>
      </c>
      <c r="G183" s="2" t="str">
        <f>CLEAN(PROPER(Tabla_Alimentacion[[#This Row],[Nombre Opción]]))</f>
        <v>Parte Detalaldo Por Casino</v>
      </c>
      <c r="H183" s="2" t="s">
        <v>1735</v>
      </c>
      <c r="I183" s="2" t="str">
        <f>_xlfn.XLOOKUP(Tabla_Alimentacion[[#This Row],[id_padre]],Tabla_Alimentacion[Id],Tabla_Alimentacion[Codigo_Tecnico],"",0,1)</f>
        <v>ALIMENTACION_INFORMES_PRODUCCION</v>
      </c>
      <c r="J18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/alimentacion/informes/produccion/parte-detalaldo-por-casino</v>
      </c>
      <c r="K18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parte-detalaldo-por-casino</v>
      </c>
      <c r="L183" s="2" t="s">
        <v>1539</v>
      </c>
      <c r="M183" s="2" t="s">
        <v>1794</v>
      </c>
      <c r="N183" s="4" t="s">
        <v>360</v>
      </c>
      <c r="O183" s="4" t="s">
        <v>360</v>
      </c>
      <c r="P183" s="4" t="s">
        <v>360</v>
      </c>
      <c r="Q183" s="4" t="s">
        <v>360</v>
      </c>
      <c r="R183" s="4"/>
      <c r="S183" s="4"/>
      <c r="X183" s="4" t="s">
        <v>360</v>
      </c>
      <c r="Y183" s="4" t="s">
        <v>360</v>
      </c>
      <c r="Z183" s="2" t="str">
        <f>IF(Tabla_Alimentacion[[#This Row],[id_padre]]=Tabla_Alimentacion[[#This Row],[Id]],"NOK","OK")</f>
        <v>OK</v>
      </c>
    </row>
    <row r="184" spans="1:26" hidden="1" x14ac:dyDescent="0.5">
      <c r="A184" s="2">
        <f>MAX(Tabla_Descuentos[Id])</f>
        <v>1088</v>
      </c>
      <c r="B184">
        <v>1250</v>
      </c>
      <c r="C184" s="5">
        <f>IF(Tabla_Alimentacion[[#This Row],[id_padre]]="",0,_xlfn.XLOOKUP(Tabla_Alimentacion[[#This Row],[id_padre]],Tabla_Alimentacion[Id],Tabla_Alimentacion[Nivel],0,0,1)+1)</f>
        <v>3</v>
      </c>
      <c r="D184" s="2" t="s">
        <v>1097</v>
      </c>
      <c r="E184">
        <f>IF(Tabla_Alimentacion[[#This Row],[Id_anterior]]=1,ROW()-1,SUM(ROW()-1,Tabla_Alimentacion[[#This Row],[Id_anterior]]))</f>
        <v>1271</v>
      </c>
      <c r="F18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ALIMENTACION_INFORMES_PRODUCCION_PARTE_RESUMEN_DIARIO_POR_UNIDAD_CENTRAL</v>
      </c>
      <c r="G184" s="2" t="str">
        <f>CLEAN(PROPER(Tabla_Alimentacion[[#This Row],[Nombre Opción]]))</f>
        <v>Parte Resumen Diario Por Unidad Central</v>
      </c>
      <c r="H184" s="2" t="s">
        <v>1735</v>
      </c>
      <c r="I184" s="2" t="str">
        <f>_xlfn.XLOOKUP(Tabla_Alimentacion[[#This Row],[id_padre]],Tabla_Alimentacion[Id],Tabla_Alimentacion[Codigo_Tecnico],"",0,1)</f>
        <v>ALIMENTACION_INFORMES_PRODUCCION</v>
      </c>
      <c r="J18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/alimentacion/informes/produccion/parte-resumen-diario-por-unidad-central</v>
      </c>
      <c r="K18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parte-resumen-diario-por-unidad-central</v>
      </c>
      <c r="L184" s="2" t="s">
        <v>1341</v>
      </c>
      <c r="M184" s="2" t="s">
        <v>1794</v>
      </c>
      <c r="N184" s="4" t="s">
        <v>360</v>
      </c>
      <c r="O184" s="4" t="s">
        <v>360</v>
      </c>
      <c r="P184" s="4" t="s">
        <v>360</v>
      </c>
      <c r="Q184" s="4" t="s">
        <v>360</v>
      </c>
      <c r="R184" s="4"/>
      <c r="S184" s="4"/>
      <c r="X184" s="4" t="s">
        <v>360</v>
      </c>
      <c r="Y184" s="4" t="s">
        <v>360</v>
      </c>
      <c r="Z184" s="2" t="str">
        <f>IF(Tabla_Alimentacion[[#This Row],[id_padre]]=Tabla_Alimentacion[[#This Row],[Id]],"NOK","OK")</f>
        <v>OK</v>
      </c>
    </row>
    <row r="185" spans="1:26" hidden="1" x14ac:dyDescent="0.5">
      <c r="A185" s="2">
        <f>MAX(Tabla_Descuentos[Id])</f>
        <v>1088</v>
      </c>
      <c r="B185">
        <v>1250</v>
      </c>
      <c r="C185" s="5">
        <f>IF(Tabla_Alimentacion[[#This Row],[id_padre]]="",0,_xlfn.XLOOKUP(Tabla_Alimentacion[[#This Row],[id_padre]],Tabla_Alimentacion[Id],Tabla_Alimentacion[Nivel],0,0,1)+1)</f>
        <v>3</v>
      </c>
      <c r="D185" s="2" t="s">
        <v>1098</v>
      </c>
      <c r="E185">
        <f>IF(Tabla_Alimentacion[[#This Row],[Id_anterior]]=1,ROW()-1,SUM(ROW()-1,Tabla_Alimentacion[[#This Row],[Id_anterior]]))</f>
        <v>1272</v>
      </c>
      <c r="F18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ALIMENTACION_INFORMES_PRODUCCION_PARTE_RESUMEN_DIARIO_POR_CADETES_ALUMNOS</v>
      </c>
      <c r="G185" s="2" t="str">
        <f>CLEAN(PROPER(Tabla_Alimentacion[[#This Row],[Nombre Opción]]))</f>
        <v>Parte Resumen Diario Por Cadetes / Alumnos</v>
      </c>
      <c r="H185" s="2" t="s">
        <v>1735</v>
      </c>
      <c r="I185" s="2" t="str">
        <f>_xlfn.XLOOKUP(Tabla_Alimentacion[[#This Row],[id_padre]],Tabla_Alimentacion[Id],Tabla_Alimentacion[Codigo_Tecnico],"",0,1)</f>
        <v>ALIMENTACION_INFORMES_PRODUCCION</v>
      </c>
      <c r="J18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/alimentacion/informes/produccion/parte-resumen-diario-por-cadetes-alumnos</v>
      </c>
      <c r="K18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parte-resumen-diario-por-cadetes-alumnos</v>
      </c>
      <c r="L185" s="2" t="s">
        <v>1572</v>
      </c>
      <c r="M185" s="2" t="s">
        <v>1794</v>
      </c>
      <c r="N185" s="4" t="s">
        <v>360</v>
      </c>
      <c r="O185" s="4" t="s">
        <v>360</v>
      </c>
      <c r="P185" s="4" t="s">
        <v>360</v>
      </c>
      <c r="Q185" s="4" t="s">
        <v>360</v>
      </c>
      <c r="R185" s="4"/>
      <c r="S185" s="4"/>
      <c r="X185" s="4" t="s">
        <v>360</v>
      </c>
      <c r="Y185" s="4" t="s">
        <v>360</v>
      </c>
      <c r="Z185" s="2" t="str">
        <f>IF(Tabla_Alimentacion[[#This Row],[id_padre]]=Tabla_Alimentacion[[#This Row],[Id]],"NOK","OK")</f>
        <v>OK</v>
      </c>
    </row>
    <row r="186" spans="1:26" hidden="1" x14ac:dyDescent="0.5">
      <c r="A186" s="2">
        <f>MAX(Tabla_Descuentos[Id])</f>
        <v>1088</v>
      </c>
      <c r="B186">
        <v>1250</v>
      </c>
      <c r="C186" s="5">
        <f>IF(Tabla_Alimentacion[[#This Row],[id_padre]]="",0,_xlfn.XLOOKUP(Tabla_Alimentacion[[#This Row],[id_padre]],Tabla_Alimentacion[Id],Tabla_Alimentacion[Nivel],0,0,1)+1)</f>
        <v>3</v>
      </c>
      <c r="D186" s="2" t="s">
        <v>1099</v>
      </c>
      <c r="E186">
        <f>IF(Tabla_Alimentacion[[#This Row],[Id_anterior]]=1,ROW()-1,SUM(ROW()-1,Tabla_Alimentacion[[#This Row],[Id_anterior]]))</f>
        <v>1273</v>
      </c>
      <c r="F18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ALIMENTACION_INFORMES_PRODUCCION_PARTE_RESUMEN_GENERAL_POR_UNIDAD</v>
      </c>
      <c r="G186" s="2" t="str">
        <f>CLEAN(PROPER(Tabla_Alimentacion[[#This Row],[Nombre Opción]]))</f>
        <v>Parte Resumen General Por Unidad</v>
      </c>
      <c r="H186" s="2" t="s">
        <v>1735</v>
      </c>
      <c r="I186" s="2" t="str">
        <f>_xlfn.XLOOKUP(Tabla_Alimentacion[[#This Row],[id_padre]],Tabla_Alimentacion[Id],Tabla_Alimentacion[Codigo_Tecnico],"",0,1)</f>
        <v>ALIMENTACION_INFORMES_PRODUCCION</v>
      </c>
      <c r="J18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/alimentacion/informes/produccion/parte-resumen-general-por-unidad</v>
      </c>
      <c r="K18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parte-resumen-general-por-unidad</v>
      </c>
      <c r="L186" s="2" t="s">
        <v>1387</v>
      </c>
      <c r="M186" s="2" t="s">
        <v>1794</v>
      </c>
      <c r="N186" s="4" t="s">
        <v>360</v>
      </c>
      <c r="O186" s="4" t="s">
        <v>360</v>
      </c>
      <c r="P186" s="4" t="s">
        <v>360</v>
      </c>
      <c r="Q186" s="4" t="s">
        <v>360</v>
      </c>
      <c r="R186" s="4"/>
      <c r="S186" s="4"/>
      <c r="X186" s="4" t="s">
        <v>360</v>
      </c>
      <c r="Y186" s="4" t="s">
        <v>360</v>
      </c>
      <c r="Z186" s="2" t="str">
        <f>IF(Tabla_Alimentacion[[#This Row],[id_padre]]=Tabla_Alimentacion[[#This Row],[Id]],"NOK","OK")</f>
        <v>OK</v>
      </c>
    </row>
    <row r="187" spans="1:26" hidden="1" x14ac:dyDescent="0.5">
      <c r="A187" s="2">
        <f>MAX(Tabla_Descuentos[Id])</f>
        <v>1088</v>
      </c>
      <c r="B187">
        <v>1250</v>
      </c>
      <c r="C187" s="5">
        <f>IF(Tabla_Alimentacion[[#This Row],[id_padre]]="",0,_xlfn.XLOOKUP(Tabla_Alimentacion[[#This Row],[id_padre]],Tabla_Alimentacion[Id],Tabla_Alimentacion[Nivel],0,0,1)+1)</f>
        <v>3</v>
      </c>
      <c r="D187" s="2" t="s">
        <v>1100</v>
      </c>
      <c r="E187">
        <f>IF(Tabla_Alimentacion[[#This Row],[Id_anterior]]=1,ROW()-1,SUM(ROW()-1,Tabla_Alimentacion[[#This Row],[Id_anterior]]))</f>
        <v>1274</v>
      </c>
      <c r="F18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ALIMENTACION_INFORMES_PRODUCCION_PARTE_RESUMEN_DIARIO_POR_SERVICIO_ALIMENTACION</v>
      </c>
      <c r="G187" s="2" t="str">
        <f>CLEAN(PROPER(Tabla_Alimentacion[[#This Row],[Nombre Opción]]))</f>
        <v>Parte Resumen Diario Por Servicio Alimentacion</v>
      </c>
      <c r="H187" s="2" t="s">
        <v>1735</v>
      </c>
      <c r="I187" s="2" t="str">
        <f>_xlfn.XLOOKUP(Tabla_Alimentacion[[#This Row],[id_padre]],Tabla_Alimentacion[Id],Tabla_Alimentacion[Codigo_Tecnico],"",0,1)</f>
        <v>ALIMENTACION_INFORMES_PRODUCCION</v>
      </c>
      <c r="J18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/alimentacion/informes/produccion/parte-resumen-diario-por-servicio-alimentacion</v>
      </c>
      <c r="K18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parte-resumen-diario-por-servicio-alimentacion</v>
      </c>
      <c r="L187" s="2" t="s">
        <v>1636</v>
      </c>
      <c r="M187" s="2" t="s">
        <v>1794</v>
      </c>
      <c r="N187" s="4" t="s">
        <v>360</v>
      </c>
      <c r="O187" s="4" t="s">
        <v>360</v>
      </c>
      <c r="P187" s="4" t="s">
        <v>360</v>
      </c>
      <c r="Q187" s="4" t="s">
        <v>360</v>
      </c>
      <c r="R187" s="4" t="s">
        <v>360</v>
      </c>
      <c r="S187" s="4" t="s">
        <v>360</v>
      </c>
      <c r="W187" s="4" t="s">
        <v>360</v>
      </c>
      <c r="Y187" s="4" t="s">
        <v>360</v>
      </c>
      <c r="Z187" s="2" t="str">
        <f>IF(Tabla_Alimentacion[[#This Row],[id_padre]]=Tabla_Alimentacion[[#This Row],[Id]],"NOK","OK")</f>
        <v>OK</v>
      </c>
    </row>
    <row r="188" spans="1:26" hidden="1" x14ac:dyDescent="0.5">
      <c r="A188" s="2">
        <f>MAX(Tabla_Descuentos[Id])</f>
        <v>1088</v>
      </c>
      <c r="B188">
        <v>1250</v>
      </c>
      <c r="C188" s="5">
        <f>IF(Tabla_Alimentacion[[#This Row],[id_padre]]="",0,_xlfn.XLOOKUP(Tabla_Alimentacion[[#This Row],[id_padre]],Tabla_Alimentacion[Id],Tabla_Alimentacion[Nivel],0,0,1)+1)</f>
        <v>3</v>
      </c>
      <c r="D188" s="2" t="s">
        <v>1101</v>
      </c>
      <c r="E188">
        <f>IF(Tabla_Alimentacion[[#This Row],[Id_anterior]]=1,ROW()-1,SUM(ROW()-1,Tabla_Alimentacion[[#This Row],[Id_anterior]]))</f>
        <v>1275</v>
      </c>
      <c r="F18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ALIMENTACION_INFORMES_PRODUCCION_PARTE_RESUMEN_DIARIO_POR_CASINO</v>
      </c>
      <c r="G188" s="2" t="str">
        <f>CLEAN(PROPER(Tabla_Alimentacion[[#This Row],[Nombre Opción]]))</f>
        <v>Parte Resumen Diario Por Casino</v>
      </c>
      <c r="H188" s="2" t="s">
        <v>1735</v>
      </c>
      <c r="I188" s="2" t="str">
        <f>_xlfn.XLOOKUP(Tabla_Alimentacion[[#This Row],[id_padre]],Tabla_Alimentacion[Id],Tabla_Alimentacion[Codigo_Tecnico],"",0,1)</f>
        <v>ALIMENTACION_INFORMES_PRODUCCION</v>
      </c>
      <c r="J18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/alimentacion/informes/produccion/parte-resumen-diario-por-casino</v>
      </c>
      <c r="K18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parte-resumen-diario-por-casino</v>
      </c>
      <c r="L188" s="2" t="s">
        <v>1539</v>
      </c>
      <c r="M188" s="2" t="s">
        <v>1794</v>
      </c>
      <c r="N188" s="4" t="s">
        <v>360</v>
      </c>
      <c r="O188" s="4" t="s">
        <v>360</v>
      </c>
      <c r="P188" s="4" t="s">
        <v>360</v>
      </c>
      <c r="Q188" s="4" t="s">
        <v>360</v>
      </c>
      <c r="R188" s="4" t="s">
        <v>360</v>
      </c>
      <c r="S188" s="4" t="s">
        <v>360</v>
      </c>
      <c r="W188" s="4" t="s">
        <v>360</v>
      </c>
      <c r="Y188" s="4" t="s">
        <v>360</v>
      </c>
      <c r="Z188" s="2" t="str">
        <f>IF(Tabla_Alimentacion[[#This Row],[id_padre]]=Tabla_Alimentacion[[#This Row],[Id]],"NOK","OK")</f>
        <v>OK</v>
      </c>
    </row>
    <row r="189" spans="1:26" hidden="1" x14ac:dyDescent="0.5">
      <c r="A189" s="2">
        <f>MAX(Tabla_Descuentos[Id])</f>
        <v>1088</v>
      </c>
      <c r="B189">
        <v>1250</v>
      </c>
      <c r="C189" s="5">
        <f>IF(Tabla_Alimentacion[[#This Row],[id_padre]]="",0,_xlfn.XLOOKUP(Tabla_Alimentacion[[#This Row],[id_padre]],Tabla_Alimentacion[Id],Tabla_Alimentacion[Nivel],0,0,1)+1)</f>
        <v>3</v>
      </c>
      <c r="D189" s="2" t="s">
        <v>1104</v>
      </c>
      <c r="E189">
        <f>IF(Tabla_Alimentacion[[#This Row],[Id_anterior]]=1,ROW()-1,SUM(ROW()-1,Tabla_Alimentacion[[#This Row],[Id_anterior]]))</f>
        <v>1276</v>
      </c>
      <c r="F18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ALIMENTACION_INFORMES_PRODUCCION_ANALISIS_COSTOS</v>
      </c>
      <c r="G189" s="2" t="str">
        <f>CLEAN(PROPER(Tabla_Alimentacion[[#This Row],[Nombre Opción]]))</f>
        <v>Analisis De Costos</v>
      </c>
      <c r="H189" s="2" t="s">
        <v>1735</v>
      </c>
      <c r="I189" s="2" t="str">
        <f>_xlfn.XLOOKUP(Tabla_Alimentacion[[#This Row],[id_padre]],Tabla_Alimentacion[Id],Tabla_Alimentacion[Codigo_Tecnico],"",0,1)</f>
        <v>ALIMENTACION_INFORMES_PRODUCCION</v>
      </c>
      <c r="J18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/alimentacion/informes/produccion/analisis-costos</v>
      </c>
      <c r="K18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analisis-costos</v>
      </c>
      <c r="L189" s="2" t="s">
        <v>1332</v>
      </c>
      <c r="M189" s="2" t="s">
        <v>1794</v>
      </c>
      <c r="N189" s="4" t="s">
        <v>360</v>
      </c>
      <c r="O189" s="4" t="s">
        <v>360</v>
      </c>
      <c r="P189" s="4" t="s">
        <v>360</v>
      </c>
      <c r="Q189" s="4" t="s">
        <v>360</v>
      </c>
      <c r="R189" s="4" t="s">
        <v>360</v>
      </c>
      <c r="S189" s="4" t="s">
        <v>360</v>
      </c>
      <c r="W189" s="4" t="s">
        <v>360</v>
      </c>
      <c r="Y189" s="4" t="s">
        <v>360</v>
      </c>
      <c r="Z189" s="2" t="str">
        <f>IF(Tabla_Alimentacion[[#This Row],[id_padre]]=Tabla_Alimentacion[[#This Row],[Id]],"NOK","OK")</f>
        <v>OK</v>
      </c>
    </row>
    <row r="190" spans="1:26" hidden="1" x14ac:dyDescent="0.5">
      <c r="A190" s="2">
        <f>MAX(Tabla_Descuentos[Id])</f>
        <v>1088</v>
      </c>
      <c r="B190">
        <v>1250</v>
      </c>
      <c r="C190" s="5">
        <f>IF(Tabla_Alimentacion[[#This Row],[id_padre]]="",0,_xlfn.XLOOKUP(Tabla_Alimentacion[[#This Row],[id_padre]],Tabla_Alimentacion[Id],Tabla_Alimentacion[Nivel],0,0,1)+1)</f>
        <v>3</v>
      </c>
      <c r="D190" s="2" t="s">
        <v>1102</v>
      </c>
      <c r="E190">
        <f>IF(Tabla_Alimentacion[[#This Row],[Id_anterior]]=1,ROW()-1,SUM(ROW()-1,Tabla_Alimentacion[[#This Row],[Id_anterior]]))</f>
        <v>1277</v>
      </c>
      <c r="F19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ALIMENTACION_INFORMES_PRODUCCION_PLANILLA_COBRO_ALIMENTACION</v>
      </c>
      <c r="G190" s="2" t="str">
        <f>CLEAN(PROPER(Tabla_Alimentacion[[#This Row],[Nombre Opción]]))</f>
        <v>Planilla Cobro Alimentacion</v>
      </c>
      <c r="H190" s="2" t="s">
        <v>1735</v>
      </c>
      <c r="I190" s="2" t="str">
        <f>_xlfn.XLOOKUP(Tabla_Alimentacion[[#This Row],[id_padre]],Tabla_Alimentacion[Id],Tabla_Alimentacion[Codigo_Tecnico],"",0,1)</f>
        <v>ALIMENTACION_INFORMES_PRODUCCION</v>
      </c>
      <c r="J19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/alimentacion/informes/produccion/planilla-cobro-alimentacion</v>
      </c>
      <c r="K19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planilla-cobro-alimentacion</v>
      </c>
      <c r="L190" s="2" t="s">
        <v>1364</v>
      </c>
      <c r="M190" s="2" t="s">
        <v>1794</v>
      </c>
      <c r="N190" s="4" t="s">
        <v>360</v>
      </c>
      <c r="O190" s="4" t="s">
        <v>360</v>
      </c>
      <c r="P190" s="4" t="s">
        <v>360</v>
      </c>
      <c r="Q190" s="4" t="s">
        <v>360</v>
      </c>
      <c r="R190" s="4" t="s">
        <v>360</v>
      </c>
      <c r="S190" s="4" t="s">
        <v>360</v>
      </c>
      <c r="W190" s="4" t="s">
        <v>360</v>
      </c>
      <c r="Y190" s="4" t="s">
        <v>360</v>
      </c>
      <c r="Z190" s="2" t="str">
        <f>IF(Tabla_Alimentacion[[#This Row],[id_padre]]=Tabla_Alimentacion[[#This Row],[Id]],"NOK","OK")</f>
        <v>OK</v>
      </c>
    </row>
    <row r="191" spans="1:26" hidden="1" x14ac:dyDescent="0.5">
      <c r="A191" s="2">
        <f>MAX(Tabla_Descuentos[Id])</f>
        <v>1088</v>
      </c>
      <c r="B191">
        <v>1250</v>
      </c>
      <c r="C191" s="5">
        <f>IF(Tabla_Alimentacion[[#This Row],[id_padre]]="",0,_xlfn.XLOOKUP(Tabla_Alimentacion[[#This Row],[id_padre]],Tabla_Alimentacion[Id],Tabla_Alimentacion[Nivel],0,0,1)+1)</f>
        <v>3</v>
      </c>
      <c r="D191" s="2" t="s">
        <v>1031</v>
      </c>
      <c r="E191">
        <f>IF(Tabla_Alimentacion[[#This Row],[Id_anterior]]=1,ROW()-1,SUM(ROW()-1,Tabla_Alimentacion[[#This Row],[Id_anterior]]))</f>
        <v>1278</v>
      </c>
      <c r="F19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ALIMENTACION_INFORMES_PRODUCCION_PLANILLA_COBRO_ALIMENTACION_DESPLAZAMIENTO</v>
      </c>
      <c r="G191" s="2" t="str">
        <f>CLEAN(PROPER(Tabla_Alimentacion[[#This Row],[Nombre Opción]]))</f>
        <v>Planilla Cobro Alimentacion Desplazamiento</v>
      </c>
      <c r="H191" s="2" t="s">
        <v>1735</v>
      </c>
      <c r="I191" s="2" t="str">
        <f>_xlfn.XLOOKUP(Tabla_Alimentacion[[#This Row],[id_padre]],Tabla_Alimentacion[Id],Tabla_Alimentacion[Codigo_Tecnico],"",0,1)</f>
        <v>ALIMENTACION_INFORMES_PRODUCCION</v>
      </c>
      <c r="J19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/alimentacion/informes/produccion/planilla-cobro-alimentacion-desplazamiento</v>
      </c>
      <c r="K19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planilla-cobro-alimentacion-desplazamiento</v>
      </c>
      <c r="L191" s="2" t="s">
        <v>1505</v>
      </c>
      <c r="M191" s="2" t="s">
        <v>1794</v>
      </c>
      <c r="N191" s="4" t="s">
        <v>360</v>
      </c>
      <c r="O191" s="4" t="s">
        <v>360</v>
      </c>
      <c r="P191" s="4" t="s">
        <v>360</v>
      </c>
      <c r="Q191" s="4" t="s">
        <v>360</v>
      </c>
      <c r="R191" s="4" t="s">
        <v>360</v>
      </c>
      <c r="S191" s="4" t="s">
        <v>360</v>
      </c>
      <c r="W191" s="4" t="s">
        <v>360</v>
      </c>
      <c r="Y191" s="4" t="s">
        <v>360</v>
      </c>
      <c r="Z191" s="2" t="str">
        <f>IF(Tabla_Alimentacion[[#This Row],[id_padre]]=Tabla_Alimentacion[[#This Row],[Id]],"NOK","OK")</f>
        <v>OK</v>
      </c>
    </row>
    <row r="192" spans="1:26" hidden="1" x14ac:dyDescent="0.5">
      <c r="A192" s="2">
        <f>MAX(Tabla_Descuentos[Id])</f>
        <v>1088</v>
      </c>
      <c r="B192">
        <v>1250</v>
      </c>
      <c r="C192" s="5">
        <f>IF(Tabla_Alimentacion[[#This Row],[id_padre]]="",0,_xlfn.XLOOKUP(Tabla_Alimentacion[[#This Row],[id_padre]],Tabla_Alimentacion[Id],Tabla_Alimentacion[Nivel],0,0,1)+1)</f>
        <v>3</v>
      </c>
      <c r="D192" s="2" t="s">
        <v>1032</v>
      </c>
      <c r="E192">
        <f>IF(Tabla_Alimentacion[[#This Row],[Id_anterior]]=1,ROW()-1,SUM(ROW()-1,Tabla_Alimentacion[[#This Row],[Id_anterior]]))</f>
        <v>1279</v>
      </c>
      <c r="F19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ALIMENTACION_INFORMES_PRODUCCION_PLANILLA_COBRO_APOYO_EXTRAINSTITUCIONAL</v>
      </c>
      <c r="G192" s="2" t="str">
        <f>CLEAN(PROPER(Tabla_Alimentacion[[#This Row],[Nombre Opción]]))</f>
        <v>Planilla Cobro Apoyo Extrainstitucional</v>
      </c>
      <c r="H192" s="2" t="s">
        <v>1735</v>
      </c>
      <c r="I192" s="2" t="str">
        <f>_xlfn.XLOOKUP(Tabla_Alimentacion[[#This Row],[id_padre]],Tabla_Alimentacion[Id],Tabla_Alimentacion[Codigo_Tecnico],"",0,1)</f>
        <v>ALIMENTACION_INFORMES_PRODUCCION</v>
      </c>
      <c r="J19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/alimentacion/informes/produccion/planilla-cobro-apoyo-extrainstitucional</v>
      </c>
      <c r="K19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planilla-cobro-apoyo-extrainstitucional</v>
      </c>
      <c r="L192" s="2" t="s">
        <v>1355</v>
      </c>
      <c r="M192" s="2" t="s">
        <v>1794</v>
      </c>
      <c r="N192" s="4" t="s">
        <v>360</v>
      </c>
      <c r="O192" s="4" t="s">
        <v>360</v>
      </c>
      <c r="P192" s="4" t="s">
        <v>360</v>
      </c>
      <c r="Q192" s="4" t="s">
        <v>360</v>
      </c>
      <c r="R192" s="4" t="s">
        <v>360</v>
      </c>
      <c r="S192" s="4" t="s">
        <v>360</v>
      </c>
      <c r="W192" s="4" t="s">
        <v>360</v>
      </c>
      <c r="Y192" s="4" t="s">
        <v>360</v>
      </c>
      <c r="Z192" s="2" t="str">
        <f>IF(Tabla_Alimentacion[[#This Row],[id_padre]]=Tabla_Alimentacion[[#This Row],[Id]],"NOK","OK")</f>
        <v>OK</v>
      </c>
    </row>
    <row r="193" spans="1:26" hidden="1" x14ac:dyDescent="0.5">
      <c r="A193" s="2">
        <f>MAX(Tabla_Descuentos[Id])</f>
        <v>1088</v>
      </c>
      <c r="B193">
        <v>1250</v>
      </c>
      <c r="C193" s="5">
        <f>IF(Tabla_Alimentacion[[#This Row],[id_padre]]="",0,_xlfn.XLOOKUP(Tabla_Alimentacion[[#This Row],[id_padre]],Tabla_Alimentacion[Id],Tabla_Alimentacion[Nivel],0,0,1)+1)</f>
        <v>3</v>
      </c>
      <c r="D193" s="2" t="s">
        <v>1105</v>
      </c>
      <c r="E193">
        <f>IF(Tabla_Alimentacion[[#This Row],[Id_anterior]]=1,ROW()-1,SUM(ROW()-1,Tabla_Alimentacion[[#This Row],[Id_anterior]]))</f>
        <v>1280</v>
      </c>
      <c r="F19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ALIMENTACION_INFORMES_PRODUCCION_PLANILLA_COBRO_EXTRAS</v>
      </c>
      <c r="G193" s="2" t="str">
        <f>CLEAN(PROPER(Tabla_Alimentacion[[#This Row],[Nombre Opción]]))</f>
        <v>Planilla Cobro Extras</v>
      </c>
      <c r="H193" s="2" t="s">
        <v>1735</v>
      </c>
      <c r="I193" s="2" t="str">
        <f>_xlfn.XLOOKUP(Tabla_Alimentacion[[#This Row],[id_padre]],Tabla_Alimentacion[Id],Tabla_Alimentacion[Codigo_Tecnico],"",0,1)</f>
        <v>ALIMENTACION_INFORMES_PRODUCCION</v>
      </c>
      <c r="J19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/alimentacion/informes/produccion/planilla-cobro-extras</v>
      </c>
      <c r="K19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planilla-cobro-extras</v>
      </c>
      <c r="L193" s="2" t="s">
        <v>1415</v>
      </c>
      <c r="M193" s="2" t="s">
        <v>1794</v>
      </c>
      <c r="N193" s="4" t="s">
        <v>360</v>
      </c>
      <c r="O193" s="4" t="s">
        <v>360</v>
      </c>
      <c r="P193" s="4" t="s">
        <v>360</v>
      </c>
      <c r="Q193" s="4" t="s">
        <v>360</v>
      </c>
      <c r="R193" s="4" t="s">
        <v>360</v>
      </c>
      <c r="S193" s="4" t="s">
        <v>360</v>
      </c>
      <c r="W193" s="4" t="s">
        <v>360</v>
      </c>
      <c r="Y193" s="4" t="s">
        <v>360</v>
      </c>
      <c r="Z193" s="2" t="str">
        <f>IF(Tabla_Alimentacion[[#This Row],[id_padre]]=Tabla_Alimentacion[[#This Row],[Id]],"NOK","OK")</f>
        <v>OK</v>
      </c>
    </row>
    <row r="194" spans="1:26" hidden="1" x14ac:dyDescent="0.5">
      <c r="A194" s="2">
        <f>MAX(Tabla_Descuentos[Id])</f>
        <v>1088</v>
      </c>
      <c r="B194">
        <v>1250</v>
      </c>
      <c r="C194" s="5">
        <f>IF(Tabla_Alimentacion[[#This Row],[id_padre]]="",0,_xlfn.XLOOKUP(Tabla_Alimentacion[[#This Row],[id_padre]],Tabla_Alimentacion[Id],Tabla_Alimentacion[Nivel],0,0,1)+1)</f>
        <v>3</v>
      </c>
      <c r="D194" s="2" t="s">
        <v>1103</v>
      </c>
      <c r="E194">
        <f>IF(Tabla_Alimentacion[[#This Row],[Id_anterior]]=1,ROW()-1,SUM(ROW()-1,Tabla_Alimentacion[[#This Row],[Id_anterior]]))</f>
        <v>1281</v>
      </c>
      <c r="F19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ALIMENTACION_INFORMES_PRODUCCION_COBRO_ALIMENTACION_POR_FECHA</v>
      </c>
      <c r="G194" s="2" t="str">
        <f>CLEAN(PROPER(Tabla_Alimentacion[[#This Row],[Nombre Opción]]))</f>
        <v>Cobro Alimentacion Por Fecha</v>
      </c>
      <c r="H194" s="2" t="s">
        <v>1735</v>
      </c>
      <c r="I194" s="2" t="str">
        <f>_xlfn.XLOOKUP(Tabla_Alimentacion[[#This Row],[id_padre]],Tabla_Alimentacion[Id],Tabla_Alimentacion[Codigo_Tecnico],"",0,1)</f>
        <v>ALIMENTACION_INFORMES_PRODUCCION</v>
      </c>
      <c r="J19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/alimentacion/informes/produccion/cobro-alimentacion-por-fecha</v>
      </c>
      <c r="K19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cobro-alimentacion-por-fecha</v>
      </c>
      <c r="L194" s="2" t="s">
        <v>1574</v>
      </c>
      <c r="M194" s="2" t="s">
        <v>1794</v>
      </c>
      <c r="N194" s="4" t="s">
        <v>360</v>
      </c>
      <c r="O194" s="4" t="s">
        <v>360</v>
      </c>
      <c r="P194" s="4" t="s">
        <v>360</v>
      </c>
      <c r="Q194" s="4" t="s">
        <v>360</v>
      </c>
      <c r="R194" s="4" t="s">
        <v>360</v>
      </c>
      <c r="S194" s="4" t="s">
        <v>360</v>
      </c>
      <c r="W194" s="4" t="s">
        <v>360</v>
      </c>
      <c r="Y194" s="4" t="s">
        <v>360</v>
      </c>
      <c r="Z194" s="2" t="str">
        <f>IF(Tabla_Alimentacion[[#This Row],[id_padre]]=Tabla_Alimentacion[[#This Row],[Id]],"NOK","OK")</f>
        <v>OK</v>
      </c>
    </row>
    <row r="195" spans="1:26" hidden="1" x14ac:dyDescent="0.5">
      <c r="A195" s="2">
        <f>MAX(Tabla_Descuentos[Id])</f>
        <v>1088</v>
      </c>
      <c r="B195">
        <v>1250</v>
      </c>
      <c r="C195" s="5">
        <f>IF(Tabla_Alimentacion[[#This Row],[id_padre]]="",0,_xlfn.XLOOKUP(Tabla_Alimentacion[[#This Row],[id_padre]],Tabla_Alimentacion[Id],Tabla_Alimentacion[Nivel],0,0,1)+1)</f>
        <v>3</v>
      </c>
      <c r="D195" s="2" t="s">
        <v>1022</v>
      </c>
      <c r="E195">
        <f>IF(Tabla_Alimentacion[[#This Row],[Id_anterior]]=1,ROW()-1,SUM(ROW()-1,Tabla_Alimentacion[[#This Row],[Id_anterior]]))</f>
        <v>1282</v>
      </c>
      <c r="F19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ALIMENTACION_INFORMES_PRODUCCION_DIFERENCIA_RANCHO</v>
      </c>
      <c r="G195" s="2" t="str">
        <f>CLEAN(PROPER(Tabla_Alimentacion[[#This Row],[Nombre Opción]]))</f>
        <v>Diferencia De Rancho</v>
      </c>
      <c r="H195" s="2" t="s">
        <v>1735</v>
      </c>
      <c r="I195" s="2" t="str">
        <f>_xlfn.XLOOKUP(Tabla_Alimentacion[[#This Row],[id_padre]],Tabla_Alimentacion[Id],Tabla_Alimentacion[Codigo_Tecnico],"",0,1)</f>
        <v>ALIMENTACION_INFORMES_PRODUCCION</v>
      </c>
      <c r="J19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/alimentacion/informes/produccion/diferencia-rancho</v>
      </c>
      <c r="K19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diferencia-rancho</v>
      </c>
      <c r="L195" s="2" t="s">
        <v>1408</v>
      </c>
      <c r="M195" s="2" t="s">
        <v>1794</v>
      </c>
      <c r="N195" s="4" t="s">
        <v>360</v>
      </c>
      <c r="O195" s="4" t="s">
        <v>360</v>
      </c>
      <c r="P195" s="4" t="s">
        <v>360</v>
      </c>
      <c r="Q195" s="4" t="s">
        <v>360</v>
      </c>
      <c r="R195" s="4" t="s">
        <v>360</v>
      </c>
      <c r="S195" s="4" t="s">
        <v>360</v>
      </c>
      <c r="W195" s="4" t="s">
        <v>360</v>
      </c>
      <c r="Y195" s="4" t="s">
        <v>360</v>
      </c>
      <c r="Z195" s="2" t="str">
        <f>IF(Tabla_Alimentacion[[#This Row],[id_padre]]=Tabla_Alimentacion[[#This Row],[Id]],"NOK","OK")</f>
        <v>OK</v>
      </c>
    </row>
    <row r="196" spans="1:26" hidden="1" x14ac:dyDescent="0.5">
      <c r="A196" s="2">
        <f>MAX(Tabla_Descuentos[Id])</f>
        <v>1088</v>
      </c>
      <c r="B196">
        <v>1250</v>
      </c>
      <c r="C196" s="5">
        <f>IF(Tabla_Alimentacion[[#This Row],[id_padre]]="",0,_xlfn.XLOOKUP(Tabla_Alimentacion[[#This Row],[id_padre]],Tabla_Alimentacion[Id],Tabla_Alimentacion[Nivel],0,0,1)+1)</f>
        <v>3</v>
      </c>
      <c r="D196" s="2" t="s">
        <v>1106</v>
      </c>
      <c r="E196">
        <f>IF(Tabla_Alimentacion[[#This Row],[Id_anterior]]=1,ROW()-1,SUM(ROW()-1,Tabla_Alimentacion[[#This Row],[Id_anterior]]))</f>
        <v>1283</v>
      </c>
      <c r="F19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ALIMENTACION_INFORMES_PRODUCCION_PARTE_RESUMEN_GENERAL_INSTITUCIONAL</v>
      </c>
      <c r="G196" s="2" t="str">
        <f>CLEAN(PROPER(Tabla_Alimentacion[[#This Row],[Nombre Opción]]))</f>
        <v>Parte Resumen General Institucional</v>
      </c>
      <c r="H196" s="2" t="s">
        <v>1735</v>
      </c>
      <c r="I196" s="2" t="str">
        <f>_xlfn.XLOOKUP(Tabla_Alimentacion[[#This Row],[id_padre]],Tabla_Alimentacion[Id],Tabla_Alimentacion[Codigo_Tecnico],"",0,1)</f>
        <v>ALIMENTACION_INFORMES_PRODUCCION</v>
      </c>
      <c r="J19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/alimentacion/informes/produccion/parte-resumen-general-institucional</v>
      </c>
      <c r="K19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parte-resumen-general-institucional</v>
      </c>
      <c r="L196" s="2" t="s">
        <v>1367</v>
      </c>
      <c r="M196" s="2" t="s">
        <v>1794</v>
      </c>
      <c r="O196" s="4" t="s">
        <v>360</v>
      </c>
      <c r="P196" s="4" t="s">
        <v>360</v>
      </c>
      <c r="Q196" s="4"/>
      <c r="R196" s="4"/>
      <c r="S196" s="4"/>
      <c r="Y196" s="4" t="s">
        <v>360</v>
      </c>
      <c r="Z196" s="2" t="str">
        <f>IF(Tabla_Alimentacion[[#This Row],[id_padre]]=Tabla_Alimentacion[[#This Row],[Id]],"NOK","OK")</f>
        <v>OK</v>
      </c>
    </row>
    <row r="197" spans="1:26" hidden="1" x14ac:dyDescent="0.5">
      <c r="A197" s="2">
        <f>MAX(Tabla_Descuentos[Id])</f>
        <v>1088</v>
      </c>
      <c r="B197">
        <v>1250</v>
      </c>
      <c r="C197" s="5">
        <f>IF(Tabla_Alimentacion[[#This Row],[id_padre]]="",0,_xlfn.XLOOKUP(Tabla_Alimentacion[[#This Row],[id_padre]],Tabla_Alimentacion[Id],Tabla_Alimentacion[Nivel],0,0,1)+1)</f>
        <v>3</v>
      </c>
      <c r="D197" s="2" t="s">
        <v>1107</v>
      </c>
      <c r="E197">
        <f>IF(Tabla_Alimentacion[[#This Row],[Id_anterior]]=1,ROW()-1,SUM(ROW()-1,Tabla_Alimentacion[[#This Row],[Id_anterior]]))</f>
        <v>1284</v>
      </c>
      <c r="F19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ALIMENTACION_INFORMES_PRODUCCION_COBRO_ALIMENTACION_CONSOLIDADO</v>
      </c>
      <c r="G197" s="2" t="str">
        <f>CLEAN(PROPER(Tabla_Alimentacion[[#This Row],[Nombre Opción]]))</f>
        <v>Cobro Alimentacion Consolidado</v>
      </c>
      <c r="H197" s="2" t="s">
        <v>1735</v>
      </c>
      <c r="I197" s="2" t="str">
        <f>_xlfn.XLOOKUP(Tabla_Alimentacion[[#This Row],[id_padre]],Tabla_Alimentacion[Id],Tabla_Alimentacion[Codigo_Tecnico],"",0,1)</f>
        <v>ALIMENTACION_INFORMES_PRODUCCION</v>
      </c>
      <c r="J19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/alimentacion/informes/produccion/cobro-alimentacion-consolidado</v>
      </c>
      <c r="K19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cobro-alimentacion-consolidado</v>
      </c>
      <c r="L197" s="2" t="s">
        <v>1412</v>
      </c>
      <c r="M197" s="2" t="s">
        <v>1794</v>
      </c>
      <c r="O197" s="4" t="s">
        <v>360</v>
      </c>
      <c r="P197" s="4" t="s">
        <v>360</v>
      </c>
      <c r="Q197" s="4"/>
      <c r="R197" s="4"/>
      <c r="S197" s="4"/>
      <c r="W197" s="4" t="s">
        <v>360</v>
      </c>
      <c r="Y197" s="4" t="s">
        <v>360</v>
      </c>
      <c r="Z197" s="2" t="str">
        <f>IF(Tabla_Alimentacion[[#This Row],[id_padre]]=Tabla_Alimentacion[[#This Row],[Id]],"NOK","OK")</f>
        <v>OK</v>
      </c>
    </row>
    <row r="198" spans="1:26" hidden="1" x14ac:dyDescent="0.5">
      <c r="A198" s="2">
        <f>MAX(Tabla_Descuentos[Id])</f>
        <v>1088</v>
      </c>
      <c r="B198">
        <v>1250</v>
      </c>
      <c r="C198" s="5">
        <f>IF(Tabla_Alimentacion[[#This Row],[id_padre]]="",0,_xlfn.XLOOKUP(Tabla_Alimentacion[[#This Row],[id_padre]],Tabla_Alimentacion[Id],Tabla_Alimentacion[Nivel],0,0,1)+1)</f>
        <v>3</v>
      </c>
      <c r="D198" s="2" t="s">
        <v>1108</v>
      </c>
      <c r="E198">
        <f>IF(Tabla_Alimentacion[[#This Row],[Id_anterior]]=1,ROW()-1,SUM(ROW()-1,Tabla_Alimentacion[[#This Row],[Id_anterior]]))</f>
        <v>1285</v>
      </c>
      <c r="F19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ALIMENTACION_INFORMES_PRODUCCION_RESUMEN_FONDO_FIJO_MENSUAL</v>
      </c>
      <c r="G198" s="2" t="str">
        <f>CLEAN(PROPER(Tabla_Alimentacion[[#This Row],[Nombre Opción]]))</f>
        <v>Resumen Fondo Fijo Mensual</v>
      </c>
      <c r="H198" s="2" t="s">
        <v>1735</v>
      </c>
      <c r="I198" s="2" t="str">
        <f>_xlfn.XLOOKUP(Tabla_Alimentacion[[#This Row],[id_padre]],Tabla_Alimentacion[Id],Tabla_Alimentacion[Codigo_Tecnico],"",0,1)</f>
        <v>ALIMENTACION_INFORMES_PRODUCCION</v>
      </c>
      <c r="J19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/alimentacion/informes/produccion/resumen-fondo-fijo-mensual</v>
      </c>
      <c r="K19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resumen-fondo-fijo-mensual</v>
      </c>
      <c r="L198" s="2" t="s">
        <v>1395</v>
      </c>
      <c r="M198" s="2" t="s">
        <v>1794</v>
      </c>
      <c r="O198" s="4" t="s">
        <v>360</v>
      </c>
      <c r="P198" s="4" t="s">
        <v>360</v>
      </c>
      <c r="Q198" s="4" t="s">
        <v>360</v>
      </c>
      <c r="R198" s="4"/>
      <c r="S198" s="4"/>
      <c r="W198" s="4" t="s">
        <v>360</v>
      </c>
      <c r="Y198" s="4" t="s">
        <v>360</v>
      </c>
      <c r="Z198" s="2" t="str">
        <f>IF(Tabla_Alimentacion[[#This Row],[id_padre]]=Tabla_Alimentacion[[#This Row],[Id]],"NOK","OK")</f>
        <v>OK</v>
      </c>
    </row>
    <row r="199" spans="1:26" hidden="1" x14ac:dyDescent="0.5">
      <c r="A199" s="2">
        <f>MAX(Tabla_Descuentos[Id])</f>
        <v>1088</v>
      </c>
      <c r="B199">
        <v>1093</v>
      </c>
      <c r="C199" s="5">
        <f>IF(Tabla_Alimentacion[[#This Row],[id_padre]]="",0,_xlfn.XLOOKUP(Tabla_Alimentacion[[#This Row],[id_padre]],Tabla_Alimentacion[Id],Tabla_Alimentacion[Nivel],0,0,1)+1)</f>
        <v>2</v>
      </c>
      <c r="D199" s="2" t="s">
        <v>1612</v>
      </c>
      <c r="E199">
        <f>IF(Tabla_Alimentacion[[#This Row],[Id_anterior]]=1,ROW()-1,SUM(ROW()-1,Tabla_Alimentacion[[#This Row],[Id_anterior]]))</f>
        <v>1286</v>
      </c>
      <c r="F19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</v>
      </c>
      <c r="G199" s="2" t="str">
        <f>CLEAN(PROPER(Tabla_Alimentacion[[#This Row],[Nombre Opción]]))</f>
        <v>Cuenta Corriente</v>
      </c>
      <c r="H199" s="2" t="s">
        <v>1735</v>
      </c>
      <c r="I199" s="2" t="str">
        <f>_xlfn.XLOOKUP(Tabla_Alimentacion[[#This Row],[id_padre]],Tabla_Alimentacion[Id],Tabla_Alimentacion[Codigo_Tecnico],"",0,1)</f>
        <v>ALIMENTACION_INFORMES</v>
      </c>
      <c r="J19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</v>
      </c>
      <c r="K19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cuenta-corriente</v>
      </c>
      <c r="L199" s="2" t="s">
        <v>1395</v>
      </c>
      <c r="M199" s="2" t="s">
        <v>1794</v>
      </c>
      <c r="N199" s="4" t="s">
        <v>360</v>
      </c>
      <c r="O199" s="4" t="s">
        <v>360</v>
      </c>
      <c r="P199" s="4" t="s">
        <v>360</v>
      </c>
      <c r="Q199" s="4" t="s">
        <v>360</v>
      </c>
      <c r="R199" s="4" t="s">
        <v>360</v>
      </c>
      <c r="S199" s="4" t="s">
        <v>360</v>
      </c>
      <c r="V199" s="4" t="s">
        <v>360</v>
      </c>
      <c r="W199" s="4" t="s">
        <v>360</v>
      </c>
      <c r="Y199" s="4" t="s">
        <v>360</v>
      </c>
      <c r="Z199" s="2" t="str">
        <f>IF(Tabla_Alimentacion[[#This Row],[id_padre]]=Tabla_Alimentacion[[#This Row],[Id]],"NOK","OK")</f>
        <v>OK</v>
      </c>
    </row>
    <row r="200" spans="1:26" hidden="1" x14ac:dyDescent="0.5">
      <c r="A200" s="2">
        <f>MAX(Tabla_Descuentos[Id])</f>
        <v>1088</v>
      </c>
      <c r="B200">
        <v>1286</v>
      </c>
      <c r="C200" s="5">
        <f>IF(Tabla_Alimentacion[[#This Row],[id_padre]]="",0,_xlfn.XLOOKUP(Tabla_Alimentacion[[#This Row],[id_padre]],Tabla_Alimentacion[Id],Tabla_Alimentacion[Nivel],0,0,1)+1)</f>
        <v>3</v>
      </c>
      <c r="D200" s="2" t="s">
        <v>1621</v>
      </c>
      <c r="E200">
        <f>IF(Tabla_Alimentacion[[#This Row],[Id_anterior]]=1,ROW()-1,SUM(ROW()-1,Tabla_Alimentacion[[#This Row],[Id_anterior]]))</f>
        <v>1287</v>
      </c>
      <c r="F20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ALIMENTACION_INFORMES_CUENTA_CORRIENTE_VENTAS</v>
      </c>
      <c r="G200" s="2" t="str">
        <f>CLEAN(PROPER(Tabla_Alimentacion[[#This Row],[Nombre Opción]]))</f>
        <v>Ventas</v>
      </c>
      <c r="H200" s="2" t="s">
        <v>1735</v>
      </c>
      <c r="I200" s="2" t="str">
        <f>_xlfn.XLOOKUP(Tabla_Alimentacion[[#This Row],[id_padre]],Tabla_Alimentacion[Id],Tabla_Alimentacion[Codigo_Tecnico],"",0,1)</f>
        <v>ALIMENTACION_INFORMES_CUENTA_CORRIENTE</v>
      </c>
      <c r="J20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/alimentacion/informes/cuenta-corriente/ventas</v>
      </c>
      <c r="K20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ventas</v>
      </c>
      <c r="L200" s="2" t="s">
        <v>1336</v>
      </c>
      <c r="M200" s="2" t="s">
        <v>1794</v>
      </c>
      <c r="N200" s="4" t="s">
        <v>360</v>
      </c>
      <c r="O200" s="4" t="s">
        <v>360</v>
      </c>
      <c r="P200" s="4" t="s">
        <v>360</v>
      </c>
      <c r="Q200" s="4" t="s">
        <v>360</v>
      </c>
      <c r="R200" s="4" t="s">
        <v>360</v>
      </c>
      <c r="S200" s="4" t="s">
        <v>360</v>
      </c>
      <c r="V200" s="4" t="s">
        <v>360</v>
      </c>
      <c r="W200" s="4" t="s">
        <v>360</v>
      </c>
      <c r="Y200" s="4" t="s">
        <v>360</v>
      </c>
      <c r="Z200" s="2" t="str">
        <f>IF(Tabla_Alimentacion[[#This Row],[id_padre]]=Tabla_Alimentacion[[#This Row],[Id]],"NOK","OK")</f>
        <v>OK</v>
      </c>
    </row>
    <row r="201" spans="1:26" hidden="1" x14ac:dyDescent="0.5">
      <c r="A201" s="2">
        <f>MAX(Tabla_Descuentos[Id])</f>
        <v>1088</v>
      </c>
      <c r="B201">
        <v>1287</v>
      </c>
      <c r="C201" s="5">
        <f>IF(Tabla_Alimentacion[[#This Row],[id_padre]]="",0,_xlfn.XLOOKUP(Tabla_Alimentacion[[#This Row],[id_padre]],Tabla_Alimentacion[Id],Tabla_Alimentacion[Nivel],0,0,1)+1)</f>
        <v>4</v>
      </c>
      <c r="D201" s="2" t="s">
        <v>1067</v>
      </c>
      <c r="E201">
        <f>IF(Tabla_Alimentacion[[#This Row],[Id_anterior]]=1,ROW()-1,SUM(ROW()-1,Tabla_Alimentacion[[#This Row],[Id_anterior]]))</f>
        <v>1288</v>
      </c>
      <c r="F20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ALIMENTACION_INFORMES_CUENTA_CORRIENTE_VENTAS_POR_NUMERO</v>
      </c>
      <c r="G201" s="2" t="str">
        <f>CLEAN(PROPER(Tabla_Alimentacion[[#This Row],[Nombre Opción]]))</f>
        <v>Por Numero</v>
      </c>
      <c r="H201" s="2" t="s">
        <v>1735</v>
      </c>
      <c r="I201" s="2" t="str">
        <f>_xlfn.XLOOKUP(Tabla_Alimentacion[[#This Row],[id_padre]],Tabla_Alimentacion[Id],Tabla_Alimentacion[Codigo_Tecnico],"",0,1)</f>
        <v>ALIMENTACION_INFORMES_CUENTA_CORRIENTE_VENTAS</v>
      </c>
      <c r="J20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/alimentacion/informes/cuenta-corriente/ventas/por-numero</v>
      </c>
      <c r="K20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por-numero</v>
      </c>
      <c r="L201" s="2" t="s">
        <v>1406</v>
      </c>
      <c r="M201" s="2" t="s">
        <v>1794</v>
      </c>
      <c r="N201" s="4" t="s">
        <v>360</v>
      </c>
      <c r="O201" s="4" t="s">
        <v>360</v>
      </c>
      <c r="P201" s="4" t="s">
        <v>360</v>
      </c>
      <c r="Q201" s="4" t="s">
        <v>360</v>
      </c>
      <c r="R201" s="4" t="s">
        <v>360</v>
      </c>
      <c r="S201" s="4" t="s">
        <v>360</v>
      </c>
      <c r="V201" s="4" t="s">
        <v>360</v>
      </c>
      <c r="W201" s="4" t="s">
        <v>360</v>
      </c>
      <c r="Y201" s="4" t="s">
        <v>360</v>
      </c>
      <c r="Z201" s="2" t="str">
        <f>IF(Tabla_Alimentacion[[#This Row],[id_padre]]=Tabla_Alimentacion[[#This Row],[Id]],"NOK","OK")</f>
        <v>OK</v>
      </c>
    </row>
    <row r="202" spans="1:26" hidden="1" x14ac:dyDescent="0.5">
      <c r="A202" s="2">
        <f>MAX(Tabla_Descuentos[Id])</f>
        <v>1088</v>
      </c>
      <c r="B202">
        <v>1287</v>
      </c>
      <c r="C202" s="5">
        <f>IF(Tabla_Alimentacion[[#This Row],[id_padre]]="",0,_xlfn.XLOOKUP(Tabla_Alimentacion[[#This Row],[id_padre]],Tabla_Alimentacion[Id],Tabla_Alimentacion[Nivel],0,0,1)+1)</f>
        <v>4</v>
      </c>
      <c r="D202" s="2" t="s">
        <v>1109</v>
      </c>
      <c r="E202">
        <f>IF(Tabla_Alimentacion[[#This Row],[Id_anterior]]=1,ROW()-1,SUM(ROW()-1,Tabla_Alimentacion[[#This Row],[Id_anterior]]))</f>
        <v>1289</v>
      </c>
      <c r="F202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ALIMENTACION_INFORMES_CUENTA_CORRIENTE_VENTAS_POR_TIPO_MOVIMIENTO</v>
      </c>
      <c r="G202" s="2" t="str">
        <f>CLEAN(PROPER(Tabla_Alimentacion[[#This Row],[Nombre Opción]]))</f>
        <v>Por Tipo De Movimiento</v>
      </c>
      <c r="H202" s="2" t="s">
        <v>1735</v>
      </c>
      <c r="I202" s="2" t="str">
        <f>_xlfn.XLOOKUP(Tabla_Alimentacion[[#This Row],[id_padre]],Tabla_Alimentacion[Id],Tabla_Alimentacion[Codigo_Tecnico],"",0,1)</f>
        <v>ALIMENTACION_INFORMES_CUENTA_CORRIENTE_VENTAS</v>
      </c>
      <c r="J202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/alimentacion/informes/cuenta-corriente/ventas/por-tipo-movimiento</v>
      </c>
      <c r="K202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por-tipo-movimiento</v>
      </c>
      <c r="L202" s="2" t="s">
        <v>1379</v>
      </c>
      <c r="M202" s="2" t="s">
        <v>1794</v>
      </c>
      <c r="N202" s="4" t="s">
        <v>360</v>
      </c>
      <c r="O202" s="4" t="s">
        <v>360</v>
      </c>
      <c r="P202" s="4" t="s">
        <v>360</v>
      </c>
      <c r="Q202" s="4" t="s">
        <v>360</v>
      </c>
      <c r="R202" s="4" t="s">
        <v>360</v>
      </c>
      <c r="S202" s="4" t="s">
        <v>360</v>
      </c>
      <c r="V202" s="4" t="s">
        <v>360</v>
      </c>
      <c r="W202" s="4" t="s">
        <v>360</v>
      </c>
      <c r="Y202" s="4" t="s">
        <v>360</v>
      </c>
      <c r="Z202" s="2" t="str">
        <f>IF(Tabla_Alimentacion[[#This Row],[id_padre]]=Tabla_Alimentacion[[#This Row],[Id]],"NOK","OK")</f>
        <v>OK</v>
      </c>
    </row>
    <row r="203" spans="1:26" hidden="1" x14ac:dyDescent="0.5">
      <c r="A203" s="2">
        <f>MAX(Tabla_Descuentos[Id])</f>
        <v>1088</v>
      </c>
      <c r="B203">
        <v>1287</v>
      </c>
      <c r="C203" s="5">
        <f>IF(Tabla_Alimentacion[[#This Row],[id_padre]]="",0,_xlfn.XLOOKUP(Tabla_Alimentacion[[#This Row],[id_padre]],Tabla_Alimentacion[Id],Tabla_Alimentacion[Nivel],0,0,1)+1)</f>
        <v>4</v>
      </c>
      <c r="D203" s="2" t="s">
        <v>1110</v>
      </c>
      <c r="E203">
        <f>IF(Tabla_Alimentacion[[#This Row],[Id_anterior]]=1,ROW()-1,SUM(ROW()-1,Tabla_Alimentacion[[#This Row],[Id_anterior]]))</f>
        <v>1290</v>
      </c>
      <c r="F203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ALIMENTACION_INFORMES_CUENTA_CORRIENTE_VENTAS_RESUMEN_VENTAS_POR_DIA_RESUMEN_VENTAS_AL_CONTADO</v>
      </c>
      <c r="G203" s="2" t="str">
        <f>CLEAN(PROPER(Tabla_Alimentacion[[#This Row],[Nombre Opción]]))</f>
        <v>Resumen Ventas Por Dia Resumen Ventas Al Contado</v>
      </c>
      <c r="H203" s="2" t="s">
        <v>1735</v>
      </c>
      <c r="I203" s="2" t="str">
        <f>_xlfn.XLOOKUP(Tabla_Alimentacion[[#This Row],[id_padre]],Tabla_Alimentacion[Id],Tabla_Alimentacion[Codigo_Tecnico],"",0,1)</f>
        <v>ALIMENTACION_INFORMES_CUENTA_CORRIENTE_VENTAS</v>
      </c>
      <c r="J203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/alimentacion/informes/cuenta-corriente/ventas/resumen-ventas-por-dia-resumen-ventas-al-contado</v>
      </c>
      <c r="K203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resumen-ventas-por-dia-resumen-ventas-al-contado</v>
      </c>
      <c r="L203" s="2" t="s">
        <v>1353</v>
      </c>
      <c r="M203" s="2" t="s">
        <v>1794</v>
      </c>
      <c r="N203" s="4" t="s">
        <v>360</v>
      </c>
      <c r="O203" s="4" t="s">
        <v>360</v>
      </c>
      <c r="P203" s="4" t="s">
        <v>360</v>
      </c>
      <c r="Q203" s="4" t="s">
        <v>360</v>
      </c>
      <c r="R203" s="4" t="s">
        <v>360</v>
      </c>
      <c r="S203" s="4" t="s">
        <v>360</v>
      </c>
      <c r="V203" s="4" t="s">
        <v>360</v>
      </c>
      <c r="W203" s="4" t="s">
        <v>360</v>
      </c>
      <c r="Y203" s="4" t="s">
        <v>360</v>
      </c>
      <c r="Z203" s="2" t="str">
        <f>IF(Tabla_Alimentacion[[#This Row],[id_padre]]=Tabla_Alimentacion[[#This Row],[Id]],"NOK","OK")</f>
        <v>OK</v>
      </c>
    </row>
    <row r="204" spans="1:26" hidden="1" x14ac:dyDescent="0.5">
      <c r="A204" s="2">
        <f>MAX(Tabla_Descuentos[Id])</f>
        <v>1088</v>
      </c>
      <c r="B204">
        <v>1286</v>
      </c>
      <c r="C204" s="5">
        <f>IF(Tabla_Alimentacion[[#This Row],[id_padre]]="",0,_xlfn.XLOOKUP(Tabla_Alimentacion[[#This Row],[id_padre]],Tabla_Alimentacion[Id],Tabla_Alimentacion[Nivel],0,0,1)+1)</f>
        <v>3</v>
      </c>
      <c r="D204" s="2" t="s">
        <v>1618</v>
      </c>
      <c r="E204">
        <f>IF(Tabla_Alimentacion[[#This Row],[Id_anterior]]=1,ROW()-1,SUM(ROW()-1,Tabla_Alimentacion[[#This Row],[Id_anterior]]))</f>
        <v>1291</v>
      </c>
      <c r="F204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ALIMENTACION_INFORMES_CUENTA_CORRIENTE_VALES</v>
      </c>
      <c r="G204" s="2" t="str">
        <f>CLEAN(PROPER(Tabla_Alimentacion[[#This Row],[Nombre Opción]]))</f>
        <v>Vales</v>
      </c>
      <c r="H204" s="2" t="s">
        <v>1735</v>
      </c>
      <c r="I204" s="2" t="str">
        <f>_xlfn.XLOOKUP(Tabla_Alimentacion[[#This Row],[id_padre]],Tabla_Alimentacion[Id],Tabla_Alimentacion[Codigo_Tecnico],"",0,1)</f>
        <v>ALIMENTACION_INFORMES_CUENTA_CORRIENTE</v>
      </c>
      <c r="J204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/alimentacion/informes/cuenta-corriente/vales</v>
      </c>
      <c r="K204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vales</v>
      </c>
      <c r="L204" s="2" t="s">
        <v>1466</v>
      </c>
      <c r="M204" s="2" t="s">
        <v>1794</v>
      </c>
      <c r="N204" s="4" t="s">
        <v>360</v>
      </c>
      <c r="O204" s="4" t="s">
        <v>360</v>
      </c>
      <c r="P204" s="4" t="s">
        <v>360</v>
      </c>
      <c r="Q204" s="4" t="s">
        <v>360</v>
      </c>
      <c r="R204" s="4" t="s">
        <v>360</v>
      </c>
      <c r="S204" s="4" t="s">
        <v>360</v>
      </c>
      <c r="V204" s="4" t="s">
        <v>360</v>
      </c>
      <c r="W204" s="4" t="s">
        <v>360</v>
      </c>
      <c r="Y204" s="4" t="s">
        <v>360</v>
      </c>
      <c r="Z204" s="2" t="str">
        <f>IF(Tabla_Alimentacion[[#This Row],[id_padre]]=Tabla_Alimentacion[[#This Row],[Id]],"NOK","OK")</f>
        <v>OK</v>
      </c>
    </row>
    <row r="205" spans="1:26" hidden="1" x14ac:dyDescent="0.5">
      <c r="A205" s="2">
        <f>MAX(Tabla_Descuentos[Id])</f>
        <v>1088</v>
      </c>
      <c r="B205">
        <v>1291</v>
      </c>
      <c r="C205" s="5">
        <f>IF(Tabla_Alimentacion[[#This Row],[id_padre]]="",0,_xlfn.XLOOKUP(Tabla_Alimentacion[[#This Row],[id_padre]],Tabla_Alimentacion[Id],Tabla_Alimentacion[Nivel],0,0,1)+1)</f>
        <v>4</v>
      </c>
      <c r="D205" s="2" t="s">
        <v>1111</v>
      </c>
      <c r="E205">
        <f>IF(Tabla_Alimentacion[[#This Row],[Id_anterior]]=1,ROW()-1,SUM(ROW()-1,Tabla_Alimentacion[[#This Row],[Id_anterior]]))</f>
        <v>1292</v>
      </c>
      <c r="F205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ALIMENTACION_INFORMES_CUENTA_CORRIENTE_VALES_DETALLE_VENTAS_DIARIAS_POR_DESCUENTO</v>
      </c>
      <c r="G205" s="2" t="str">
        <f>CLEAN(PROPER(Tabla_Alimentacion[[#This Row],[Nombre Opción]]))</f>
        <v>Detalle Ventas Diarias Por Descuento</v>
      </c>
      <c r="H205" s="2" t="s">
        <v>1735</v>
      </c>
      <c r="I205" s="2" t="str">
        <f>_xlfn.XLOOKUP(Tabla_Alimentacion[[#This Row],[id_padre]],Tabla_Alimentacion[Id],Tabla_Alimentacion[Codigo_Tecnico],"",0,1)</f>
        <v>ALIMENTACION_INFORMES_CUENTA_CORRIENTE_VALES</v>
      </c>
      <c r="J205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/alimentacion/informes/cuenta-corriente/vales/detalle-ventas-diarias-por-descuento</v>
      </c>
      <c r="K205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detalle-ventas-diarias-por-descuento</v>
      </c>
      <c r="L205" s="2" t="s">
        <v>1345</v>
      </c>
      <c r="M205" s="2" t="s">
        <v>1794</v>
      </c>
      <c r="N205" s="4" t="s">
        <v>360</v>
      </c>
      <c r="O205" s="4" t="s">
        <v>360</v>
      </c>
      <c r="P205" s="4" t="s">
        <v>360</v>
      </c>
      <c r="Q205" s="4" t="s">
        <v>360</v>
      </c>
      <c r="R205" s="4" t="s">
        <v>360</v>
      </c>
      <c r="S205" s="4" t="s">
        <v>360</v>
      </c>
      <c r="V205" s="4" t="s">
        <v>360</v>
      </c>
      <c r="W205" s="4" t="s">
        <v>360</v>
      </c>
      <c r="Y205" s="4" t="s">
        <v>360</v>
      </c>
      <c r="Z205" s="2" t="str">
        <f>IF(Tabla_Alimentacion[[#This Row],[id_padre]]=Tabla_Alimentacion[[#This Row],[Id]],"NOK","OK")</f>
        <v>OK</v>
      </c>
    </row>
    <row r="206" spans="1:26" hidden="1" x14ac:dyDescent="0.5">
      <c r="A206" s="2">
        <f>MAX(Tabla_Descuentos[Id])</f>
        <v>1088</v>
      </c>
      <c r="B206">
        <v>1291</v>
      </c>
      <c r="C206" s="5">
        <f>IF(Tabla_Alimentacion[[#This Row],[id_padre]]="",0,_xlfn.XLOOKUP(Tabla_Alimentacion[[#This Row],[id_padre]],Tabla_Alimentacion[Id],Tabla_Alimentacion[Nivel],0,0,1)+1)</f>
        <v>4</v>
      </c>
      <c r="D206" s="2" t="s">
        <v>1109</v>
      </c>
      <c r="E206">
        <f>IF(Tabla_Alimentacion[[#This Row],[Id_anterior]]=1,ROW()-1,SUM(ROW()-1,Tabla_Alimentacion[[#This Row],[Id_anterior]]))</f>
        <v>1293</v>
      </c>
      <c r="F206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ALIMENTACION_INFORMES_CUENTA_CORRIENTE_VALES_POR_TIPO_MOVIMIENTO</v>
      </c>
      <c r="G206" s="2" t="str">
        <f>CLEAN(PROPER(Tabla_Alimentacion[[#This Row],[Nombre Opción]]))</f>
        <v>Por Tipo De Movimiento</v>
      </c>
      <c r="H206" s="2" t="s">
        <v>1735</v>
      </c>
      <c r="I206" s="2" t="str">
        <f>_xlfn.XLOOKUP(Tabla_Alimentacion[[#This Row],[id_padre]],Tabla_Alimentacion[Id],Tabla_Alimentacion[Codigo_Tecnico],"",0,1)</f>
        <v>ALIMENTACION_INFORMES_CUENTA_CORRIENTE_VALES</v>
      </c>
      <c r="J206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/alimentacion/informes/cuenta-corriente/vales/por-tipo-movimiento</v>
      </c>
      <c r="K206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por-tipo-movimiento</v>
      </c>
      <c r="L206" s="2" t="s">
        <v>1379</v>
      </c>
      <c r="M206" s="2" t="s">
        <v>1794</v>
      </c>
      <c r="N206" s="4" t="s">
        <v>360</v>
      </c>
      <c r="O206" s="4" t="s">
        <v>360</v>
      </c>
      <c r="P206" s="4" t="s">
        <v>360</v>
      </c>
      <c r="Q206" s="4" t="s">
        <v>360</v>
      </c>
      <c r="R206" s="4" t="s">
        <v>360</v>
      </c>
      <c r="S206" s="4" t="s">
        <v>360</v>
      </c>
      <c r="V206" s="4" t="s">
        <v>360</v>
      </c>
      <c r="W206" s="4" t="s">
        <v>360</v>
      </c>
      <c r="Y206" s="4" t="s">
        <v>360</v>
      </c>
      <c r="Z206" s="2" t="str">
        <f>IF(Tabla_Alimentacion[[#This Row],[id_padre]]=Tabla_Alimentacion[[#This Row],[Id]],"NOK","OK")</f>
        <v>OK</v>
      </c>
    </row>
    <row r="207" spans="1:26" hidden="1" x14ac:dyDescent="0.5">
      <c r="A207" s="2">
        <f>MAX(Tabla_Descuentos[Id])</f>
        <v>1088</v>
      </c>
      <c r="B207">
        <v>1291</v>
      </c>
      <c r="C207" s="5">
        <f>IF(Tabla_Alimentacion[[#This Row],[id_padre]]="",0,_xlfn.XLOOKUP(Tabla_Alimentacion[[#This Row],[id_padre]],Tabla_Alimentacion[Id],Tabla_Alimentacion[Nivel],0,0,1)+1)</f>
        <v>4</v>
      </c>
      <c r="D207" s="2" t="s">
        <v>1044</v>
      </c>
      <c r="E207">
        <f>IF(Tabla_Alimentacion[[#This Row],[Id_anterior]]=1,ROW()-1,SUM(ROW()-1,Tabla_Alimentacion[[#This Row],[Id_anterior]]))</f>
        <v>1294</v>
      </c>
      <c r="F207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ALIMENTACION_INFORMES_CUENTA_CORRIENTE_VALES_POR_CENTRO_CONSUMO</v>
      </c>
      <c r="G207" s="2" t="str">
        <f>CLEAN(PROPER(Tabla_Alimentacion[[#This Row],[Nombre Opción]]))</f>
        <v>Por Centro De Consumo</v>
      </c>
      <c r="H207" s="2" t="s">
        <v>1735</v>
      </c>
      <c r="I207" s="2" t="str">
        <f>_xlfn.XLOOKUP(Tabla_Alimentacion[[#This Row],[id_padre]],Tabla_Alimentacion[Id],Tabla_Alimentacion[Codigo_Tecnico],"",0,1)</f>
        <v>ALIMENTACION_INFORMES_CUENTA_CORRIENTE_VALES</v>
      </c>
      <c r="J207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/alimentacion/informes/cuenta-corriente/vales/por-centro-consumo</v>
      </c>
      <c r="K207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por-centro-consumo</v>
      </c>
      <c r="L207" s="2" t="s">
        <v>1389</v>
      </c>
      <c r="M207" s="2" t="s">
        <v>1794</v>
      </c>
      <c r="N207" s="4" t="s">
        <v>360</v>
      </c>
      <c r="O207" s="4" t="s">
        <v>360</v>
      </c>
      <c r="P207" s="4" t="s">
        <v>360</v>
      </c>
      <c r="Q207" s="4" t="s">
        <v>360</v>
      </c>
      <c r="R207" s="4" t="s">
        <v>360</v>
      </c>
      <c r="S207" s="4" t="s">
        <v>360</v>
      </c>
      <c r="V207" s="4" t="s">
        <v>360</v>
      </c>
      <c r="W207" s="4" t="s">
        <v>360</v>
      </c>
      <c r="Y207" s="4" t="s">
        <v>360</v>
      </c>
      <c r="Z207" s="2" t="str">
        <f>IF(Tabla_Alimentacion[[#This Row],[id_padre]]=Tabla_Alimentacion[[#This Row],[Id]],"NOK","OK")</f>
        <v>OK</v>
      </c>
    </row>
    <row r="208" spans="1:26" hidden="1" x14ac:dyDescent="0.5">
      <c r="A208" s="2">
        <f>MAX(Tabla_Descuentos[Id])</f>
        <v>1088</v>
      </c>
      <c r="B208">
        <v>1291</v>
      </c>
      <c r="C208" s="5">
        <f>IF(Tabla_Alimentacion[[#This Row],[id_padre]]="",0,_xlfn.XLOOKUP(Tabla_Alimentacion[[#This Row],[id_padre]],Tabla_Alimentacion[Id],Tabla_Alimentacion[Nivel],0,0,1)+1)</f>
        <v>4</v>
      </c>
      <c r="D208" s="2" t="s">
        <v>1112</v>
      </c>
      <c r="E208">
        <f>IF(Tabla_Alimentacion[[#This Row],[Id_anterior]]=1,ROW()-1,SUM(ROW()-1,Tabla_Alimentacion[[#This Row],[Id_anterior]]))</f>
        <v>1295</v>
      </c>
      <c r="F208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ALIMENTACION_INFORMES_CUENTA_CORRIENTE_VALES_ENVIADOS_DESCUENTO</v>
      </c>
      <c r="G208" s="2" t="str">
        <f>CLEAN(PROPER(Tabla_Alimentacion[[#This Row],[Nombre Opción]]))</f>
        <v>Enviados A Descuento</v>
      </c>
      <c r="H208" s="2" t="s">
        <v>1735</v>
      </c>
      <c r="I208" s="2" t="str">
        <f>_xlfn.XLOOKUP(Tabla_Alimentacion[[#This Row],[id_padre]],Tabla_Alimentacion[Id],Tabla_Alimentacion[Codigo_Tecnico],"",0,1)</f>
        <v>ALIMENTACION_INFORMES_CUENTA_CORRIENTE_VALES</v>
      </c>
      <c r="J208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/alimentacion/informes/cuenta-corriente/vales/enviados-descuento</v>
      </c>
      <c r="K208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enviados-descuento</v>
      </c>
      <c r="L208" s="2" t="s">
        <v>1376</v>
      </c>
      <c r="M208" s="2" t="s">
        <v>1794</v>
      </c>
      <c r="N208" s="4" t="s">
        <v>360</v>
      </c>
      <c r="O208" s="4" t="s">
        <v>360</v>
      </c>
      <c r="P208" s="4" t="s">
        <v>360</v>
      </c>
      <c r="Q208" s="4" t="s">
        <v>360</v>
      </c>
      <c r="R208" s="4" t="s">
        <v>360</v>
      </c>
      <c r="S208" s="4" t="s">
        <v>360</v>
      </c>
      <c r="V208" s="4" t="s">
        <v>360</v>
      </c>
      <c r="W208" s="4" t="s">
        <v>360</v>
      </c>
      <c r="Y208" s="4" t="s">
        <v>360</v>
      </c>
      <c r="Z208" s="2" t="str">
        <f>IF(Tabla_Alimentacion[[#This Row],[id_padre]]=Tabla_Alimentacion[[#This Row],[Id]],"NOK","OK")</f>
        <v>OK</v>
      </c>
    </row>
    <row r="209" spans="1:26" hidden="1" x14ac:dyDescent="0.5">
      <c r="A209" s="2">
        <f>MAX(Tabla_Descuentos[Id])</f>
        <v>1088</v>
      </c>
      <c r="B209">
        <v>1291</v>
      </c>
      <c r="C209" s="5">
        <f>IF(Tabla_Alimentacion[[#This Row],[id_padre]]="",0,_xlfn.XLOOKUP(Tabla_Alimentacion[[#This Row],[id_padre]],Tabla_Alimentacion[Id],Tabla_Alimentacion[Nivel],0,0,1)+1)</f>
        <v>4</v>
      </c>
      <c r="D209" s="2" t="s">
        <v>1113</v>
      </c>
      <c r="E209">
        <f>IF(Tabla_Alimentacion[[#This Row],[Id_anterior]]=1,ROW()-1,SUM(ROW()-1,Tabla_Alimentacion[[#This Row],[Id_anterior]]))</f>
        <v>1296</v>
      </c>
      <c r="F209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ALIMENTACION_INFORMES_CUENTA_CORRIENTE_VALES_POR_ENVIAR_DESCUENTO</v>
      </c>
      <c r="G209" s="2" t="str">
        <f>CLEAN(PROPER(Tabla_Alimentacion[[#This Row],[Nombre Opción]]))</f>
        <v>Por Enviar Descuento</v>
      </c>
      <c r="H209" s="2" t="s">
        <v>1735</v>
      </c>
      <c r="I209" s="2" t="str">
        <f>_xlfn.XLOOKUP(Tabla_Alimentacion[[#This Row],[id_padre]],Tabla_Alimentacion[Id],Tabla_Alimentacion[Codigo_Tecnico],"",0,1)</f>
        <v>ALIMENTACION_INFORMES_CUENTA_CORRIENTE_VALES</v>
      </c>
      <c r="J209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/alimentacion/informes/cuenta-corriente/vales/por-enviar-descuento</v>
      </c>
      <c r="K209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por-enviar-descuento</v>
      </c>
      <c r="L209" s="2" t="s">
        <v>1394</v>
      </c>
      <c r="M209" s="2" t="s">
        <v>1794</v>
      </c>
      <c r="N209" s="4" t="s">
        <v>360</v>
      </c>
      <c r="O209" s="4" t="s">
        <v>360</v>
      </c>
      <c r="P209" s="4" t="s">
        <v>360</v>
      </c>
      <c r="Q209" s="4" t="s">
        <v>360</v>
      </c>
      <c r="R209" s="4"/>
      <c r="S209" s="4" t="s">
        <v>360</v>
      </c>
      <c r="V209" s="4" t="s">
        <v>360</v>
      </c>
      <c r="W209" s="4" t="s">
        <v>360</v>
      </c>
      <c r="Y209" s="4" t="s">
        <v>360</v>
      </c>
      <c r="Z209" s="2" t="str">
        <f>IF(Tabla_Alimentacion[[#This Row],[id_padre]]=Tabla_Alimentacion[[#This Row],[Id]],"NOK","OK")</f>
        <v>OK</v>
      </c>
    </row>
    <row r="210" spans="1:26" hidden="1" x14ac:dyDescent="0.5">
      <c r="A210" s="2">
        <f>MAX(Tabla_Descuentos[Id])</f>
        <v>1088</v>
      </c>
      <c r="B210">
        <v>1291</v>
      </c>
      <c r="C210" s="5">
        <f>IF(Tabla_Alimentacion[[#This Row],[id_padre]]="",0,_xlfn.XLOOKUP(Tabla_Alimentacion[[#This Row],[id_padre]],Tabla_Alimentacion[Id],Tabla_Alimentacion[Nivel],0,0,1)+1)</f>
        <v>4</v>
      </c>
      <c r="D210" s="2" t="s">
        <v>1070</v>
      </c>
      <c r="E210">
        <f>IF(Tabla_Alimentacion[[#This Row],[Id_anterior]]=1,ROW()-1,SUM(ROW()-1,Tabla_Alimentacion[[#This Row],[Id_anterior]]))</f>
        <v>1297</v>
      </c>
      <c r="F210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ALIMENTACION_INFORMES_CUENTA_CORRIENTE_VALES_CARTOLA_POR_EMPLEADOS</v>
      </c>
      <c r="G210" s="2" t="str">
        <f>CLEAN(PROPER(Tabla_Alimentacion[[#This Row],[Nombre Opción]]))</f>
        <v>Cartola Por Empleados</v>
      </c>
      <c r="H210" s="2" t="s">
        <v>1735</v>
      </c>
      <c r="I210" s="2" t="str">
        <f>_xlfn.XLOOKUP(Tabla_Alimentacion[[#This Row],[id_padre]],Tabla_Alimentacion[Id],Tabla_Alimentacion[Codigo_Tecnico],"",0,1)</f>
        <v>ALIMENTACION_INFORMES_CUENTA_CORRIENTE_VALES</v>
      </c>
      <c r="J210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/alimentacion/informes/cuenta-corriente/vales/cartola-por-empleados</v>
      </c>
      <c r="K210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cartola-por-empleados</v>
      </c>
      <c r="L210" s="2" t="s">
        <v>1378</v>
      </c>
      <c r="M210" s="2" t="s">
        <v>1794</v>
      </c>
      <c r="O210" s="4" t="s">
        <v>360</v>
      </c>
      <c r="P210" s="4" t="s">
        <v>360</v>
      </c>
      <c r="Q210" s="4" t="s">
        <v>360</v>
      </c>
      <c r="R210" s="4"/>
      <c r="S210" s="4" t="s">
        <v>360</v>
      </c>
      <c r="W210" s="4" t="s">
        <v>360</v>
      </c>
      <c r="Y210" s="4" t="s">
        <v>360</v>
      </c>
      <c r="Z210" s="2" t="str">
        <f>IF(Tabla_Alimentacion[[#This Row],[id_padre]]=Tabla_Alimentacion[[#This Row],[Id]],"NOK","OK")</f>
        <v>OK</v>
      </c>
    </row>
    <row r="211" spans="1:26" hidden="1" x14ac:dyDescent="0.5">
      <c r="A211" s="2">
        <f>MAX(Tabla_Descuentos[Id])</f>
        <v>1088</v>
      </c>
      <c r="B211">
        <v>1094</v>
      </c>
      <c r="C211" s="5">
        <f>IF(Tabla_Alimentacion[[#This Row],[id_padre]]="",0,_xlfn.XLOOKUP(Tabla_Alimentacion[[#This Row],[id_padre]],Tabla_Alimentacion[Id],Tabla_Alimentacion[Nivel],0,0,1)+1)</f>
        <v>2</v>
      </c>
      <c r="D211" s="2" t="s">
        <v>1114</v>
      </c>
      <c r="E211">
        <f>IF(Tabla_Alimentacion[[#This Row],[Id_anterior]]=1,ROW()-1,SUM(ROW()-1,Tabla_Alimentacion[[#This Row],[Id_anterior]]))</f>
        <v>1298</v>
      </c>
      <c r="F211" s="2" t="str">
        <f>IF(Tabla_Alimentacion[[#This Row],[id_padre]]="",SUBSTITUTE(UPPER(Tabla_Alimentacion[[#This Row],[Slug]]),"-","_"),CONCATENATE(_xlfn.XLOOKUP(Tabla_Alimentacion[[#This Row],[id_padre]],Tabla_Alimentacion[Id],Tabla_Alimentacion[Codigo_Tecnico],"",0,1),"_",SUBSTITUTE(UPPER(Tabla_Alimentacion[[#This Row],[Slug]]),"-","_")))</f>
        <v>ALIMENTACION_CIERRES_SITUACION_MENSUAL_UNIDAD</v>
      </c>
      <c r="G211" s="2" t="str">
        <f>CLEAN(PROPER(Tabla_Alimentacion[[#This Row],[Nombre Opción]]))</f>
        <v>Situacion Mensual Unidad</v>
      </c>
      <c r="H211" s="2" t="s">
        <v>1735</v>
      </c>
      <c r="I211" s="2" t="str">
        <f>_xlfn.XLOOKUP(Tabla_Alimentacion[[#This Row],[id_padre]],Tabla_Alimentacion[Id],Tabla_Alimentacion[Codigo_Tecnico],"",0,1)</f>
        <v>ALIMENTACION_CIERRES</v>
      </c>
      <c r="J211" s="2" t="str">
        <f>IF(Tabla_Alimentacion[[#This Row],[Nivel]]=0,CONCATENATE("/",Tabla_Alimentacion[[#This Row],[Slug]]),CONCATENATE(_xlfn.XLOOKUP(Tabla_Alimentacion[[#This Row],[id_padre]],Tabla_Alimentacion[Id],Tabla_Alimentacion[Ruta_Web],"",0,1),"/",Tabla_Alimentacion[[#This Row],[Slug]]))</f>
        <v>/alimentacion/cierres/situacion-mensual-unidad</v>
      </c>
      <c r="K211" s="2" t="str">
        <f>SUBSTITUTE(SUBSTITUTE(SUBSTITUTE(SUBSTITUTE(SUBSTITUTE(SUBSTITUTE(SUBSTITUTE(SUBSTITUTE(SUBSTITUTE(SUBSTITUTE(SUBSTITUTE(SUBSTITUTE(SUBSTITUTE(SUBSTITUTE(SUBSTITUTE(SUBSTITUTE(SUBSTITUTE(SUBSTITUTE(SUBSTITUTE(SUBSTITUTE(SUBSTITUTE(LOWER(Tabla_Alimentacion[[#This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situacion-mensual-unidad</v>
      </c>
      <c r="L211" s="2" t="s">
        <v>1456</v>
      </c>
      <c r="M211" s="2" t="s">
        <v>1794</v>
      </c>
      <c r="O211" s="4" t="s">
        <v>360</v>
      </c>
      <c r="P211" s="4" t="s">
        <v>360</v>
      </c>
      <c r="Q211" s="4" t="s">
        <v>360</v>
      </c>
      <c r="R211" s="4"/>
      <c r="S211" s="4" t="s">
        <v>360</v>
      </c>
      <c r="Y211" s="4" t="s">
        <v>360</v>
      </c>
      <c r="Z211" s="2" t="str">
        <f>IF(Tabla_Alimentacion[[#This Row],[id_padre]]=Tabla_Alimentacion[[#This Row],[Id]],"NOK","OK")</f>
        <v>OK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EB8609A-8966-45FD-A091-BA0C5CF2E682}">
          <x14:formula1>
            <xm:f>Lista!$A$2:$A$3</xm:f>
          </x14:formula1>
          <xm:sqref>N2:R211 X2:Y211</xm:sqref>
        </x14:dataValidation>
        <x14:dataValidation type="list" allowBlank="1" showInputMessage="1" showErrorMessage="1" xr:uid="{1B3C5D3A-4DCF-4D1A-A719-3C16007FB15C}">
          <x14:formula1>
            <xm:f>Modulos!$C$2:$C$15</xm:f>
          </x14:formula1>
          <xm:sqref>M2:M211</xm:sqref>
        </x14:dataValidation>
        <x14:dataValidation type="list" allowBlank="1" showInputMessage="1" showErrorMessage="1" xr:uid="{1CB2F914-DC2E-4341-8AF5-BEA05A021A0F}">
          <x14:formula1>
            <xm:f>Equipo!$B$2:$B$7</xm:f>
          </x14:formula1>
          <xm:sqref>AA2:AA211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FDBB-F89E-4DCF-9338-C70BF619FBC5}">
  <sheetPr codeName="Hoja17"/>
  <dimension ref="A1:AA80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0" sqref="D20"/>
    </sheetView>
  </sheetViews>
  <sheetFormatPr baseColWidth="10" defaultColWidth="11.41015625" defaultRowHeight="14.35" x14ac:dyDescent="0.5"/>
  <cols>
    <col min="1" max="1" width="5.703125" customWidth="1"/>
    <col min="2" max="2" width="5.703125" style="2" customWidth="1"/>
    <col min="3" max="3" width="5.703125" customWidth="1"/>
    <col min="4" max="4" width="59.29296875" bestFit="1" customWidth="1"/>
    <col min="5" max="5" width="5.703125" style="2" customWidth="1"/>
    <col min="6" max="6" width="10.703125" style="2" customWidth="1"/>
    <col min="7" max="8" width="10.703125" customWidth="1"/>
    <col min="9" max="12" width="10.703125" style="4" customWidth="1"/>
    <col min="13" max="13" width="10.703125" customWidth="1"/>
    <col min="14" max="16" width="5.703125" customWidth="1"/>
    <col min="17" max="18" width="5.703125" style="2" customWidth="1"/>
    <col min="19" max="19" width="5.703125" style="5" customWidth="1"/>
    <col min="20" max="24" width="5.703125" style="4" customWidth="1"/>
    <col min="25" max="25" width="5.703125" style="2" customWidth="1"/>
    <col min="26" max="16384" width="11.41015625" style="2"/>
  </cols>
  <sheetData>
    <row r="1" spans="1:27" s="3" customFormat="1" ht="129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1115</v>
      </c>
      <c r="O1" s="3" t="s">
        <v>1116</v>
      </c>
      <c r="P1" s="3" t="s">
        <v>1117</v>
      </c>
      <c r="Q1" s="3" t="s">
        <v>1118</v>
      </c>
      <c r="R1" s="3" t="s">
        <v>1119</v>
      </c>
      <c r="S1" s="3" t="s">
        <v>1120</v>
      </c>
      <c r="T1" s="3" t="s">
        <v>1121</v>
      </c>
      <c r="U1" s="3" t="s">
        <v>1122</v>
      </c>
      <c r="V1" s="3" t="s">
        <v>1123</v>
      </c>
      <c r="W1" s="3" t="s">
        <v>1124</v>
      </c>
      <c r="X1" s="3" t="s">
        <v>1125</v>
      </c>
      <c r="Y1" s="3" t="s">
        <v>1932</v>
      </c>
      <c r="Z1" s="3" t="s">
        <v>2029</v>
      </c>
      <c r="AA1" s="3" t="s">
        <v>2030</v>
      </c>
    </row>
    <row r="2" spans="1:27" s="5" customFormat="1" x14ac:dyDescent="0.5">
      <c r="A2" s="2">
        <f>MAX(Tabla_Alimentacion[Id])</f>
        <v>1298</v>
      </c>
      <c r="B2" s="2" t="s">
        <v>98</v>
      </c>
      <c r="C2" s="5">
        <f>IF(Tabla_VME[[#This Row],[id_padre]]="",0,_xlfn.XLOOKUP(Tabla_VME[[#This Row],[id_padre]],Tabla_VME[Id],Tabla_VME[Nivel],0,0,1)+1)</f>
        <v>0</v>
      </c>
      <c r="D2" s="2" t="s">
        <v>214</v>
      </c>
      <c r="E2" s="2">
        <f>IF(Tabla_VME[[#This Row],[Id_anterior]]=1,ROW()-1,SUM(ROW()-1,Tabla_VME[[#This Row],[Id_anterior]]))</f>
        <v>1299</v>
      </c>
      <c r="F2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</v>
      </c>
      <c r="G2" s="2" t="str">
        <f>CLEAN(PROPER(Tabla_VME[[#This Row],[Nombre Opción]]))</f>
        <v>Viático Moneda Extranjera</v>
      </c>
      <c r="H2" s="2" t="s">
        <v>1735</v>
      </c>
      <c r="I2" s="2" t="str">
        <f>_xlfn.XLOOKUP(Tabla_VME[[#This Row],[id_padre]],Tabla_VME[Id],Tabla_VME[Codigo_Tecnico],"",0,1)</f>
        <v/>
      </c>
      <c r="J2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</v>
      </c>
      <c r="K2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viatico-moneda-extranjera</v>
      </c>
      <c r="L2" s="6" t="s">
        <v>1550</v>
      </c>
      <c r="M2" s="2" t="s">
        <v>1802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4" t="s">
        <v>360</v>
      </c>
      <c r="V2" s="4" t="s">
        <v>360</v>
      </c>
      <c r="W2" s="4" t="s">
        <v>360</v>
      </c>
      <c r="X2" s="4" t="s">
        <v>360</v>
      </c>
      <c r="Y2" s="4" t="s">
        <v>360</v>
      </c>
      <c r="Z2" s="12" t="str">
        <f>IF(Tabla_VME[[#This Row],[id_padre]]=Tabla_VME[[#This Row],[Id]],"NOK","OK")</f>
        <v>OK</v>
      </c>
      <c r="AA2" s="2"/>
    </row>
    <row r="3" spans="1:27" x14ac:dyDescent="0.5">
      <c r="A3" s="2">
        <f>MAX(Tabla_Alimentacion[Id])</f>
        <v>1298</v>
      </c>
      <c r="B3">
        <v>1299</v>
      </c>
      <c r="C3" s="5">
        <f>IF(Tabla_VME[[#This Row],[id_padre]]="",0,_xlfn.XLOOKUP(Tabla_VME[[#This Row],[id_padre]],Tabla_VME[Id],Tabla_VME[Nivel],0,0,1)+1)</f>
        <v>1</v>
      </c>
      <c r="D3" s="2" t="s">
        <v>18</v>
      </c>
      <c r="E3">
        <f>IF(Tabla_VME[[#This Row],[Id_anterior]]=1,ROW()-1,SUM(ROW()-1,Tabla_VME[[#This Row],[Id_anterior]]))</f>
        <v>1300</v>
      </c>
      <c r="F3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</v>
      </c>
      <c r="G3" s="2" t="str">
        <f>CLEAN(PROPER(Tabla_VME[[#This Row],[Nombre Opción]]))</f>
        <v>Parámetros</v>
      </c>
      <c r="H3" s="2" t="s">
        <v>1735</v>
      </c>
      <c r="I3" s="2" t="str">
        <f>_xlfn.XLOOKUP(Tabla_VME[[#This Row],[id_padre]],Tabla_VME[Id],Tabla_VME[Codigo_Tecnico],"",0,1)</f>
        <v>VIATICO_MONEDA_EXTRANJERA</v>
      </c>
      <c r="J3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</v>
      </c>
      <c r="K3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6" t="s">
        <v>1337</v>
      </c>
      <c r="M3" s="2" t="s">
        <v>1802</v>
      </c>
      <c r="N3" s="4" t="s">
        <v>360</v>
      </c>
      <c r="O3" s="4" t="s">
        <v>360</v>
      </c>
      <c r="P3" s="4" t="s">
        <v>360</v>
      </c>
      <c r="Q3" s="4"/>
      <c r="R3" s="4" t="s">
        <v>360</v>
      </c>
      <c r="S3" s="4" t="s">
        <v>360</v>
      </c>
      <c r="T3" s="4" t="s">
        <v>360</v>
      </c>
      <c r="U3" s="4" t="s">
        <v>360</v>
      </c>
      <c r="V3" s="4" t="s">
        <v>360</v>
      </c>
      <c r="X3" s="4" t="s">
        <v>360</v>
      </c>
      <c r="Y3" s="4" t="s">
        <v>360</v>
      </c>
      <c r="Z3" s="2" t="str">
        <f>IF(Tabla_VME[[#This Row],[id_padre]]=Tabla_VME[[#This Row],[Id]],"NOK","OK")</f>
        <v>OK</v>
      </c>
    </row>
    <row r="4" spans="1:27" hidden="1" x14ac:dyDescent="0.5">
      <c r="A4" s="2">
        <f>MAX(Tabla_Alimentacion[Id])</f>
        <v>1298</v>
      </c>
      <c r="B4">
        <v>1299</v>
      </c>
      <c r="C4" s="5">
        <f>IF(Tabla_VME[[#This Row],[id_padre]]="",0,_xlfn.XLOOKUP(Tabla_VME[[#This Row],[id_padre]],Tabla_VME[Id],Tabla_VME[Nivel],0,0,1)+1)</f>
        <v>1</v>
      </c>
      <c r="D4" s="2" t="s">
        <v>19</v>
      </c>
      <c r="E4">
        <f>IF(Tabla_VME[[#This Row],[Id_anterior]]=1,ROW()-1,SUM(ROW()-1,Tabla_VME[[#This Row],[Id_anterior]]))</f>
        <v>1301</v>
      </c>
      <c r="F4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</v>
      </c>
      <c r="G4" s="2" t="str">
        <f>CLEAN(PROPER(Tabla_VME[[#This Row],[Nombre Opción]]))</f>
        <v>Procesos</v>
      </c>
      <c r="H4" s="2" t="s">
        <v>1735</v>
      </c>
      <c r="I4" s="2" t="str">
        <f>_xlfn.XLOOKUP(Tabla_VME[[#This Row],[id_padre]],Tabla_VME[Id],Tabla_VME[Codigo_Tecnico],"",0,1)</f>
        <v>VIATICO_MONEDA_EXTRANJERA</v>
      </c>
      <c r="J4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</v>
      </c>
      <c r="K4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6" t="s">
        <v>1338</v>
      </c>
      <c r="M4" s="2" t="s">
        <v>1802</v>
      </c>
      <c r="N4" s="4" t="s">
        <v>360</v>
      </c>
      <c r="O4" s="4" t="s">
        <v>360</v>
      </c>
      <c r="P4" s="4" t="s">
        <v>360</v>
      </c>
      <c r="Q4" s="4"/>
      <c r="R4" s="4" t="s">
        <v>360</v>
      </c>
      <c r="S4" s="4" t="s">
        <v>360</v>
      </c>
      <c r="U4" s="4" t="s">
        <v>360</v>
      </c>
      <c r="V4" s="4" t="s">
        <v>360</v>
      </c>
      <c r="W4" s="4" t="s">
        <v>360</v>
      </c>
      <c r="X4" s="4" t="s">
        <v>360</v>
      </c>
      <c r="Y4" s="4" t="s">
        <v>360</v>
      </c>
      <c r="Z4" s="2" t="str">
        <f>IF(Tabla_VME[[#This Row],[id_padre]]=Tabla_VME[[#This Row],[Id]],"NOK","OK")</f>
        <v>OK</v>
      </c>
    </row>
    <row r="5" spans="1:27" hidden="1" x14ac:dyDescent="0.5">
      <c r="A5" s="2">
        <f>MAX(Tabla_Alimentacion[Id])</f>
        <v>1298</v>
      </c>
      <c r="B5">
        <v>1299</v>
      </c>
      <c r="C5" s="5">
        <f>IF(Tabla_VME[[#This Row],[id_padre]]="",0,_xlfn.XLOOKUP(Tabla_VME[[#This Row],[id_padre]],Tabla_VME[Id],Tabla_VME[Nivel],0,0,1)+1)</f>
        <v>1</v>
      </c>
      <c r="D5" s="2" t="s">
        <v>20</v>
      </c>
      <c r="E5">
        <f>IF(Tabla_VME[[#This Row],[Id_anterior]]=1,ROW()-1,SUM(ROW()-1,Tabla_VME[[#This Row],[Id_anterior]]))</f>
        <v>1302</v>
      </c>
      <c r="F5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</v>
      </c>
      <c r="G5" s="2" t="str">
        <f>CLEAN(PROPER(Tabla_VME[[#This Row],[Nombre Opción]]))</f>
        <v>Consultas</v>
      </c>
      <c r="H5" s="2" t="s">
        <v>1735</v>
      </c>
      <c r="I5" s="2" t="str">
        <f>_xlfn.XLOOKUP(Tabla_VME[[#This Row],[id_padre]],Tabla_VME[Id],Tabla_VME[Codigo_Tecnico],"",0,1)</f>
        <v>VIATICO_MONEDA_EXTRANJERA</v>
      </c>
      <c r="J5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</v>
      </c>
      <c r="K5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6" t="s">
        <v>1339</v>
      </c>
      <c r="M5" s="2" t="s">
        <v>1802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4" t="s">
        <v>360</v>
      </c>
      <c r="U5" s="4" t="s">
        <v>360</v>
      </c>
      <c r="V5" s="4" t="s">
        <v>360</v>
      </c>
      <c r="W5" s="4" t="s">
        <v>360</v>
      </c>
      <c r="X5" s="4" t="s">
        <v>360</v>
      </c>
      <c r="Y5" s="4" t="s">
        <v>360</v>
      </c>
      <c r="Z5" s="2" t="str">
        <f>IF(Tabla_VME[[#This Row],[id_padre]]=Tabla_VME[[#This Row],[Id]],"NOK","OK")</f>
        <v>OK</v>
      </c>
    </row>
    <row r="6" spans="1:27" hidden="1" x14ac:dyDescent="0.5">
      <c r="A6" s="2">
        <f>MAX(Tabla_Alimentacion[Id])</f>
        <v>1298</v>
      </c>
      <c r="B6">
        <v>1299</v>
      </c>
      <c r="C6" s="5">
        <f>IF(Tabla_VME[[#This Row],[id_padre]]="",0,_xlfn.XLOOKUP(Tabla_VME[[#This Row],[id_padre]],Tabla_VME[Id],Tabla_VME[Nivel],0,0,1)+1)</f>
        <v>1</v>
      </c>
      <c r="D6" s="2" t="s">
        <v>21</v>
      </c>
      <c r="E6">
        <f>IF(Tabla_VME[[#This Row],[Id_anterior]]=1,ROW()-1,SUM(ROW()-1,Tabla_VME[[#This Row],[Id_anterior]]))</f>
        <v>1303</v>
      </c>
      <c r="F6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</v>
      </c>
      <c r="G6" s="2" t="str">
        <f>CLEAN(PROPER(Tabla_VME[[#This Row],[Nombre Opción]]))</f>
        <v>Informes</v>
      </c>
      <c r="H6" s="2" t="s">
        <v>1735</v>
      </c>
      <c r="I6" s="2" t="str">
        <f>_xlfn.XLOOKUP(Tabla_VME[[#This Row],[id_padre]],Tabla_VME[Id],Tabla_VME[Codigo_Tecnico],"",0,1)</f>
        <v>VIATICO_MONEDA_EXTRANJERA</v>
      </c>
      <c r="J6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</v>
      </c>
      <c r="K6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6" t="s">
        <v>1340</v>
      </c>
      <c r="M6" s="2" t="s">
        <v>1802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U6" s="4" t="s">
        <v>360</v>
      </c>
      <c r="V6" s="4" t="s">
        <v>360</v>
      </c>
      <c r="W6" s="4" t="s">
        <v>360</v>
      </c>
      <c r="X6" s="4" t="s">
        <v>360</v>
      </c>
      <c r="Y6" s="4" t="s">
        <v>360</v>
      </c>
      <c r="Z6" s="2" t="str">
        <f>IF(Tabla_VME[[#This Row],[id_padre]]=Tabla_VME[[#This Row],[Id]],"NOK","OK")</f>
        <v>OK</v>
      </c>
    </row>
    <row r="7" spans="1:27" x14ac:dyDescent="0.5">
      <c r="A7" s="2">
        <f>MAX(Tabla_Alimentacion[Id])</f>
        <v>1298</v>
      </c>
      <c r="B7">
        <v>1300</v>
      </c>
      <c r="C7" s="5">
        <f>IF(Tabla_VME[[#This Row],[id_padre]]="",0,_xlfn.XLOOKUP(Tabla_VME[[#This Row],[id_padre]],Tabla_VME[Id],Tabla_VME[Nivel],0,0,1)+1)</f>
        <v>2</v>
      </c>
      <c r="D7" s="2" t="s">
        <v>369</v>
      </c>
      <c r="E7">
        <f>IF(Tabla_VME[[#This Row],[Id_anterior]]=1,ROW()-1,SUM(ROW()-1,Tabla_VME[[#This Row],[Id_anterior]]))</f>
        <v>1304</v>
      </c>
      <c r="F7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VIATICO_MONEDA_EXTRANJERA_PARAMETROS_MANTENCION_UNIDAD</v>
      </c>
      <c r="G7" s="2" t="str">
        <f>CLEAN(PROPER(Tabla_VME[[#This Row],[Nombre Opción]]))</f>
        <v>Mantencion Unidad</v>
      </c>
      <c r="H7" s="2" t="s">
        <v>1735</v>
      </c>
      <c r="I7" s="2" t="str">
        <f>_xlfn.XLOOKUP(Tabla_VME[[#This Row],[id_padre]],Tabla_VME[Id],Tabla_VME[Codigo_Tecnico],"",0,1)</f>
        <v>VIATICO_MONEDA_EXTRANJERA_PARAMETROS</v>
      </c>
      <c r="J7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/viatico-moneda-extranjera/parametros/mantencion-unidad</v>
      </c>
      <c r="K7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mantencion-unidad</v>
      </c>
      <c r="L7" s="6" t="s">
        <v>1341</v>
      </c>
      <c r="M7" s="2" t="s">
        <v>1802</v>
      </c>
      <c r="N7" s="4" t="s">
        <v>360</v>
      </c>
      <c r="O7" s="4" t="s">
        <v>360</v>
      </c>
      <c r="P7" s="4" t="s">
        <v>360</v>
      </c>
      <c r="Q7" s="4"/>
      <c r="R7" s="4"/>
      <c r="S7" s="4"/>
      <c r="X7" s="4" t="s">
        <v>360</v>
      </c>
      <c r="Y7" s="4" t="s">
        <v>360</v>
      </c>
      <c r="Z7" s="2" t="str">
        <f>IF(Tabla_VME[[#This Row],[id_padre]]=Tabla_VME[[#This Row],[Id]],"NOK","OK")</f>
        <v>OK</v>
      </c>
    </row>
    <row r="8" spans="1:27" x14ac:dyDescent="0.5">
      <c r="A8" s="2">
        <f>MAX(Tabla_Alimentacion[Id])</f>
        <v>1298</v>
      </c>
      <c r="B8">
        <v>1300</v>
      </c>
      <c r="C8" s="5">
        <f>IF(Tabla_VME[[#This Row],[id_padre]]="",0,_xlfn.XLOOKUP(Tabla_VME[[#This Row],[id_padre]],Tabla_VME[Id],Tabla_VME[Nivel],0,0,1)+1)</f>
        <v>2</v>
      </c>
      <c r="D8" s="2" t="s">
        <v>376</v>
      </c>
      <c r="E8">
        <f>IF(Tabla_VME[[#This Row],[Id_anterior]]=1,ROW()-1,SUM(ROW()-1,Tabla_VME[[#This Row],[Id_anterior]]))</f>
        <v>1305</v>
      </c>
      <c r="F8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VIATICO_MONEDA_EXTRANJERA_PARAMETROS_EMPLEADOS_AUTORIZADOS</v>
      </c>
      <c r="G8" s="2" t="str">
        <f>CLEAN(PROPER(Tabla_VME[[#This Row],[Nombre Opción]]))</f>
        <v>Empleados Autorizados</v>
      </c>
      <c r="H8" s="2" t="s">
        <v>1735</v>
      </c>
      <c r="I8" s="2" t="str">
        <f>_xlfn.XLOOKUP(Tabla_VME[[#This Row],[id_padre]],Tabla_VME[Id],Tabla_VME[Codigo_Tecnico],"",0,1)</f>
        <v>VIATICO_MONEDA_EXTRANJERA_PARAMETROS</v>
      </c>
      <c r="J8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/viatico-moneda-extranjera/parametros/empleados-autorizados</v>
      </c>
      <c r="K8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empleados-autorizados</v>
      </c>
      <c r="L8" s="6" t="s">
        <v>1515</v>
      </c>
      <c r="M8" s="2" t="s">
        <v>1802</v>
      </c>
      <c r="N8" s="4" t="s">
        <v>360</v>
      </c>
      <c r="O8" s="4" t="s">
        <v>360</v>
      </c>
      <c r="P8" s="4" t="s">
        <v>360</v>
      </c>
      <c r="Q8" s="4"/>
      <c r="R8" s="4"/>
      <c r="S8" s="4"/>
      <c r="X8" s="4" t="s">
        <v>360</v>
      </c>
      <c r="Y8" s="4" t="s">
        <v>360</v>
      </c>
      <c r="Z8" s="2" t="str">
        <f>IF(Tabla_VME[[#This Row],[id_padre]]=Tabla_VME[[#This Row],[Id]],"NOK","OK")</f>
        <v>OK</v>
      </c>
    </row>
    <row r="9" spans="1:27" x14ac:dyDescent="0.5">
      <c r="A9" s="2">
        <f>MAX(Tabla_Alimentacion[Id])</f>
        <v>1298</v>
      </c>
      <c r="B9">
        <v>1300</v>
      </c>
      <c r="C9" s="5">
        <f>IF(Tabla_VME[[#This Row],[id_padre]]="",0,_xlfn.XLOOKUP(Tabla_VME[[#This Row],[id_padre]],Tabla_VME[Id],Tabla_VME[Nivel],0,0,1)+1)</f>
        <v>2</v>
      </c>
      <c r="D9" s="2" t="s">
        <v>1126</v>
      </c>
      <c r="E9">
        <f>IF(Tabla_VME[[#This Row],[Id_anterior]]=1,ROW()-1,SUM(ROW()-1,Tabla_VME[[#This Row],[Id_anterior]]))</f>
        <v>1306</v>
      </c>
      <c r="F9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VIATICO_MONEDA_EXTRANJERA_PARAMETROS_MANTENCION_EMPLEADOS</v>
      </c>
      <c r="G9" s="2" t="str">
        <f>CLEAN(PROPER(Tabla_VME[[#This Row],[Nombre Opción]]))</f>
        <v>Mantencion De Empleados</v>
      </c>
      <c r="H9" s="2" t="s">
        <v>1735</v>
      </c>
      <c r="I9" s="2" t="str">
        <f>_xlfn.XLOOKUP(Tabla_VME[[#This Row],[id_padre]],Tabla_VME[Id],Tabla_VME[Codigo_Tecnico],"",0,1)</f>
        <v>VIATICO_MONEDA_EXTRANJERA_PARAMETROS</v>
      </c>
      <c r="J9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/viatico-moneda-extranjera/parametros/mantencion-empleados</v>
      </c>
      <c r="K9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mantencion-empleados</v>
      </c>
      <c r="L9" s="6" t="s">
        <v>1561</v>
      </c>
      <c r="M9" s="2" t="s">
        <v>1802</v>
      </c>
      <c r="N9" s="4" t="s">
        <v>360</v>
      </c>
      <c r="O9" s="4"/>
      <c r="P9" s="4"/>
      <c r="Q9" s="4"/>
      <c r="R9" s="4"/>
      <c r="S9" s="4"/>
      <c r="V9" s="4" t="s">
        <v>360</v>
      </c>
      <c r="X9" s="4" t="s">
        <v>360</v>
      </c>
      <c r="Y9" s="4" t="s">
        <v>360</v>
      </c>
      <c r="Z9" s="2" t="str">
        <f>IF(Tabla_VME[[#This Row],[id_padre]]=Tabla_VME[[#This Row],[Id]],"NOK","OK")</f>
        <v>OK</v>
      </c>
    </row>
    <row r="10" spans="1:27" x14ac:dyDescent="0.5">
      <c r="A10" s="2">
        <f>MAX(Tabla_Alimentacion[Id])</f>
        <v>1298</v>
      </c>
      <c r="B10">
        <v>1300</v>
      </c>
      <c r="C10" s="5">
        <f>IF(Tabla_VME[[#This Row],[id_padre]]="",0,_xlfn.XLOOKUP(Tabla_VME[[#This Row],[id_padre]],Tabla_VME[Id],Tabla_VME[Nivel],0,0,1)+1)</f>
        <v>2</v>
      </c>
      <c r="D10" s="2" t="s">
        <v>371</v>
      </c>
      <c r="E10">
        <f>IF(Tabla_VME[[#This Row],[Id_anterior]]=1,ROW()-1,SUM(ROW()-1,Tabla_VME[[#This Row],[Id_anterior]]))</f>
        <v>1307</v>
      </c>
      <c r="F10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VIATICO_MONEDA_EXTRANJERA_PARAMETROS_IDENTIDADES</v>
      </c>
      <c r="G10" s="2" t="str">
        <f>CLEAN(PROPER(Tabla_VME[[#This Row],[Nombre Opción]]))</f>
        <v>Identidades</v>
      </c>
      <c r="H10" s="2" t="s">
        <v>1735</v>
      </c>
      <c r="I10" s="2" t="str">
        <f>_xlfn.XLOOKUP(Tabla_VME[[#This Row],[id_padre]],Tabla_VME[Id],Tabla_VME[Codigo_Tecnico],"",0,1)</f>
        <v>VIATICO_MONEDA_EXTRANJERA_PARAMETROS</v>
      </c>
      <c r="J10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/viatico-moneda-extranjera/parametros/identidades</v>
      </c>
      <c r="K10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identidades</v>
      </c>
      <c r="L10" s="6" t="s">
        <v>1378</v>
      </c>
      <c r="M10" s="2" t="s">
        <v>1802</v>
      </c>
      <c r="N10" s="4" t="s">
        <v>360</v>
      </c>
      <c r="O10" s="4"/>
      <c r="P10" s="4"/>
      <c r="Q10" s="4"/>
      <c r="R10" s="4"/>
      <c r="S10" s="4"/>
      <c r="Y10" s="4" t="s">
        <v>360</v>
      </c>
      <c r="Z10" s="2" t="str">
        <f>IF(Tabla_VME[[#This Row],[id_padre]]=Tabla_VME[[#This Row],[Id]],"NOK","OK")</f>
        <v>OK</v>
      </c>
    </row>
    <row r="11" spans="1:27" x14ac:dyDescent="0.5">
      <c r="A11" s="2">
        <f>MAX(Tabla_Alimentacion[Id])</f>
        <v>1298</v>
      </c>
      <c r="B11">
        <v>1300</v>
      </c>
      <c r="C11" s="5">
        <f>IF(Tabla_VME[[#This Row],[id_padre]]="",0,_xlfn.XLOOKUP(Tabla_VME[[#This Row],[id_padre]],Tabla_VME[Id],Tabla_VME[Nivel],0,0,1)+1)</f>
        <v>2</v>
      </c>
      <c r="D11" s="2" t="s">
        <v>372</v>
      </c>
      <c r="E11">
        <f>IF(Tabla_VME[[#This Row],[Id_anterior]]=1,ROW()-1,SUM(ROW()-1,Tabla_VME[[#This Row],[Id_anterior]]))</f>
        <v>1308</v>
      </c>
      <c r="F11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VIATICO_MONEDA_EXTRANJERA_PARAMETROS_TIPOS_VIATICOS</v>
      </c>
      <c r="G11" s="2" t="str">
        <f>CLEAN(PROPER(Tabla_VME[[#This Row],[Nombre Opción]]))</f>
        <v>Tipos De Viaticos</v>
      </c>
      <c r="H11" s="2" t="s">
        <v>1735</v>
      </c>
      <c r="I11" s="2" t="str">
        <f>_xlfn.XLOOKUP(Tabla_VME[[#This Row],[id_padre]],Tabla_VME[Id],Tabla_VME[Codigo_Tecnico],"",0,1)</f>
        <v>VIATICO_MONEDA_EXTRANJERA_PARAMETROS</v>
      </c>
      <c r="J11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/viatico-moneda-extranjera/parametros/tipos-viaticos</v>
      </c>
      <c r="K11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tipos-viaticos</v>
      </c>
      <c r="L11" s="6" t="s">
        <v>1407</v>
      </c>
      <c r="M11" s="2" t="s">
        <v>1802</v>
      </c>
      <c r="N11" s="4" t="s">
        <v>360</v>
      </c>
      <c r="O11" s="4"/>
      <c r="P11" s="4"/>
      <c r="Q11" s="4"/>
      <c r="R11" s="4"/>
      <c r="S11" s="4"/>
      <c r="Y11" s="4" t="s">
        <v>360</v>
      </c>
      <c r="Z11" s="2" t="str">
        <f>IF(Tabla_VME[[#This Row],[id_padre]]=Tabla_VME[[#This Row],[Id]],"NOK","OK")</f>
        <v>OK</v>
      </c>
    </row>
    <row r="12" spans="1:27" x14ac:dyDescent="0.5">
      <c r="A12" s="2">
        <f>MAX(Tabla_Alimentacion[Id])</f>
        <v>1298</v>
      </c>
      <c r="B12">
        <v>1300</v>
      </c>
      <c r="C12" s="5">
        <f>IF(Tabla_VME[[#This Row],[id_padre]]="",0,_xlfn.XLOOKUP(Tabla_VME[[#This Row],[id_padre]],Tabla_VME[Id],Tabla_VME[Nivel],0,0,1)+1)</f>
        <v>2</v>
      </c>
      <c r="D12" s="2" t="s">
        <v>1127</v>
      </c>
      <c r="E12">
        <f>IF(Tabla_VME[[#This Row],[Id_anterior]]=1,ROW()-1,SUM(ROW()-1,Tabla_VME[[#This Row],[Id_anterior]]))</f>
        <v>1309</v>
      </c>
      <c r="F12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VIATICO_MONEDA_EXTRANJERA_PARAMETROS_BENEFICIOS_OTORGADOS</v>
      </c>
      <c r="G12" s="2" t="str">
        <f>CLEAN(PROPER(Tabla_VME[[#This Row],[Nombre Opción]]))</f>
        <v>Beneficios Otorgados</v>
      </c>
      <c r="H12" s="2" t="s">
        <v>1735</v>
      </c>
      <c r="I12" s="2" t="str">
        <f>_xlfn.XLOOKUP(Tabla_VME[[#This Row],[id_padre]],Tabla_VME[Id],Tabla_VME[Codigo_Tecnico],"",0,1)</f>
        <v>VIATICO_MONEDA_EXTRANJERA_PARAMETROS</v>
      </c>
      <c r="J12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/viatico-moneda-extranjera/parametros/beneficios-otorgados</v>
      </c>
      <c r="K12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beneficios-otorgados</v>
      </c>
      <c r="L12" s="6" t="s">
        <v>1644</v>
      </c>
      <c r="M12" s="2" t="s">
        <v>1802</v>
      </c>
      <c r="N12" s="4" t="s">
        <v>360</v>
      </c>
      <c r="O12" s="4"/>
      <c r="P12" s="4"/>
      <c r="Q12" s="4"/>
      <c r="R12" s="4"/>
      <c r="S12" s="4"/>
      <c r="Y12" s="4" t="s">
        <v>360</v>
      </c>
      <c r="Z12" s="2" t="str">
        <f>IF(Tabla_VME[[#This Row],[id_padre]]=Tabla_VME[[#This Row],[Id]],"NOK","OK")</f>
        <v>OK</v>
      </c>
    </row>
    <row r="13" spans="1:27" x14ac:dyDescent="0.5">
      <c r="A13" s="2">
        <f>MAX(Tabla_Alimentacion[Id])</f>
        <v>1298</v>
      </c>
      <c r="B13">
        <v>1300</v>
      </c>
      <c r="C13" s="5">
        <f>IF(Tabla_VME[[#This Row],[id_padre]]="",0,_xlfn.XLOOKUP(Tabla_VME[[#This Row],[id_padre]],Tabla_VME[Id],Tabla_VME[Nivel],0,0,1)+1)</f>
        <v>2</v>
      </c>
      <c r="D13" s="2" t="s">
        <v>1128</v>
      </c>
      <c r="E13">
        <f>IF(Tabla_VME[[#This Row],[Id_anterior]]=1,ROW()-1,SUM(ROW()-1,Tabla_VME[[#This Row],[Id_anterior]]))</f>
        <v>1310</v>
      </c>
      <c r="F13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VIATICO_MONEDA_EXTRANJERA_PARAMETROS_ESCALA_SUELDOS_Y_BASE_DOLARES</v>
      </c>
      <c r="G13" s="2" t="str">
        <f>CLEAN(PROPER(Tabla_VME[[#This Row],[Nombre Opción]]))</f>
        <v>Escala De Sueldos Y Base En Dolares</v>
      </c>
      <c r="H13" s="2" t="s">
        <v>1735</v>
      </c>
      <c r="I13" s="2" t="str">
        <f>_xlfn.XLOOKUP(Tabla_VME[[#This Row],[id_padre]],Tabla_VME[Id],Tabla_VME[Codigo_Tecnico],"",0,1)</f>
        <v>VIATICO_MONEDA_EXTRANJERA_PARAMETROS</v>
      </c>
      <c r="J13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/viatico-moneda-extranjera/parametros/escala-sueldos-y-base-dolares</v>
      </c>
      <c r="K13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escala-sueldos-y-base-dolares</v>
      </c>
      <c r="L13" s="6" t="s">
        <v>1344</v>
      </c>
      <c r="M13" s="2" t="s">
        <v>1802</v>
      </c>
      <c r="N13" s="4" t="s">
        <v>360</v>
      </c>
      <c r="O13" s="4"/>
      <c r="P13" s="4"/>
      <c r="Q13" s="4"/>
      <c r="R13" s="4"/>
      <c r="S13" s="4"/>
      <c r="Y13" s="4" t="s">
        <v>360</v>
      </c>
      <c r="Z13" s="2" t="str">
        <f>IF(Tabla_VME[[#This Row],[id_padre]]=Tabla_VME[[#This Row],[Id]],"NOK","OK")</f>
        <v>OK</v>
      </c>
    </row>
    <row r="14" spans="1:27" x14ac:dyDescent="0.5">
      <c r="A14" s="2">
        <f>MAX(Tabla_Alimentacion[Id])</f>
        <v>1298</v>
      </c>
      <c r="B14">
        <v>1300</v>
      </c>
      <c r="C14" s="5">
        <f>IF(Tabla_VME[[#This Row],[id_padre]]="",0,_xlfn.XLOOKUP(Tabla_VME[[#This Row],[id_padre]],Tabla_VME[Id],Tabla_VME[Nivel],0,0,1)+1)</f>
        <v>2</v>
      </c>
      <c r="D14" s="2" t="s">
        <v>1129</v>
      </c>
      <c r="E14">
        <f>IF(Tabla_VME[[#This Row],[Id_anterior]]=1,ROW()-1,SUM(ROW()-1,Tabla_VME[[#This Row],[Id_anterior]]))</f>
        <v>1311</v>
      </c>
      <c r="F14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VIATICO_MONEDA_EXTRANJERA_PARAMETROS_MEDIOS_TRANSPORTES</v>
      </c>
      <c r="G14" s="2" t="str">
        <f>CLEAN(PROPER(Tabla_VME[[#This Row],[Nombre Opción]]))</f>
        <v>Medios De Transportes</v>
      </c>
      <c r="H14" s="2" t="s">
        <v>1735</v>
      </c>
      <c r="I14" s="2" t="str">
        <f>_xlfn.XLOOKUP(Tabla_VME[[#This Row],[id_padre]],Tabla_VME[Id],Tabla_VME[Codigo_Tecnico],"",0,1)</f>
        <v>VIATICO_MONEDA_EXTRANJERA_PARAMETROS</v>
      </c>
      <c r="J14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/viatico-moneda-extranjera/parametros/medios-transportes</v>
      </c>
      <c r="K14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medios-transportes</v>
      </c>
      <c r="L14" s="6" t="s">
        <v>1516</v>
      </c>
      <c r="M14" s="2" t="s">
        <v>1802</v>
      </c>
      <c r="N14" s="4" t="s">
        <v>360</v>
      </c>
      <c r="O14" s="4"/>
      <c r="P14" s="4"/>
      <c r="Q14" s="4"/>
      <c r="R14" s="4"/>
      <c r="S14" s="4"/>
      <c r="Y14" s="4" t="s">
        <v>360</v>
      </c>
      <c r="Z14" s="2" t="str">
        <f>IF(Tabla_VME[[#This Row],[id_padre]]=Tabla_VME[[#This Row],[Id]],"NOK","OK")</f>
        <v>OK</v>
      </c>
    </row>
    <row r="15" spans="1:27" x14ac:dyDescent="0.5">
      <c r="A15" s="2">
        <f>MAX(Tabla_Alimentacion[Id])</f>
        <v>1298</v>
      </c>
      <c r="B15">
        <v>1300</v>
      </c>
      <c r="C15" s="5">
        <f>IF(Tabla_VME[[#This Row],[id_padre]]="",0,_xlfn.XLOOKUP(Tabla_VME[[#This Row],[id_padre]],Tabla_VME[Id],Tabla_VME[Nivel],0,0,1)+1)</f>
        <v>2</v>
      </c>
      <c r="D15" s="2" t="s">
        <v>412</v>
      </c>
      <c r="E15">
        <f>IF(Tabla_VME[[#This Row],[Id_anterior]]=1,ROW()-1,SUM(ROW()-1,Tabla_VME[[#This Row],[Id_anterior]]))</f>
        <v>1312</v>
      </c>
      <c r="F15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VIATICO_MONEDA_EXTRANJERA_PARAMETROS_CATEGORIZACION</v>
      </c>
      <c r="G15" s="2" t="str">
        <f>CLEAN(PROPER(Tabla_VME[[#This Row],[Nombre Opción]]))</f>
        <v>Categorizacion</v>
      </c>
      <c r="H15" s="2" t="s">
        <v>1735</v>
      </c>
      <c r="I15" s="2" t="str">
        <f>_xlfn.XLOOKUP(Tabla_VME[[#This Row],[id_padre]],Tabla_VME[Id],Tabla_VME[Codigo_Tecnico],"",0,1)</f>
        <v>VIATICO_MONEDA_EXTRANJERA_PARAMETROS</v>
      </c>
      <c r="J15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/viatico-moneda-extranjera/parametros/categorizacion</v>
      </c>
      <c r="K15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</v>
      </c>
      <c r="L15" s="6" t="s">
        <v>1514</v>
      </c>
      <c r="M15" s="2" t="s">
        <v>1802</v>
      </c>
      <c r="N15" s="4" t="s">
        <v>360</v>
      </c>
      <c r="O15" s="4"/>
      <c r="P15" s="4"/>
      <c r="Q15" s="4"/>
      <c r="R15" s="4"/>
      <c r="S15" s="4"/>
      <c r="T15" s="4" t="s">
        <v>360</v>
      </c>
      <c r="Y15" s="4" t="s">
        <v>360</v>
      </c>
      <c r="Z15" s="2" t="str">
        <f>IF(Tabla_VME[[#This Row],[id_padre]]=Tabla_VME[[#This Row],[Id]],"NOK","OK")</f>
        <v>OK</v>
      </c>
    </row>
    <row r="16" spans="1:27" x14ac:dyDescent="0.5">
      <c r="A16" s="2">
        <f>MAX(Tabla_Alimentacion[Id])</f>
        <v>1298</v>
      </c>
      <c r="B16">
        <v>1300</v>
      </c>
      <c r="C16" s="5">
        <f>IF(Tabla_VME[[#This Row],[id_padre]]="",0,_xlfn.XLOOKUP(Tabla_VME[[#This Row],[id_padre]],Tabla_VME[Id],Tabla_VME[Nivel],0,0,1)+1)</f>
        <v>2</v>
      </c>
      <c r="D16" s="2" t="s">
        <v>1130</v>
      </c>
      <c r="E16">
        <f>IF(Tabla_VME[[#This Row],[Id_anterior]]=1,ROW()-1,SUM(ROW()-1,Tabla_VME[[#This Row],[Id_anterior]]))</f>
        <v>1313</v>
      </c>
      <c r="F16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VIATICO_MONEDA_EXTRANJERA_PARAMETROS_CONSTANTE_COSTO_VIDA</v>
      </c>
      <c r="G16" s="2" t="str">
        <f>CLEAN(PROPER(Tabla_VME[[#This Row],[Nombre Opción]]))</f>
        <v>Constante De Costo De Vida</v>
      </c>
      <c r="H16" s="2" t="s">
        <v>1735</v>
      </c>
      <c r="I16" s="2" t="str">
        <f>_xlfn.XLOOKUP(Tabla_VME[[#This Row],[id_padre]],Tabla_VME[Id],Tabla_VME[Codigo_Tecnico],"",0,1)</f>
        <v>VIATICO_MONEDA_EXTRANJERA_PARAMETROS</v>
      </c>
      <c r="J16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/viatico-moneda-extranjera/parametros/constante-costo-vida</v>
      </c>
      <c r="K16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constante-costo-vida</v>
      </c>
      <c r="L16" s="6" t="s">
        <v>1414</v>
      </c>
      <c r="M16" s="2" t="s">
        <v>1802</v>
      </c>
      <c r="N16" s="4" t="s">
        <v>360</v>
      </c>
      <c r="O16" s="4"/>
      <c r="P16" s="4"/>
      <c r="Q16" s="4"/>
      <c r="R16" s="4"/>
      <c r="S16" s="4"/>
      <c r="T16" s="4" t="s">
        <v>360</v>
      </c>
      <c r="Y16" s="4" t="s">
        <v>360</v>
      </c>
      <c r="Z16" s="2" t="str">
        <f>IF(Tabla_VME[[#This Row],[id_padre]]=Tabla_VME[[#This Row],[Id]],"NOK","OK")</f>
        <v>OK</v>
      </c>
    </row>
    <row r="17" spans="1:26" x14ac:dyDescent="0.5">
      <c r="A17" s="2">
        <f>MAX(Tabla_Alimentacion[Id])</f>
        <v>1298</v>
      </c>
      <c r="B17">
        <v>1300</v>
      </c>
      <c r="C17" s="5">
        <f>IF(Tabla_VME[[#This Row],[id_padre]]="",0,_xlfn.XLOOKUP(Tabla_VME[[#This Row],[id_padre]],Tabla_VME[Id],Tabla_VME[Nivel],0,0,1)+1)</f>
        <v>2</v>
      </c>
      <c r="D17" s="2" t="s">
        <v>1131</v>
      </c>
      <c r="E17">
        <f>IF(Tabla_VME[[#This Row],[Id_anterior]]=1,ROW()-1,SUM(ROW()-1,Tabla_VME[[#This Row],[Id_anterior]]))</f>
        <v>1314</v>
      </c>
      <c r="F17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VIATICO_MONEDA_EXTRANJERA_PARAMETROS_FACTOR_COSTO_VIDA_POR_PAIS</v>
      </c>
      <c r="G17" s="2" t="str">
        <f>CLEAN(PROPER(Tabla_VME[[#This Row],[Nombre Opción]]))</f>
        <v>Factor Costo De Vida Por Pais</v>
      </c>
      <c r="H17" s="2" t="s">
        <v>1735</v>
      </c>
      <c r="I17" s="2" t="str">
        <f>_xlfn.XLOOKUP(Tabla_VME[[#This Row],[id_padre]],Tabla_VME[Id],Tabla_VME[Codigo_Tecnico],"",0,1)</f>
        <v>VIATICO_MONEDA_EXTRANJERA_PARAMETROS</v>
      </c>
      <c r="J17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/viatico-moneda-extranjera/parametros/factor-costo-vida-por-pais</v>
      </c>
      <c r="K17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factor-costo-vida-por-pais</v>
      </c>
      <c r="L17" s="6" t="s">
        <v>1402</v>
      </c>
      <c r="M17" s="2" t="s">
        <v>1802</v>
      </c>
      <c r="N17" s="4" t="s">
        <v>360</v>
      </c>
      <c r="O17" s="4"/>
      <c r="P17" s="4"/>
      <c r="Q17" s="4"/>
      <c r="R17" s="4"/>
      <c r="S17" s="4"/>
      <c r="T17" s="4" t="s">
        <v>360</v>
      </c>
      <c r="Y17" s="4" t="s">
        <v>360</v>
      </c>
      <c r="Z17" s="2" t="str">
        <f>IF(Tabla_VME[[#This Row],[id_padre]]=Tabla_VME[[#This Row],[Id]],"NOK","OK")</f>
        <v>OK</v>
      </c>
    </row>
    <row r="18" spans="1:26" x14ac:dyDescent="0.5">
      <c r="A18" s="2">
        <f>MAX(Tabla_Alimentacion[Id])</f>
        <v>1298</v>
      </c>
      <c r="B18">
        <v>1300</v>
      </c>
      <c r="C18" s="5">
        <f>IF(Tabla_VME[[#This Row],[id_padre]]="",0,_xlfn.XLOOKUP(Tabla_VME[[#This Row],[id_padre]],Tabla_VME[Id],Tabla_VME[Nivel],0,0,1)+1)</f>
        <v>2</v>
      </c>
      <c r="D18" s="2" t="s">
        <v>1132</v>
      </c>
      <c r="E18">
        <f>IF(Tabla_VME[[#This Row],[Id_anterior]]=1,ROW()-1,SUM(ROW()-1,Tabla_VME[[#This Row],[Id_anterior]]))</f>
        <v>1315</v>
      </c>
      <c r="F18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VIATICO_MONEDA_EXTRANJERA_PARAMETROS_CODIGO_COMISION</v>
      </c>
      <c r="G18" s="2" t="str">
        <f>CLEAN(PROPER(Tabla_VME[[#This Row],[Nombre Opción]]))</f>
        <v>Codigo Comision</v>
      </c>
      <c r="H18" s="2" t="s">
        <v>1735</v>
      </c>
      <c r="I18" s="2" t="str">
        <f>_xlfn.XLOOKUP(Tabla_VME[[#This Row],[id_padre]],Tabla_VME[Id],Tabla_VME[Codigo_Tecnico],"",0,1)</f>
        <v>VIATICO_MONEDA_EXTRANJERA_PARAMETROS</v>
      </c>
      <c r="J18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/viatico-moneda-extranjera/parametros/codigo-comision</v>
      </c>
      <c r="K18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codigo-comision</v>
      </c>
      <c r="L18" s="6" t="s">
        <v>1406</v>
      </c>
      <c r="M18" s="2" t="s">
        <v>1802</v>
      </c>
      <c r="N18" s="4" t="s">
        <v>360</v>
      </c>
      <c r="O18" s="4"/>
      <c r="P18" s="4"/>
      <c r="Q18" s="4"/>
      <c r="R18" s="4"/>
      <c r="S18" s="4"/>
      <c r="U18" s="4" t="s">
        <v>360</v>
      </c>
      <c r="V18" s="4" t="s">
        <v>360</v>
      </c>
      <c r="X18" s="4" t="s">
        <v>360</v>
      </c>
      <c r="Y18" s="4" t="s">
        <v>360</v>
      </c>
      <c r="Z18" s="2" t="str">
        <f>IF(Tabla_VME[[#This Row],[id_padre]]=Tabla_VME[[#This Row],[Id]],"NOK","OK")</f>
        <v>OK</v>
      </c>
    </row>
    <row r="19" spans="1:26" x14ac:dyDescent="0.5">
      <c r="A19" s="2">
        <f>MAX(Tabla_Alimentacion[Id])</f>
        <v>1298</v>
      </c>
      <c r="B19">
        <v>1300</v>
      </c>
      <c r="C19" s="5">
        <f>IF(Tabla_VME[[#This Row],[id_padre]]="",0,_xlfn.XLOOKUP(Tabla_VME[[#This Row],[id_padre]],Tabla_VME[Id],Tabla_VME[Nivel],0,0,1)+1)</f>
        <v>2</v>
      </c>
      <c r="D19" s="2" t="s">
        <v>1133</v>
      </c>
      <c r="E19">
        <f>IF(Tabla_VME[[#This Row],[Id_anterior]]=1,ROW()-1,SUM(ROW()-1,Tabla_VME[[#This Row],[Id_anterior]]))</f>
        <v>1316</v>
      </c>
      <c r="F19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VIATICO_MONEDA_EXTRANJERA_PARAMETROS_AGREGADURIAS</v>
      </c>
      <c r="G19" s="2" t="str">
        <f>CLEAN(PROPER(Tabla_VME[[#This Row],[Nombre Opción]]))</f>
        <v>Agregadurias</v>
      </c>
      <c r="H19" s="2" t="s">
        <v>1735</v>
      </c>
      <c r="I19" s="2" t="str">
        <f>_xlfn.XLOOKUP(Tabla_VME[[#This Row],[id_padre]],Tabla_VME[Id],Tabla_VME[Codigo_Tecnico],"",0,1)</f>
        <v>VIATICO_MONEDA_EXTRANJERA_PARAMETROS</v>
      </c>
      <c r="J19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/viatico-moneda-extranjera/parametros/agregadurias</v>
      </c>
      <c r="K19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agregadurias</v>
      </c>
      <c r="L19" s="6" t="s">
        <v>1530</v>
      </c>
      <c r="M19" s="2" t="s">
        <v>1802</v>
      </c>
      <c r="N19" s="4" t="s">
        <v>360</v>
      </c>
      <c r="O19" s="4"/>
      <c r="P19" s="4"/>
      <c r="Q19" s="4"/>
      <c r="R19" s="4"/>
      <c r="S19" s="4"/>
      <c r="U19" s="4" t="s">
        <v>360</v>
      </c>
      <c r="V19" s="4" t="s">
        <v>360</v>
      </c>
      <c r="X19" s="4" t="s">
        <v>360</v>
      </c>
      <c r="Y19" s="4" t="s">
        <v>360</v>
      </c>
      <c r="Z19" s="2" t="str">
        <f>IF(Tabla_VME[[#This Row],[id_padre]]=Tabla_VME[[#This Row],[Id]],"NOK","OK")</f>
        <v>OK</v>
      </c>
    </row>
    <row r="20" spans="1:26" x14ac:dyDescent="0.5">
      <c r="A20" s="2">
        <f>MAX(Tabla_Alimentacion[Id])</f>
        <v>1298</v>
      </c>
      <c r="B20">
        <v>1300</v>
      </c>
      <c r="C20" s="5">
        <f>IF(Tabla_VME[[#This Row],[id_padre]]="",0,_xlfn.XLOOKUP(Tabla_VME[[#This Row],[id_padre]],Tabla_VME[Id],Tabla_VME[Nivel],0,0,1)+1)</f>
        <v>2</v>
      </c>
      <c r="D20" s="2" t="s">
        <v>1134</v>
      </c>
      <c r="E20">
        <f>IF(Tabla_VME[[#This Row],[Id_anterior]]=1,ROW()-1,SUM(ROW()-1,Tabla_VME[[#This Row],[Id_anterior]]))</f>
        <v>1317</v>
      </c>
      <c r="F20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VIATICO_MONEDA_EXTRANJERA_PARAMETROS_PIES_FIRMA</v>
      </c>
      <c r="G20" s="2" t="str">
        <f>CLEAN(PROPER(Tabla_VME[[#This Row],[Nombre Opción]]))</f>
        <v>Pies De Firma</v>
      </c>
      <c r="H20" s="2" t="s">
        <v>1735</v>
      </c>
      <c r="I20" s="2" t="str">
        <f>_xlfn.XLOOKUP(Tabla_VME[[#This Row],[id_padre]],Tabla_VME[Id],Tabla_VME[Codigo_Tecnico],"",0,1)</f>
        <v>VIATICO_MONEDA_EXTRANJERA_PARAMETROS</v>
      </c>
      <c r="J20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/viatico-moneda-extranjera/parametros/pies-firma</v>
      </c>
      <c r="K20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pies-firma</v>
      </c>
      <c r="L20" s="6" t="s">
        <v>1471</v>
      </c>
      <c r="M20" s="2" t="s">
        <v>1802</v>
      </c>
      <c r="N20" s="4" t="s">
        <v>360</v>
      </c>
      <c r="O20" s="4" t="s">
        <v>360</v>
      </c>
      <c r="P20" s="4" t="s">
        <v>360</v>
      </c>
      <c r="Q20" s="4"/>
      <c r="R20" s="4" t="s">
        <v>360</v>
      </c>
      <c r="S20" s="4"/>
      <c r="U20" s="4" t="s">
        <v>360</v>
      </c>
      <c r="V20" s="4" t="s">
        <v>360</v>
      </c>
      <c r="X20" s="4" t="s">
        <v>360</v>
      </c>
      <c r="Y20" s="4" t="s">
        <v>360</v>
      </c>
      <c r="Z20" s="2" t="str">
        <f>IF(Tabla_VME[[#This Row],[id_padre]]=Tabla_VME[[#This Row],[Id]],"NOK","OK")</f>
        <v>OK</v>
      </c>
    </row>
    <row r="21" spans="1:26" hidden="1" x14ac:dyDescent="0.5">
      <c r="A21" s="2">
        <f>MAX(Tabla_Alimentacion[Id])</f>
        <v>1298</v>
      </c>
      <c r="B21">
        <v>1301</v>
      </c>
      <c r="C21" s="5">
        <f>IF(Tabla_VME[[#This Row],[id_padre]]="",0,_xlfn.XLOOKUP(Tabla_VME[[#This Row],[id_padre]],Tabla_VME[Id],Tabla_VME[Nivel],0,0,1)+1)</f>
        <v>2</v>
      </c>
      <c r="D21" s="2" t="s">
        <v>1135</v>
      </c>
      <c r="E21">
        <f>IF(Tabla_VME[[#This Row],[Id_anterior]]=1,ROW()-1,SUM(ROW()-1,Tabla_VME[[#This Row],[Id_anterior]]))</f>
        <v>1318</v>
      </c>
      <c r="F21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VIATICO_MONEDA_EXTRANJERA_PROCESOS_ENTRADA_SOLICITUD_COMISION</v>
      </c>
      <c r="G21" s="2" t="str">
        <f>CLEAN(PROPER(Tabla_VME[[#This Row],[Nombre Opción]]))</f>
        <v>Entrada De Solicitud De Comision</v>
      </c>
      <c r="H21" s="2" t="s">
        <v>1735</v>
      </c>
      <c r="I21" s="2" t="str">
        <f>_xlfn.XLOOKUP(Tabla_VME[[#This Row],[id_padre]],Tabla_VME[Id],Tabla_VME[Codigo_Tecnico],"",0,1)</f>
        <v>VIATICO_MONEDA_EXTRANJERA_PROCESOS</v>
      </c>
      <c r="J21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/viatico-moneda-extranjera/procesos/entrada-solicitud-comision</v>
      </c>
      <c r="K21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entrada-solicitud-comision</v>
      </c>
      <c r="L21" s="6" t="s">
        <v>1505</v>
      </c>
      <c r="M21" s="2" t="s">
        <v>1802</v>
      </c>
      <c r="N21" s="4" t="s">
        <v>360</v>
      </c>
      <c r="O21" s="4" t="s">
        <v>360</v>
      </c>
      <c r="P21" s="4" t="s">
        <v>360</v>
      </c>
      <c r="Q21" s="4"/>
      <c r="R21" s="4" t="s">
        <v>360</v>
      </c>
      <c r="S21" s="4"/>
      <c r="U21" s="4" t="s">
        <v>360</v>
      </c>
      <c r="V21" s="4" t="s">
        <v>360</v>
      </c>
      <c r="X21" s="4" t="s">
        <v>360</v>
      </c>
      <c r="Y21" s="4" t="s">
        <v>360</v>
      </c>
      <c r="Z21" s="2" t="str">
        <f>IF(Tabla_VME[[#This Row],[id_padre]]=Tabla_VME[[#This Row],[Id]],"NOK","OK")</f>
        <v>OK</v>
      </c>
    </row>
    <row r="22" spans="1:26" hidden="1" x14ac:dyDescent="0.5">
      <c r="A22" s="2">
        <f>MAX(Tabla_Alimentacion[Id])</f>
        <v>1298</v>
      </c>
      <c r="B22">
        <v>1301</v>
      </c>
      <c r="C22" s="5">
        <f>IF(Tabla_VME[[#This Row],[id_padre]]="",0,_xlfn.XLOOKUP(Tabla_VME[[#This Row],[id_padre]],Tabla_VME[Id],Tabla_VME[Nivel],0,0,1)+1)</f>
        <v>2</v>
      </c>
      <c r="D22" s="2" t="s">
        <v>1136</v>
      </c>
      <c r="E22">
        <f>IF(Tabla_VME[[#This Row],[Id_anterior]]=1,ROW()-1,SUM(ROW()-1,Tabla_VME[[#This Row],[Id_anterior]]))</f>
        <v>1319</v>
      </c>
      <c r="F22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VIATICO_MONEDA_EXTRANJERA_PROCESOS_CERTIFICADO_FONDOS</v>
      </c>
      <c r="G22" s="2" t="str">
        <f>CLEAN(PROPER(Tabla_VME[[#This Row],[Nombre Opción]]))</f>
        <v>Certificado De Fondos</v>
      </c>
      <c r="H22" s="2" t="s">
        <v>1735</v>
      </c>
      <c r="I22" s="2" t="str">
        <f>_xlfn.XLOOKUP(Tabla_VME[[#This Row],[id_padre]],Tabla_VME[Id],Tabla_VME[Codigo_Tecnico],"",0,1)</f>
        <v>VIATICO_MONEDA_EXTRANJERA_PROCESOS</v>
      </c>
      <c r="J22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/viatico-moneda-extranjera/procesos/certificado-fondos</v>
      </c>
      <c r="K22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certificado-fondos</v>
      </c>
      <c r="L22" s="6" t="s">
        <v>1410</v>
      </c>
      <c r="M22" s="2" t="s">
        <v>1802</v>
      </c>
      <c r="N22" s="4" t="s">
        <v>360</v>
      </c>
      <c r="O22" s="4" t="s">
        <v>360</v>
      </c>
      <c r="P22" s="4" t="s">
        <v>360</v>
      </c>
      <c r="Q22" s="4"/>
      <c r="R22" s="4" t="s">
        <v>360</v>
      </c>
      <c r="S22" s="4"/>
      <c r="U22" s="4" t="s">
        <v>360</v>
      </c>
      <c r="V22" s="4" t="s">
        <v>360</v>
      </c>
      <c r="X22" s="4" t="s">
        <v>360</v>
      </c>
      <c r="Y22" s="4" t="s">
        <v>360</v>
      </c>
      <c r="Z22" s="2" t="str">
        <f>IF(Tabla_VME[[#This Row],[id_padre]]=Tabla_VME[[#This Row],[Id]],"NOK","OK")</f>
        <v>OK</v>
      </c>
    </row>
    <row r="23" spans="1:26" hidden="1" x14ac:dyDescent="0.5">
      <c r="A23" s="2">
        <f>MAX(Tabla_Alimentacion[Id])</f>
        <v>1298</v>
      </c>
      <c r="B23">
        <v>1301</v>
      </c>
      <c r="C23" s="5">
        <f>IF(Tabla_VME[[#This Row],[id_padre]]="",0,_xlfn.XLOOKUP(Tabla_VME[[#This Row],[id_padre]],Tabla_VME[Id],Tabla_VME[Nivel],0,0,1)+1)</f>
        <v>2</v>
      </c>
      <c r="D23" s="2" t="s">
        <v>1137</v>
      </c>
      <c r="E23">
        <f>IF(Tabla_VME[[#This Row],[Id_anterior]]=1,ROW()-1,SUM(ROW()-1,Tabla_VME[[#This Row],[Id_anterior]]))</f>
        <v>1320</v>
      </c>
      <c r="F23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VIATICO_MONEDA_EXTRANJERA_PROCESOS_SEGUIMIENTO_SOLICITUD_COMISION</v>
      </c>
      <c r="G23" s="2" t="str">
        <f>CLEAN(PROPER(Tabla_VME[[#This Row],[Nombre Opción]]))</f>
        <v>Seguimiento A Solicitud De Comision</v>
      </c>
      <c r="H23" s="2" t="s">
        <v>1735</v>
      </c>
      <c r="I23" s="2" t="str">
        <f>_xlfn.XLOOKUP(Tabla_VME[[#This Row],[id_padre]],Tabla_VME[Id],Tabla_VME[Codigo_Tecnico],"",0,1)</f>
        <v>VIATICO_MONEDA_EXTRANJERA_PROCESOS</v>
      </c>
      <c r="J23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/viatico-moneda-extranjera/procesos/seguimiento-solicitud-comision</v>
      </c>
      <c r="K23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seguimiento-solicitud-comision</v>
      </c>
      <c r="L23" s="6" t="s">
        <v>1370</v>
      </c>
      <c r="M23" s="2" t="s">
        <v>1802</v>
      </c>
      <c r="N23" s="4" t="s">
        <v>360</v>
      </c>
      <c r="O23" s="4" t="s">
        <v>360</v>
      </c>
      <c r="P23" s="4" t="s">
        <v>360</v>
      </c>
      <c r="Q23" s="4"/>
      <c r="R23" s="4" t="s">
        <v>360</v>
      </c>
      <c r="S23" s="4"/>
      <c r="U23" s="4" t="s">
        <v>360</v>
      </c>
      <c r="V23" s="4" t="s">
        <v>360</v>
      </c>
      <c r="X23" s="4" t="s">
        <v>360</v>
      </c>
      <c r="Y23" s="4" t="s">
        <v>360</v>
      </c>
      <c r="Z23" s="2" t="str">
        <f>IF(Tabla_VME[[#This Row],[id_padre]]=Tabla_VME[[#This Row],[Id]],"NOK","OK")</f>
        <v>OK</v>
      </c>
    </row>
    <row r="24" spans="1:26" hidden="1" x14ac:dyDescent="0.5">
      <c r="A24" s="2">
        <f>MAX(Tabla_Alimentacion[Id])</f>
        <v>1298</v>
      </c>
      <c r="B24">
        <v>1301</v>
      </c>
      <c r="C24" s="5">
        <f>IF(Tabla_VME[[#This Row],[id_padre]]="",0,_xlfn.XLOOKUP(Tabla_VME[[#This Row],[id_padre]],Tabla_VME[Id],Tabla_VME[Nivel],0,0,1)+1)</f>
        <v>2</v>
      </c>
      <c r="D24" s="2" t="s">
        <v>387</v>
      </c>
      <c r="E24">
        <f>IF(Tabla_VME[[#This Row],[Id_anterior]]=1,ROW()-1,SUM(ROW()-1,Tabla_VME[[#This Row],[Id_anterior]]))</f>
        <v>1321</v>
      </c>
      <c r="F24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VIATICO_MONEDA_EXTRANJERA_PROCESOS_INGRESO_INFORME_CUMPLIMIENTO_COMISION</v>
      </c>
      <c r="G24" s="2" t="str">
        <f>CLEAN(PROPER(Tabla_VME[[#This Row],[Nombre Opción]]))</f>
        <v>Ingreso De Informe De Cumplimiento De Comision</v>
      </c>
      <c r="H24" s="2" t="s">
        <v>1735</v>
      </c>
      <c r="I24" s="2" t="str">
        <f>_xlfn.XLOOKUP(Tabla_VME[[#This Row],[id_padre]],Tabla_VME[Id],Tabla_VME[Codigo_Tecnico],"",0,1)</f>
        <v>VIATICO_MONEDA_EXTRANJERA_PROCESOS</v>
      </c>
      <c r="J24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/viatico-moneda-extranjera/procesos/ingreso-informe-cumplimiento-comision</v>
      </c>
      <c r="K24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ingreso-informe-cumplimiento-comision</v>
      </c>
      <c r="L24" s="6" t="s">
        <v>1519</v>
      </c>
      <c r="M24" s="2" t="s">
        <v>1802</v>
      </c>
      <c r="N24" s="4" t="s">
        <v>360</v>
      </c>
      <c r="O24" s="4" t="s">
        <v>360</v>
      </c>
      <c r="P24" s="4" t="s">
        <v>360</v>
      </c>
      <c r="Q24" s="4"/>
      <c r="R24" s="4" t="s">
        <v>360</v>
      </c>
      <c r="S24" s="4"/>
      <c r="U24" s="4" t="s">
        <v>360</v>
      </c>
      <c r="V24" s="4" t="s">
        <v>360</v>
      </c>
      <c r="X24" s="4" t="s">
        <v>360</v>
      </c>
      <c r="Y24" s="4" t="s">
        <v>360</v>
      </c>
      <c r="Z24" s="2" t="str">
        <f>IF(Tabla_VME[[#This Row],[id_padre]]=Tabla_VME[[#This Row],[Id]],"NOK","OK")</f>
        <v>OK</v>
      </c>
    </row>
    <row r="25" spans="1:26" hidden="1" x14ac:dyDescent="0.5">
      <c r="A25" s="2">
        <f>MAX(Tabla_Alimentacion[Id])</f>
        <v>1298</v>
      </c>
      <c r="B25">
        <v>1301</v>
      </c>
      <c r="C25" s="5">
        <f>IF(Tabla_VME[[#This Row],[id_padre]]="",0,_xlfn.XLOOKUP(Tabla_VME[[#This Row],[id_padre]],Tabla_VME[Id],Tabla_VME[Nivel],0,0,1)+1)</f>
        <v>2</v>
      </c>
      <c r="D25" s="2" t="s">
        <v>1138</v>
      </c>
      <c r="E25">
        <f>IF(Tabla_VME[[#This Row],[Id_anterior]]=1,ROW()-1,SUM(ROW()-1,Tabla_VME[[#This Row],[Id_anterior]]))</f>
        <v>1322</v>
      </c>
      <c r="F25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VIATICO_MONEDA_EXTRANJERA_PROCESOS_CERTIFICADO_FONDOS_INF_CUMPLIMIENTO_COMISION</v>
      </c>
      <c r="G25" s="2" t="str">
        <f>CLEAN(PROPER(Tabla_VME[[#This Row],[Nombre Opción]]))</f>
        <v>Certificado De Fondos Inf. Cumplimiento Comision</v>
      </c>
      <c r="H25" s="2" t="s">
        <v>1735</v>
      </c>
      <c r="I25" s="2" t="str">
        <f>_xlfn.XLOOKUP(Tabla_VME[[#This Row],[id_padre]],Tabla_VME[Id],Tabla_VME[Codigo_Tecnico],"",0,1)</f>
        <v>VIATICO_MONEDA_EXTRANJERA_PROCESOS</v>
      </c>
      <c r="J25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/viatico-moneda-extranjera/procesos/certificado-fondos-inf-cumplimiento-comision</v>
      </c>
      <c r="K25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certificado-fondos-inf-cumplimiento-comision</v>
      </c>
      <c r="L25" s="6" t="s">
        <v>1386</v>
      </c>
      <c r="M25" s="2" t="s">
        <v>1802</v>
      </c>
      <c r="N25" s="4" t="s">
        <v>360</v>
      </c>
      <c r="O25" s="4" t="s">
        <v>360</v>
      </c>
      <c r="P25" s="4" t="s">
        <v>360</v>
      </c>
      <c r="Q25" s="4"/>
      <c r="R25" s="4" t="s">
        <v>360</v>
      </c>
      <c r="S25" s="4"/>
      <c r="U25" s="4" t="s">
        <v>360</v>
      </c>
      <c r="V25" s="4" t="s">
        <v>360</v>
      </c>
      <c r="X25" s="4" t="s">
        <v>360</v>
      </c>
      <c r="Y25" s="4" t="s">
        <v>360</v>
      </c>
      <c r="Z25" s="2" t="str">
        <f>IF(Tabla_VME[[#This Row],[id_padre]]=Tabla_VME[[#This Row],[Id]],"NOK","OK")</f>
        <v>OK</v>
      </c>
    </row>
    <row r="26" spans="1:26" hidden="1" x14ac:dyDescent="0.5">
      <c r="A26" s="2">
        <f>MAX(Tabla_Alimentacion[Id])</f>
        <v>1298</v>
      </c>
      <c r="B26">
        <v>1301</v>
      </c>
      <c r="C26" s="5">
        <f>IF(Tabla_VME[[#This Row],[id_padre]]="",0,_xlfn.XLOOKUP(Tabla_VME[[#This Row],[id_padre]],Tabla_VME[Id],Tabla_VME[Nivel],0,0,1)+1)</f>
        <v>2</v>
      </c>
      <c r="D26" s="2" t="s">
        <v>1139</v>
      </c>
      <c r="E26">
        <f>IF(Tabla_VME[[#This Row],[Id_anterior]]=1,ROW()-1,SUM(ROW()-1,Tabla_VME[[#This Row],[Id_anterior]]))</f>
        <v>1323</v>
      </c>
      <c r="F26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VIATICO_MONEDA_EXTRANJERA_PROCESOS_SEGUIMIENTO_INFORME_CUMPLIMIENTO_COMISION</v>
      </c>
      <c r="G26" s="2" t="str">
        <f>CLEAN(PROPER(Tabla_VME[[#This Row],[Nombre Opción]]))</f>
        <v>Seguimiento Informe De Cumplimiento De Comision</v>
      </c>
      <c r="H26" s="2" t="s">
        <v>1735</v>
      </c>
      <c r="I26" s="2" t="str">
        <f>_xlfn.XLOOKUP(Tabla_VME[[#This Row],[id_padre]],Tabla_VME[Id],Tabla_VME[Codigo_Tecnico],"",0,1)</f>
        <v>VIATICO_MONEDA_EXTRANJERA_PROCESOS</v>
      </c>
      <c r="J26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/viatico-moneda-extranjera/procesos/seguimiento-informe-cumplimiento-comision</v>
      </c>
      <c r="K26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seguimiento-informe-cumplimiento-comision</v>
      </c>
      <c r="L26" s="6" t="s">
        <v>1445</v>
      </c>
      <c r="M26" s="2" t="s">
        <v>1802</v>
      </c>
      <c r="N26" s="4" t="s">
        <v>360</v>
      </c>
      <c r="O26" s="4" t="s">
        <v>360</v>
      </c>
      <c r="P26" s="4" t="s">
        <v>360</v>
      </c>
      <c r="Q26" s="4"/>
      <c r="R26" s="4" t="s">
        <v>360</v>
      </c>
      <c r="S26" s="4"/>
      <c r="U26" s="4" t="s">
        <v>360</v>
      </c>
      <c r="V26" s="4" t="s">
        <v>360</v>
      </c>
      <c r="X26" s="4" t="s">
        <v>360</v>
      </c>
      <c r="Y26" s="4" t="s">
        <v>360</v>
      </c>
      <c r="Z26" s="2" t="str">
        <f>IF(Tabla_VME[[#This Row],[id_padre]]=Tabla_VME[[#This Row],[Id]],"NOK","OK")</f>
        <v>OK</v>
      </c>
    </row>
    <row r="27" spans="1:26" hidden="1" x14ac:dyDescent="0.5">
      <c r="A27" s="2">
        <f>MAX(Tabla_Alimentacion[Id])</f>
        <v>1298</v>
      </c>
      <c r="B27">
        <v>1301</v>
      </c>
      <c r="C27" s="5">
        <f>IF(Tabla_VME[[#This Row],[id_padre]]="",0,_xlfn.XLOOKUP(Tabla_VME[[#This Row],[id_padre]],Tabla_VME[Id],Tabla_VME[Nivel],0,0,1)+1)</f>
        <v>2</v>
      </c>
      <c r="D27" s="2" t="s">
        <v>1140</v>
      </c>
      <c r="E27">
        <f>IF(Tabla_VME[[#This Row],[Id_anterior]]=1,ROW()-1,SUM(ROW()-1,Tabla_VME[[#This Row],[Id_anterior]]))</f>
        <v>1324</v>
      </c>
      <c r="F27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VIATICO_MONEDA_EXTRANJERA_PROCESOS_BENEFICIO_COMISION_MAS_30_DIAS</v>
      </c>
      <c r="G27" s="2" t="str">
        <f>CLEAN(PROPER(Tabla_VME[[#This Row],[Nombre Opción]]))</f>
        <v>Beneficio Comision Mas De 30 Dias</v>
      </c>
      <c r="H27" s="2" t="s">
        <v>1735</v>
      </c>
      <c r="I27" s="2" t="str">
        <f>_xlfn.XLOOKUP(Tabla_VME[[#This Row],[id_padre]],Tabla_VME[Id],Tabla_VME[Codigo_Tecnico],"",0,1)</f>
        <v>VIATICO_MONEDA_EXTRANJERA_PROCESOS</v>
      </c>
      <c r="J27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/viatico-moneda-extranjera/procesos/beneficio-comision-mas-30-dias</v>
      </c>
      <c r="K27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beneficio-comision-mas-30-dias</v>
      </c>
      <c r="L27" s="6" t="s">
        <v>1436</v>
      </c>
      <c r="M27" s="2" t="s">
        <v>1802</v>
      </c>
      <c r="N27" s="4" t="s">
        <v>360</v>
      </c>
      <c r="O27" s="4" t="s">
        <v>360</v>
      </c>
      <c r="P27" s="4" t="s">
        <v>360</v>
      </c>
      <c r="Q27" s="4"/>
      <c r="R27" s="4" t="s">
        <v>360</v>
      </c>
      <c r="S27" s="4"/>
      <c r="U27" s="4" t="s">
        <v>360</v>
      </c>
      <c r="V27" s="4" t="s">
        <v>360</v>
      </c>
      <c r="X27" s="4" t="s">
        <v>360</v>
      </c>
      <c r="Y27" s="4" t="s">
        <v>360</v>
      </c>
      <c r="Z27" s="2" t="str">
        <f>IF(Tabla_VME[[#This Row],[id_padre]]=Tabla_VME[[#This Row],[Id]],"NOK","OK")</f>
        <v>OK</v>
      </c>
    </row>
    <row r="28" spans="1:26" hidden="1" x14ac:dyDescent="0.5">
      <c r="A28" s="2">
        <f>MAX(Tabla_Alimentacion[Id])</f>
        <v>1298</v>
      </c>
      <c r="B28">
        <v>1301</v>
      </c>
      <c r="C28" s="5">
        <f>IF(Tabla_VME[[#This Row],[id_padre]]="",0,_xlfn.XLOOKUP(Tabla_VME[[#This Row],[id_padre]],Tabla_VME[Id],Tabla_VME[Nivel],0,0,1)+1)</f>
        <v>2</v>
      </c>
      <c r="D28" s="2" t="s">
        <v>1141</v>
      </c>
      <c r="E28">
        <f>IF(Tabla_VME[[#This Row],[Id_anterior]]=1,ROW()-1,SUM(ROW()-1,Tabla_VME[[#This Row],[Id_anterior]]))</f>
        <v>1325</v>
      </c>
      <c r="F28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VIATICO_MONEDA_EXTRANJERA_PROCESOS_ACTUALIZACION_SOLICITUD_COMISION</v>
      </c>
      <c r="G28" s="2" t="str">
        <f>CLEAN(PROPER(Tabla_VME[[#This Row],[Nombre Opción]]))</f>
        <v>Actualizacion De Solicitud De Comision</v>
      </c>
      <c r="H28" s="2" t="s">
        <v>1735</v>
      </c>
      <c r="I28" s="2" t="str">
        <f>_xlfn.XLOOKUP(Tabla_VME[[#This Row],[id_padre]],Tabla_VME[Id],Tabla_VME[Codigo_Tecnico],"",0,1)</f>
        <v>VIATICO_MONEDA_EXTRANJERA_PROCESOS</v>
      </c>
      <c r="J28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/viatico-moneda-extranjera/procesos/actualizacion-solicitud-comision</v>
      </c>
      <c r="K28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actualizacion-solicitud-comision</v>
      </c>
      <c r="L28" s="6" t="s">
        <v>1420</v>
      </c>
      <c r="M28" s="2" t="s">
        <v>1802</v>
      </c>
      <c r="N28" s="4" t="s">
        <v>360</v>
      </c>
      <c r="O28" s="4"/>
      <c r="P28" s="4"/>
      <c r="Q28" s="4"/>
      <c r="R28" s="4" t="s">
        <v>360</v>
      </c>
      <c r="S28" s="4"/>
      <c r="U28" s="4" t="s">
        <v>360</v>
      </c>
      <c r="V28" s="4" t="s">
        <v>360</v>
      </c>
      <c r="X28" s="4" t="s">
        <v>360</v>
      </c>
      <c r="Y28" s="4" t="s">
        <v>360</v>
      </c>
      <c r="Z28" s="2" t="str">
        <f>IF(Tabla_VME[[#This Row],[id_padre]]=Tabla_VME[[#This Row],[Id]],"NOK","OK")</f>
        <v>OK</v>
      </c>
    </row>
    <row r="29" spans="1:26" hidden="1" x14ac:dyDescent="0.5">
      <c r="A29" s="2">
        <f>MAX(Tabla_Alimentacion[Id])</f>
        <v>1298</v>
      </c>
      <c r="B29">
        <v>1301</v>
      </c>
      <c r="C29" s="5">
        <f>IF(Tabla_VME[[#This Row],[id_padre]]="",0,_xlfn.XLOOKUP(Tabla_VME[[#This Row],[id_padre]],Tabla_VME[Id],Tabla_VME[Nivel],0,0,1)+1)</f>
        <v>2</v>
      </c>
      <c r="D29" s="2" t="s">
        <v>1142</v>
      </c>
      <c r="E29">
        <f>IF(Tabla_VME[[#This Row],[Id_anterior]]=1,ROW()-1,SUM(ROW()-1,Tabla_VME[[#This Row],[Id_anterior]]))</f>
        <v>1326</v>
      </c>
      <c r="F29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VIATICO_MONEDA_EXTRANJERA_PROCESOS_GENERA_ASIENTO_CONTABLE__POR_SOLIC_COMISION</v>
      </c>
      <c r="G29" s="2" t="str">
        <f>CLEAN(PROPER(Tabla_VME[[#This Row],[Nombre Opción]]))</f>
        <v>Genera Asiento Contable  Por Solic. De Comision</v>
      </c>
      <c r="H29" s="2" t="s">
        <v>1735</v>
      </c>
      <c r="I29" s="2" t="str">
        <f>_xlfn.XLOOKUP(Tabla_VME[[#This Row],[id_padre]],Tabla_VME[Id],Tabla_VME[Codigo_Tecnico],"",0,1)</f>
        <v>VIATICO_MONEDA_EXTRANJERA_PROCESOS</v>
      </c>
      <c r="J29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/viatico-moneda-extranjera/procesos/genera-asiento-contable--por-solic-comision</v>
      </c>
      <c r="K29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genera-asiento-contable--por-solic-comision</v>
      </c>
      <c r="L29" s="6" t="s">
        <v>1364</v>
      </c>
      <c r="M29" s="2" t="s">
        <v>1802</v>
      </c>
      <c r="N29" s="4" t="s">
        <v>360</v>
      </c>
      <c r="O29" s="4" t="s">
        <v>360</v>
      </c>
      <c r="P29" s="4" t="s">
        <v>360</v>
      </c>
      <c r="Q29" s="4"/>
      <c r="R29" s="4"/>
      <c r="S29" s="4" t="s">
        <v>360</v>
      </c>
      <c r="Y29" s="4" t="s">
        <v>360</v>
      </c>
      <c r="Z29" s="2" t="str">
        <f>IF(Tabla_VME[[#This Row],[id_padre]]=Tabla_VME[[#This Row],[Id]],"NOK","OK")</f>
        <v>OK</v>
      </c>
    </row>
    <row r="30" spans="1:26" hidden="1" x14ac:dyDescent="0.5">
      <c r="A30" s="2">
        <f>MAX(Tabla_Alimentacion[Id])</f>
        <v>1298</v>
      </c>
      <c r="B30">
        <v>1301</v>
      </c>
      <c r="C30" s="5">
        <f>IF(Tabla_VME[[#This Row],[id_padre]]="",0,_xlfn.XLOOKUP(Tabla_VME[[#This Row],[id_padre]],Tabla_VME[Id],Tabla_VME[Nivel],0,0,1)+1)</f>
        <v>2</v>
      </c>
      <c r="D30" s="2" t="s">
        <v>1143</v>
      </c>
      <c r="E30">
        <f>IF(Tabla_VME[[#This Row],[Id_anterior]]=1,ROW()-1,SUM(ROW()-1,Tabla_VME[[#This Row],[Id_anterior]]))</f>
        <v>1327</v>
      </c>
      <c r="F30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VIATICO_MONEDA_EXTRANJERA_PROCESOS_ANULA_SOLICITUD_COMISION_SIN_ACTUALIZAR</v>
      </c>
      <c r="G30" s="2" t="str">
        <f>CLEAN(PROPER(Tabla_VME[[#This Row],[Nombre Opción]]))</f>
        <v>Anula Solicitud De Comision Sin Actualizar</v>
      </c>
      <c r="H30" s="2" t="s">
        <v>1735</v>
      </c>
      <c r="I30" s="2" t="str">
        <f>_xlfn.XLOOKUP(Tabla_VME[[#This Row],[id_padre]],Tabla_VME[Id],Tabla_VME[Codigo_Tecnico],"",0,1)</f>
        <v>VIATICO_MONEDA_EXTRANJERA_PROCESOS</v>
      </c>
      <c r="J30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/viatico-moneda-extranjera/procesos/anula-solicitud-comision-sin-actualizar</v>
      </c>
      <c r="K30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anula-solicitud-comision-sin-actualizar</v>
      </c>
      <c r="L30" s="6" t="s">
        <v>1346</v>
      </c>
      <c r="M30" s="2" t="s">
        <v>1802</v>
      </c>
      <c r="N30" s="4" t="s">
        <v>360</v>
      </c>
      <c r="O30" s="4"/>
      <c r="P30" s="4"/>
      <c r="Q30" s="4"/>
      <c r="R30" s="4" t="s">
        <v>360</v>
      </c>
      <c r="S30" s="4"/>
      <c r="U30" s="4" t="s">
        <v>360</v>
      </c>
      <c r="V30" s="4" t="s">
        <v>360</v>
      </c>
      <c r="X30" s="4" t="s">
        <v>360</v>
      </c>
      <c r="Y30" s="4" t="s">
        <v>360</v>
      </c>
      <c r="Z30" s="2" t="str">
        <f>IF(Tabla_VME[[#This Row],[id_padre]]=Tabla_VME[[#This Row],[Id]],"NOK","OK")</f>
        <v>OK</v>
      </c>
    </row>
    <row r="31" spans="1:26" hidden="1" x14ac:dyDescent="0.5">
      <c r="A31" s="2">
        <f>MAX(Tabla_Alimentacion[Id])</f>
        <v>1298</v>
      </c>
      <c r="B31">
        <v>1301</v>
      </c>
      <c r="C31" s="5">
        <f>IF(Tabla_VME[[#This Row],[id_padre]]="",0,_xlfn.XLOOKUP(Tabla_VME[[#This Row],[id_padre]],Tabla_VME[Id],Tabla_VME[Nivel],0,0,1)+1)</f>
        <v>2</v>
      </c>
      <c r="D31" s="2" t="s">
        <v>1144</v>
      </c>
      <c r="E31">
        <f>IF(Tabla_VME[[#This Row],[Id_anterior]]=1,ROW()-1,SUM(ROW()-1,Tabla_VME[[#This Row],[Id_anterior]]))</f>
        <v>1328</v>
      </c>
      <c r="F31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VIATICO_MONEDA_EXTRANJERA_PROCESOS_ACTUALIZACION_INFORME_CUMPLIMIENTO_COMISION</v>
      </c>
      <c r="G31" s="2" t="str">
        <f>CLEAN(PROPER(Tabla_VME[[#This Row],[Nombre Opción]]))</f>
        <v>Actualizacion Informe Cumplimiento De Comision</v>
      </c>
      <c r="H31" s="2" t="s">
        <v>1735</v>
      </c>
      <c r="I31" s="2" t="str">
        <f>_xlfn.XLOOKUP(Tabla_VME[[#This Row],[id_padre]],Tabla_VME[Id],Tabla_VME[Codigo_Tecnico],"",0,1)</f>
        <v>VIATICO_MONEDA_EXTRANJERA_PROCESOS</v>
      </c>
      <c r="J31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/viatico-moneda-extranjera/procesos/actualizacion-informe-cumplimiento-comision</v>
      </c>
      <c r="K31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actualizacion-informe-cumplimiento-comision</v>
      </c>
      <c r="L31" s="6" t="s">
        <v>1352</v>
      </c>
      <c r="M31" s="2" t="s">
        <v>1802</v>
      </c>
      <c r="N31" s="4" t="s">
        <v>360</v>
      </c>
      <c r="O31" s="4"/>
      <c r="P31" s="4"/>
      <c r="Q31" s="4"/>
      <c r="R31" s="4" t="s">
        <v>360</v>
      </c>
      <c r="S31" s="4"/>
      <c r="U31" s="4" t="s">
        <v>360</v>
      </c>
      <c r="V31" s="4" t="s">
        <v>360</v>
      </c>
      <c r="X31" s="4" t="s">
        <v>360</v>
      </c>
      <c r="Y31" s="4" t="s">
        <v>360</v>
      </c>
      <c r="Z31" s="2" t="str">
        <f>IF(Tabla_VME[[#This Row],[id_padre]]=Tabla_VME[[#This Row],[Id]],"NOK","OK")</f>
        <v>OK</v>
      </c>
    </row>
    <row r="32" spans="1:26" hidden="1" x14ac:dyDescent="0.5">
      <c r="A32" s="2">
        <f>MAX(Tabla_Alimentacion[Id])</f>
        <v>1298</v>
      </c>
      <c r="B32">
        <v>1301</v>
      </c>
      <c r="C32" s="5">
        <f>IF(Tabla_VME[[#This Row],[id_padre]]="",0,_xlfn.XLOOKUP(Tabla_VME[[#This Row],[id_padre]],Tabla_VME[Id],Tabla_VME[Nivel],0,0,1)+1)</f>
        <v>2</v>
      </c>
      <c r="D32" s="2" t="s">
        <v>1145</v>
      </c>
      <c r="E32">
        <f>IF(Tabla_VME[[#This Row],[Id_anterior]]=1,ROW()-1,SUM(ROW()-1,Tabla_VME[[#This Row],[Id_anterior]]))</f>
        <v>1329</v>
      </c>
      <c r="F32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VIATICO_MONEDA_EXTRANJERA_PROCESOS_ANULACION_INFORME_CUMPLIMIENTO_COMISION</v>
      </c>
      <c r="G32" s="2" t="str">
        <f>CLEAN(PROPER(Tabla_VME[[#This Row],[Nombre Opción]]))</f>
        <v>Anulacion Informe De Cumplimiento De Comision</v>
      </c>
      <c r="H32" s="2" t="s">
        <v>1735</v>
      </c>
      <c r="I32" s="2" t="str">
        <f>_xlfn.XLOOKUP(Tabla_VME[[#This Row],[id_padre]],Tabla_VME[Id],Tabla_VME[Codigo_Tecnico],"",0,1)</f>
        <v>VIATICO_MONEDA_EXTRANJERA_PROCESOS</v>
      </c>
      <c r="J32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/viatico-moneda-extranjera/procesos/anulacion-informe-cumplimiento-comision</v>
      </c>
      <c r="K32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anulacion-informe-cumplimiento-comision</v>
      </c>
      <c r="L32" s="6" t="s">
        <v>1368</v>
      </c>
      <c r="M32" s="2" t="s">
        <v>1802</v>
      </c>
      <c r="N32" s="4" t="s">
        <v>360</v>
      </c>
      <c r="O32" s="4"/>
      <c r="P32" s="4"/>
      <c r="Q32" s="4"/>
      <c r="R32" s="4" t="s">
        <v>360</v>
      </c>
      <c r="S32" s="4"/>
      <c r="U32" s="4" t="s">
        <v>360</v>
      </c>
      <c r="V32" s="4" t="s">
        <v>360</v>
      </c>
      <c r="X32" s="4" t="s">
        <v>360</v>
      </c>
      <c r="Y32" s="4" t="s">
        <v>360</v>
      </c>
      <c r="Z32" s="2" t="str">
        <f>IF(Tabla_VME[[#This Row],[id_padre]]=Tabla_VME[[#This Row],[Id]],"NOK","OK")</f>
        <v>OK</v>
      </c>
    </row>
    <row r="33" spans="1:26" hidden="1" x14ac:dyDescent="0.5">
      <c r="A33" s="2">
        <f>MAX(Tabla_Alimentacion[Id])</f>
        <v>1298</v>
      </c>
      <c r="B33">
        <v>1301</v>
      </c>
      <c r="C33" s="5">
        <f>IF(Tabla_VME[[#This Row],[id_padre]]="",0,_xlfn.XLOOKUP(Tabla_VME[[#This Row],[id_padre]],Tabla_VME[Id],Tabla_VME[Nivel],0,0,1)+1)</f>
        <v>2</v>
      </c>
      <c r="D33" s="2" t="s">
        <v>391</v>
      </c>
      <c r="E33">
        <f>IF(Tabla_VME[[#This Row],[Id_anterior]]=1,ROW()-1,SUM(ROW()-1,Tabla_VME[[#This Row],[Id_anterior]]))</f>
        <v>1330</v>
      </c>
      <c r="F33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VIATICO_MONEDA_EXTRANJERA_PROCESOS_GENERA_ASIENTO_CONTABLE_POR_INF_CUMPLIMIENTO</v>
      </c>
      <c r="G33" s="2" t="str">
        <f>CLEAN(PROPER(Tabla_VME[[#This Row],[Nombre Opción]]))</f>
        <v>Genera Asiento Contable Por Inf. Cumplimiento</v>
      </c>
      <c r="H33" s="2" t="s">
        <v>1735</v>
      </c>
      <c r="I33" s="2" t="str">
        <f>_xlfn.XLOOKUP(Tabla_VME[[#This Row],[id_padre]],Tabla_VME[Id],Tabla_VME[Codigo_Tecnico],"",0,1)</f>
        <v>VIATICO_MONEDA_EXTRANJERA_PROCESOS</v>
      </c>
      <c r="J33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/viatico-moneda-extranjera/procesos/genera-asiento-contable-por-inf-cumplimiento</v>
      </c>
      <c r="K33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genera-asiento-contable-por-inf-cumplimiento</v>
      </c>
      <c r="L33" s="6" t="s">
        <v>1349</v>
      </c>
      <c r="M33" s="2" t="s">
        <v>1802</v>
      </c>
      <c r="N33" s="4" t="s">
        <v>360</v>
      </c>
      <c r="O33" s="4" t="s">
        <v>360</v>
      </c>
      <c r="P33" s="4"/>
      <c r="Q33" s="4"/>
      <c r="R33" s="4" t="s">
        <v>360</v>
      </c>
      <c r="S33" s="4" t="s">
        <v>360</v>
      </c>
      <c r="U33" s="4" t="s">
        <v>360</v>
      </c>
      <c r="V33" s="4" t="s">
        <v>360</v>
      </c>
      <c r="Y33" s="4" t="s">
        <v>360</v>
      </c>
      <c r="Z33" s="2" t="str">
        <f>IF(Tabla_VME[[#This Row],[id_padre]]=Tabla_VME[[#This Row],[Id]],"NOK","OK")</f>
        <v>OK</v>
      </c>
    </row>
    <row r="34" spans="1:26" hidden="1" x14ac:dyDescent="0.5">
      <c r="A34" s="2">
        <f>MAX(Tabla_Alimentacion[Id])</f>
        <v>1298</v>
      </c>
      <c r="B34">
        <v>1301</v>
      </c>
      <c r="C34" s="5">
        <f>IF(Tabla_VME[[#This Row],[id_padre]]="",0,_xlfn.XLOOKUP(Tabla_VME[[#This Row],[id_padre]],Tabla_VME[Id],Tabla_VME[Nivel],0,0,1)+1)</f>
        <v>2</v>
      </c>
      <c r="D34" s="2" t="s">
        <v>1146</v>
      </c>
      <c r="E34">
        <f>IF(Tabla_VME[[#This Row],[Id_anterior]]=1,ROW()-1,SUM(ROW()-1,Tabla_VME[[#This Row],[Id_anterior]]))</f>
        <v>1331</v>
      </c>
      <c r="F34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VIATICO_MONEDA_EXTRANJERA_PROCESOS_INFORMACION_ADMINISTRATIVA</v>
      </c>
      <c r="G34" s="2" t="str">
        <f>CLEAN(PROPER(Tabla_VME[[#This Row],[Nombre Opción]]))</f>
        <v>Informacion Administrativa</v>
      </c>
      <c r="H34" s="2" t="s">
        <v>1735</v>
      </c>
      <c r="I34" s="2" t="str">
        <f>_xlfn.XLOOKUP(Tabla_VME[[#This Row],[id_padre]],Tabla_VME[Id],Tabla_VME[Codigo_Tecnico],"",0,1)</f>
        <v>VIATICO_MONEDA_EXTRANJERA_PROCESOS</v>
      </c>
      <c r="J34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/viatico-moneda-extranjera/procesos/informacion-administrativa</v>
      </c>
      <c r="K34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informacion-administrativa</v>
      </c>
      <c r="L34" s="6" t="s">
        <v>1450</v>
      </c>
      <c r="M34" s="2" t="s">
        <v>1802</v>
      </c>
      <c r="N34" s="4" t="s">
        <v>360</v>
      </c>
      <c r="O34" s="4"/>
      <c r="P34" s="4"/>
      <c r="Q34" s="4"/>
      <c r="R34" s="4" t="s">
        <v>360</v>
      </c>
      <c r="S34" s="4"/>
      <c r="U34" s="4" t="s">
        <v>360</v>
      </c>
      <c r="V34" s="4" t="s">
        <v>360</v>
      </c>
      <c r="W34" s="4" t="s">
        <v>360</v>
      </c>
      <c r="X34" s="4" t="s">
        <v>360</v>
      </c>
      <c r="Y34" s="4" t="s">
        <v>360</v>
      </c>
      <c r="Z34" s="2" t="str">
        <f>IF(Tabla_VME[[#This Row],[id_padre]]=Tabla_VME[[#This Row],[Id]],"NOK","OK")</f>
        <v>OK</v>
      </c>
    </row>
    <row r="35" spans="1:26" hidden="1" x14ac:dyDescent="0.5">
      <c r="A35" s="2">
        <f>MAX(Tabla_Alimentacion[Id])</f>
        <v>1298</v>
      </c>
      <c r="B35">
        <v>1301</v>
      </c>
      <c r="C35" s="5">
        <f>IF(Tabla_VME[[#This Row],[id_padre]]="",0,_xlfn.XLOOKUP(Tabla_VME[[#This Row],[id_padre]],Tabla_VME[Id],Tabla_VME[Nivel],0,0,1)+1)</f>
        <v>2</v>
      </c>
      <c r="D35" s="2" t="s">
        <v>1147</v>
      </c>
      <c r="E35">
        <f>IF(Tabla_VME[[#This Row],[Id_anterior]]=1,ROW()-1,SUM(ROW()-1,Tabla_VME[[#This Row],[Id_anterior]]))</f>
        <v>1332</v>
      </c>
      <c r="F35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VIATICO_MONEDA_EXTRANJERA_PROCESOS_CERTIFICADO_FONDOS_BENEFICIO_MAS_30_DIAS</v>
      </c>
      <c r="G35" s="2" t="str">
        <f>CLEAN(PROPER(Tabla_VME[[#This Row],[Nombre Opción]]))</f>
        <v>Certificado De Fondos Beneficio Mas De 30 Dias</v>
      </c>
      <c r="H35" s="2" t="s">
        <v>1735</v>
      </c>
      <c r="I35" s="2" t="str">
        <f>_xlfn.XLOOKUP(Tabla_VME[[#This Row],[id_padre]],Tabla_VME[Id],Tabla_VME[Codigo_Tecnico],"",0,1)</f>
        <v>VIATICO_MONEDA_EXTRANJERA_PROCESOS</v>
      </c>
      <c r="J35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/viatico-moneda-extranjera/procesos/certificado-fondos-beneficio-mas-30-dias</v>
      </c>
      <c r="K35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certificado-fondos-beneficio-mas-30-dias</v>
      </c>
      <c r="L35" s="6" t="s">
        <v>1357</v>
      </c>
      <c r="M35" s="2" t="s">
        <v>1802</v>
      </c>
      <c r="N35" s="4" t="s">
        <v>360</v>
      </c>
      <c r="O35" s="4" t="s">
        <v>360</v>
      </c>
      <c r="P35" s="4" t="s">
        <v>360</v>
      </c>
      <c r="Q35" s="4" t="s">
        <v>360</v>
      </c>
      <c r="R35" s="4" t="s">
        <v>360</v>
      </c>
      <c r="S35" s="4" t="s">
        <v>360</v>
      </c>
      <c r="U35" s="4" t="s">
        <v>360</v>
      </c>
      <c r="V35" s="4" t="s">
        <v>360</v>
      </c>
      <c r="X35" s="4" t="s">
        <v>360</v>
      </c>
      <c r="Y35" s="4" t="s">
        <v>360</v>
      </c>
      <c r="Z35" s="2" t="str">
        <f>IF(Tabla_VME[[#This Row],[id_padre]]=Tabla_VME[[#This Row],[Id]],"NOK","OK")</f>
        <v>OK</v>
      </c>
    </row>
    <row r="36" spans="1:26" hidden="1" x14ac:dyDescent="0.5">
      <c r="A36" s="2">
        <f>MAX(Tabla_Alimentacion[Id])</f>
        <v>1298</v>
      </c>
      <c r="B36">
        <v>1302</v>
      </c>
      <c r="C36" s="5">
        <f>IF(Tabla_VME[[#This Row],[id_padre]]="",0,_xlfn.XLOOKUP(Tabla_VME[[#This Row],[id_padre]],Tabla_VME[Id],Tabla_VME[Nivel],0,0,1)+1)</f>
        <v>2</v>
      </c>
      <c r="D36" s="2" t="s">
        <v>1148</v>
      </c>
      <c r="E36">
        <f>IF(Tabla_VME[[#This Row],[Id_anterior]]=1,ROW()-1,SUM(ROW()-1,Tabla_VME[[#This Row],[Id_anterior]]))</f>
        <v>1333</v>
      </c>
      <c r="F36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VIATICO_MONEDA_EXTRANJERA_CONSULTAS_SIMULACION_SOLICITUD_COMISION</v>
      </c>
      <c r="G36" s="2" t="str">
        <f>CLEAN(PROPER(Tabla_VME[[#This Row],[Nombre Opción]]))</f>
        <v>Simulación De Solicitud De Comisión</v>
      </c>
      <c r="H36" s="2" t="s">
        <v>1735</v>
      </c>
      <c r="I36" s="2" t="str">
        <f>_xlfn.XLOOKUP(Tabla_VME[[#This Row],[id_padre]],Tabla_VME[Id],Tabla_VME[Codigo_Tecnico],"",0,1)</f>
        <v>VIATICO_MONEDA_EXTRANJERA_CONSULTAS</v>
      </c>
      <c r="J36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/viatico-moneda-extranjera/consultas/simulacion-solicitud-comision</v>
      </c>
      <c r="K36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simulacion-solicitud-comision</v>
      </c>
      <c r="L36" s="6" t="s">
        <v>1350</v>
      </c>
      <c r="M36" s="2" t="s">
        <v>1802</v>
      </c>
      <c r="N36" s="4" t="s">
        <v>360</v>
      </c>
      <c r="O36" s="4" t="s">
        <v>360</v>
      </c>
      <c r="P36" s="4" t="s">
        <v>360</v>
      </c>
      <c r="Q36" s="4" t="s">
        <v>360</v>
      </c>
      <c r="R36" s="4" t="s">
        <v>360</v>
      </c>
      <c r="S36" s="4" t="s">
        <v>360</v>
      </c>
      <c r="T36" s="4" t="s">
        <v>360</v>
      </c>
      <c r="U36" s="4" t="s">
        <v>360</v>
      </c>
      <c r="V36" s="4" t="s">
        <v>360</v>
      </c>
      <c r="W36" s="4" t="s">
        <v>360</v>
      </c>
      <c r="X36" s="4" t="s">
        <v>360</v>
      </c>
      <c r="Y36" s="4" t="s">
        <v>360</v>
      </c>
      <c r="Z36" s="2" t="str">
        <f>IF(Tabla_VME[[#This Row],[id_padre]]=Tabla_VME[[#This Row],[Id]],"NOK","OK")</f>
        <v>OK</v>
      </c>
    </row>
    <row r="37" spans="1:26" hidden="1" x14ac:dyDescent="0.5">
      <c r="A37" s="2">
        <f>MAX(Tabla_Alimentacion[Id])</f>
        <v>1298</v>
      </c>
      <c r="B37">
        <v>1302</v>
      </c>
      <c r="C37" s="5">
        <f>IF(Tabla_VME[[#This Row],[id_padre]]="",0,_xlfn.XLOOKUP(Tabla_VME[[#This Row],[id_padre]],Tabla_VME[Id],Tabla_VME[Nivel],0,0,1)+1)</f>
        <v>2</v>
      </c>
      <c r="D37" s="2" t="s">
        <v>1149</v>
      </c>
      <c r="E37">
        <f>IF(Tabla_VME[[#This Row],[Id_anterior]]=1,ROW()-1,SUM(ROW()-1,Tabla_VME[[#This Row],[Id_anterior]]))</f>
        <v>1334</v>
      </c>
      <c r="F37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VIATICO_MONEDA_EXTRANJERA_CONSULTAS_SOLICITUD_COMISION</v>
      </c>
      <c r="G37" s="2" t="str">
        <f>CLEAN(PROPER(Tabla_VME[[#This Row],[Nombre Opción]]))</f>
        <v>Solicitud De Comision</v>
      </c>
      <c r="H37" s="2" t="s">
        <v>1735</v>
      </c>
      <c r="I37" s="2" t="str">
        <f>_xlfn.XLOOKUP(Tabla_VME[[#This Row],[id_padre]],Tabla_VME[Id],Tabla_VME[Codigo_Tecnico],"",0,1)</f>
        <v>VIATICO_MONEDA_EXTRANJERA_CONSULTAS</v>
      </c>
      <c r="J37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/viatico-moneda-extranjera/consultas/solicitud-comision</v>
      </c>
      <c r="K37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solicitud-comision</v>
      </c>
      <c r="L37" s="6" t="s">
        <v>1505</v>
      </c>
      <c r="M37" s="2" t="s">
        <v>1802</v>
      </c>
      <c r="N37" s="4" t="s">
        <v>360</v>
      </c>
      <c r="O37" s="4" t="s">
        <v>360</v>
      </c>
      <c r="P37" s="4" t="s">
        <v>360</v>
      </c>
      <c r="Q37" s="4" t="s">
        <v>360</v>
      </c>
      <c r="R37" s="4" t="s">
        <v>360</v>
      </c>
      <c r="S37" s="4" t="s">
        <v>360</v>
      </c>
      <c r="T37" s="4" t="s">
        <v>360</v>
      </c>
      <c r="U37" s="4" t="s">
        <v>360</v>
      </c>
      <c r="V37" s="4" t="s">
        <v>360</v>
      </c>
      <c r="W37" s="4" t="s">
        <v>360</v>
      </c>
      <c r="X37" s="4" t="s">
        <v>360</v>
      </c>
      <c r="Y37" s="4" t="s">
        <v>360</v>
      </c>
      <c r="Z37" s="2" t="str">
        <f>IF(Tabla_VME[[#This Row],[id_padre]]=Tabla_VME[[#This Row],[Id]],"NOK","OK")</f>
        <v>OK</v>
      </c>
    </row>
    <row r="38" spans="1:26" hidden="1" x14ac:dyDescent="0.5">
      <c r="A38" s="2">
        <f>MAX(Tabla_Alimentacion[Id])</f>
        <v>1298</v>
      </c>
      <c r="B38">
        <v>1302</v>
      </c>
      <c r="C38" s="5">
        <f>IF(Tabla_VME[[#This Row],[id_padre]]="",0,_xlfn.XLOOKUP(Tabla_VME[[#This Row],[id_padre]],Tabla_VME[Id],Tabla_VME[Nivel],0,0,1)+1)</f>
        <v>2</v>
      </c>
      <c r="D38" s="2" t="s">
        <v>1150</v>
      </c>
      <c r="E38">
        <f>IF(Tabla_VME[[#This Row],[Id_anterior]]=1,ROW()-1,SUM(ROW()-1,Tabla_VME[[#This Row],[Id_anterior]]))</f>
        <v>1335</v>
      </c>
      <c r="F38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VIATICO_MONEDA_EXTRANJERA_CONSULTAS_INFORME_CUMPLIMIENTO_COMISION</v>
      </c>
      <c r="G38" s="2" t="str">
        <f>CLEAN(PROPER(Tabla_VME[[#This Row],[Nombre Opción]]))</f>
        <v>Informe De Cumplimiento De Comision</v>
      </c>
      <c r="H38" s="2" t="s">
        <v>1735</v>
      </c>
      <c r="I38" s="2" t="str">
        <f>_xlfn.XLOOKUP(Tabla_VME[[#This Row],[id_padre]],Tabla_VME[Id],Tabla_VME[Codigo_Tecnico],"",0,1)</f>
        <v>VIATICO_MONEDA_EXTRANJERA_CONSULTAS</v>
      </c>
      <c r="J38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/viatico-moneda-extranjera/consultas/informe-cumplimiento-comision</v>
      </c>
      <c r="K38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informe-cumplimiento-comision</v>
      </c>
      <c r="L38" s="6" t="s">
        <v>1519</v>
      </c>
      <c r="M38" s="2" t="s">
        <v>1802</v>
      </c>
      <c r="N38" s="4" t="s">
        <v>360</v>
      </c>
      <c r="O38" s="4" t="s">
        <v>360</v>
      </c>
      <c r="P38" s="4" t="s">
        <v>360</v>
      </c>
      <c r="Q38" s="4" t="s">
        <v>360</v>
      </c>
      <c r="R38" s="4" t="s">
        <v>360</v>
      </c>
      <c r="S38" s="4" t="s">
        <v>360</v>
      </c>
      <c r="T38" s="4" t="s">
        <v>360</v>
      </c>
      <c r="U38" s="4" t="s">
        <v>360</v>
      </c>
      <c r="V38" s="4" t="s">
        <v>360</v>
      </c>
      <c r="W38" s="4" t="s">
        <v>360</v>
      </c>
      <c r="X38" s="4" t="s">
        <v>360</v>
      </c>
      <c r="Y38" s="4" t="s">
        <v>360</v>
      </c>
      <c r="Z38" s="2" t="str">
        <f>IF(Tabla_VME[[#This Row],[id_padre]]=Tabla_VME[[#This Row],[Id]],"NOK","OK")</f>
        <v>OK</v>
      </c>
    </row>
    <row r="39" spans="1:26" hidden="1" x14ac:dyDescent="0.5">
      <c r="A39" s="2">
        <f>MAX(Tabla_Alimentacion[Id])</f>
        <v>1298</v>
      </c>
      <c r="B39">
        <v>1302</v>
      </c>
      <c r="C39" s="5">
        <f>IF(Tabla_VME[[#This Row],[id_padre]]="",0,_xlfn.XLOOKUP(Tabla_VME[[#This Row],[id_padre]],Tabla_VME[Id],Tabla_VME[Nivel],0,0,1)+1)</f>
        <v>2</v>
      </c>
      <c r="D39" s="2" t="s">
        <v>1151</v>
      </c>
      <c r="E39">
        <f>IF(Tabla_VME[[#This Row],[Id_anterior]]=1,ROW()-1,SUM(ROW()-1,Tabla_VME[[#This Row],[Id_anterior]]))</f>
        <v>1336</v>
      </c>
      <c r="F39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VIATICO_MONEDA_EXTRANJERA_CONSULTAS_SITUACION_SOLICITUD_COMISION</v>
      </c>
      <c r="G39" s="2" t="str">
        <f>CLEAN(PROPER(Tabla_VME[[#This Row],[Nombre Opción]]))</f>
        <v>Situacion De Solicitud De Comision</v>
      </c>
      <c r="H39" s="2" t="s">
        <v>1735</v>
      </c>
      <c r="I39" s="2" t="str">
        <f>_xlfn.XLOOKUP(Tabla_VME[[#This Row],[id_padre]],Tabla_VME[Id],Tabla_VME[Codigo_Tecnico],"",0,1)</f>
        <v>VIATICO_MONEDA_EXTRANJERA_CONSULTAS</v>
      </c>
      <c r="J39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/viatico-moneda-extranjera/consultas/situacion-solicitud-comision</v>
      </c>
      <c r="K39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situacion-solicitud-comision</v>
      </c>
      <c r="L39" s="6" t="s">
        <v>1333</v>
      </c>
      <c r="M39" s="2" t="s">
        <v>1802</v>
      </c>
      <c r="N39" s="4" t="s">
        <v>360</v>
      </c>
      <c r="O39" s="4" t="s">
        <v>360</v>
      </c>
      <c r="P39" s="4" t="s">
        <v>360</v>
      </c>
      <c r="Q39" s="4" t="s">
        <v>360</v>
      </c>
      <c r="R39" s="4" t="s">
        <v>360</v>
      </c>
      <c r="S39" s="4" t="s">
        <v>360</v>
      </c>
      <c r="T39" s="4" t="s">
        <v>360</v>
      </c>
      <c r="U39" s="4" t="s">
        <v>360</v>
      </c>
      <c r="V39" s="4" t="s">
        <v>360</v>
      </c>
      <c r="W39" s="4" t="s">
        <v>360</v>
      </c>
      <c r="X39" s="4" t="s">
        <v>360</v>
      </c>
      <c r="Y39" s="4" t="s">
        <v>360</v>
      </c>
      <c r="Z39" s="2" t="str">
        <f>IF(Tabla_VME[[#This Row],[id_padre]]=Tabla_VME[[#This Row],[Id]],"NOK","OK")</f>
        <v>OK</v>
      </c>
    </row>
    <row r="40" spans="1:26" hidden="1" x14ac:dyDescent="0.5">
      <c r="A40" s="2">
        <f>MAX(Tabla_Alimentacion[Id])</f>
        <v>1298</v>
      </c>
      <c r="B40">
        <v>1302</v>
      </c>
      <c r="C40" s="5">
        <f>IF(Tabla_VME[[#This Row],[id_padre]]="",0,_xlfn.XLOOKUP(Tabla_VME[[#This Row],[id_padre]],Tabla_VME[Id],Tabla_VME[Nivel],0,0,1)+1)</f>
        <v>2</v>
      </c>
      <c r="D40" s="2" t="s">
        <v>1152</v>
      </c>
      <c r="E40">
        <f>IF(Tabla_VME[[#This Row],[Id_anterior]]=1,ROW()-1,SUM(ROW()-1,Tabla_VME[[#This Row],[Id_anterior]]))</f>
        <v>1337</v>
      </c>
      <c r="F40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VIATICO_MONEDA_EXTRANJERA_CONSULTAS_SOLICITUDES_COMCON_INFORME_CUMP_POR_UNI</v>
      </c>
      <c r="G40" s="2" t="str">
        <f>CLEAN(PROPER(Tabla_VME[[#This Row],[Nombre Opción]]))</f>
        <v>Solicitudes De Com.Con Informe Cump. Por Uni.</v>
      </c>
      <c r="H40" s="2" t="s">
        <v>1735</v>
      </c>
      <c r="I40" s="2" t="str">
        <f>_xlfn.XLOOKUP(Tabla_VME[[#This Row],[id_padre]],Tabla_VME[Id],Tabla_VME[Codigo_Tecnico],"",0,1)</f>
        <v>VIATICO_MONEDA_EXTRANJERA_CONSULTAS</v>
      </c>
      <c r="J40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/viatico-moneda-extranjera/consultas/solicitudes-comcon-informe-cump-por-uni</v>
      </c>
      <c r="K40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solicitudes-comcon-informe-cump-por-uni</v>
      </c>
      <c r="L40" s="6" t="s">
        <v>1341</v>
      </c>
      <c r="M40" s="2" t="s">
        <v>1802</v>
      </c>
      <c r="N40" s="4" t="s">
        <v>360</v>
      </c>
      <c r="O40" s="4" t="s">
        <v>360</v>
      </c>
      <c r="P40" s="4" t="s">
        <v>360</v>
      </c>
      <c r="Q40" s="4" t="s">
        <v>360</v>
      </c>
      <c r="R40" s="4" t="s">
        <v>360</v>
      </c>
      <c r="S40" s="4" t="s">
        <v>360</v>
      </c>
      <c r="T40" s="4" t="s">
        <v>360</v>
      </c>
      <c r="U40" s="4" t="s">
        <v>360</v>
      </c>
      <c r="V40" s="4" t="s">
        <v>360</v>
      </c>
      <c r="W40" s="4" t="s">
        <v>360</v>
      </c>
      <c r="X40" s="4" t="s">
        <v>360</v>
      </c>
      <c r="Y40" s="4" t="s">
        <v>360</v>
      </c>
      <c r="Z40" s="2" t="str">
        <f>IF(Tabla_VME[[#This Row],[id_padre]]=Tabla_VME[[#This Row],[Id]],"NOK","OK")</f>
        <v>OK</v>
      </c>
    </row>
    <row r="41" spans="1:26" hidden="1" x14ac:dyDescent="0.5">
      <c r="A41" s="2">
        <f>MAX(Tabla_Alimentacion[Id])</f>
        <v>1298</v>
      </c>
      <c r="B41">
        <v>1302</v>
      </c>
      <c r="C41" s="5">
        <f>IF(Tabla_VME[[#This Row],[id_padre]]="",0,_xlfn.XLOOKUP(Tabla_VME[[#This Row],[id_padre]],Tabla_VME[Id],Tabla_VME[Nivel],0,0,1)+1)</f>
        <v>2</v>
      </c>
      <c r="D41" s="2" t="s">
        <v>1153</v>
      </c>
      <c r="E41">
        <f>IF(Tabla_VME[[#This Row],[Id_anterior]]=1,ROW()-1,SUM(ROW()-1,Tabla_VME[[#This Row],[Id_anterior]]))</f>
        <v>1338</v>
      </c>
      <c r="F41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VIATICO_MONEDA_EXTRANJERA_CONSULTAS_SOLICITUDES_COMCON_INFORME_CUMP_POR_UNIINT</v>
      </c>
      <c r="G41" s="2" t="str">
        <f>CLEAN(PROPER(Tabla_VME[[#This Row],[Nombre Opción]]))</f>
        <v>Solicitudes De Com.Con Informe Cump. Por Uni.Int.</v>
      </c>
      <c r="H41" s="2" t="s">
        <v>1735</v>
      </c>
      <c r="I41" s="2" t="str">
        <f>_xlfn.XLOOKUP(Tabla_VME[[#This Row],[id_padre]],Tabla_VME[Id],Tabla_VME[Codigo_Tecnico],"",0,1)</f>
        <v>VIATICO_MONEDA_EXTRANJERA_CONSULTAS</v>
      </c>
      <c r="J41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/viatico-moneda-extranjera/consultas/solicitudes-comcon-informe-cump-por-uniint</v>
      </c>
      <c r="K41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solicitudes-comcon-informe-cump-por-uniint</v>
      </c>
      <c r="L41" s="6" t="s">
        <v>1389</v>
      </c>
      <c r="M41" s="2" t="s">
        <v>1802</v>
      </c>
      <c r="N41" s="4" t="s">
        <v>360</v>
      </c>
      <c r="O41" s="4" t="s">
        <v>360</v>
      </c>
      <c r="P41" s="4" t="s">
        <v>360</v>
      </c>
      <c r="Q41" s="4" t="s">
        <v>360</v>
      </c>
      <c r="R41" s="4" t="s">
        <v>360</v>
      </c>
      <c r="S41" s="4" t="s">
        <v>360</v>
      </c>
      <c r="T41" s="4" t="s">
        <v>360</v>
      </c>
      <c r="U41" s="4" t="s">
        <v>360</v>
      </c>
      <c r="V41" s="4" t="s">
        <v>360</v>
      </c>
      <c r="W41" s="4" t="s">
        <v>360</v>
      </c>
      <c r="X41" s="4" t="s">
        <v>360</v>
      </c>
      <c r="Y41" s="4" t="s">
        <v>360</v>
      </c>
      <c r="Z41" s="2" t="str">
        <f>IF(Tabla_VME[[#This Row],[id_padre]]=Tabla_VME[[#This Row],[Id]],"NOK","OK")</f>
        <v>OK</v>
      </c>
    </row>
    <row r="42" spans="1:26" hidden="1" x14ac:dyDescent="0.5">
      <c r="A42" s="2">
        <f>MAX(Tabla_Alimentacion[Id])</f>
        <v>1298</v>
      </c>
      <c r="B42">
        <v>1302</v>
      </c>
      <c r="C42" s="5">
        <f>IF(Tabla_VME[[#This Row],[id_padre]]="",0,_xlfn.XLOOKUP(Tabla_VME[[#This Row],[id_padre]],Tabla_VME[Id],Tabla_VME[Nivel],0,0,1)+1)</f>
        <v>2</v>
      </c>
      <c r="D42" s="2" t="s">
        <v>1154</v>
      </c>
      <c r="E42">
        <f>IF(Tabla_VME[[#This Row],[Id_anterior]]=1,ROW()-1,SUM(ROW()-1,Tabla_VME[[#This Row],[Id_anterior]]))</f>
        <v>1339</v>
      </c>
      <c r="F42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VIATICO_MONEDA_EXTRANJERA_CONSULTAS_SITUACION_INFORMES_CUMPLIMIENTO_COMISION</v>
      </c>
      <c r="G42" s="2" t="str">
        <f>CLEAN(PROPER(Tabla_VME[[#This Row],[Nombre Opción]]))</f>
        <v>Situacion De Informes De Cumplimiento De Comision</v>
      </c>
      <c r="H42" s="2" t="s">
        <v>1735</v>
      </c>
      <c r="I42" s="2" t="str">
        <f>_xlfn.XLOOKUP(Tabla_VME[[#This Row],[id_padre]],Tabla_VME[Id],Tabla_VME[Codigo_Tecnico],"",0,1)</f>
        <v>VIATICO_MONEDA_EXTRANJERA_CONSULTAS</v>
      </c>
      <c r="J42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/viatico-moneda-extranjera/consultas/situacion-informes-cumplimiento-comision</v>
      </c>
      <c r="K42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situacion-informes-cumplimiento-comision</v>
      </c>
      <c r="L42" s="6" t="s">
        <v>1424</v>
      </c>
      <c r="M42" s="2" t="s">
        <v>1802</v>
      </c>
      <c r="N42" s="4" t="s">
        <v>360</v>
      </c>
      <c r="O42" s="4" t="s">
        <v>360</v>
      </c>
      <c r="P42" s="4" t="s">
        <v>360</v>
      </c>
      <c r="Q42" s="4" t="s">
        <v>360</v>
      </c>
      <c r="R42" s="4" t="s">
        <v>360</v>
      </c>
      <c r="S42" s="4" t="s">
        <v>360</v>
      </c>
      <c r="T42" s="4" t="s">
        <v>360</v>
      </c>
      <c r="U42" s="4" t="s">
        <v>360</v>
      </c>
      <c r="V42" s="4" t="s">
        <v>360</v>
      </c>
      <c r="W42" s="4" t="s">
        <v>360</v>
      </c>
      <c r="X42" s="4" t="s">
        <v>360</v>
      </c>
      <c r="Y42" s="4" t="s">
        <v>360</v>
      </c>
      <c r="Z42" s="2" t="str">
        <f>IF(Tabla_VME[[#This Row],[id_padre]]=Tabla_VME[[#This Row],[Id]],"NOK","OK")</f>
        <v>OK</v>
      </c>
    </row>
    <row r="43" spans="1:26" hidden="1" x14ac:dyDescent="0.5">
      <c r="A43" s="2">
        <f>MAX(Tabla_Alimentacion[Id])</f>
        <v>1298</v>
      </c>
      <c r="B43">
        <v>1302</v>
      </c>
      <c r="C43" s="5">
        <f>IF(Tabla_VME[[#This Row],[id_padre]]="",0,_xlfn.XLOOKUP(Tabla_VME[[#This Row],[id_padre]],Tabla_VME[Id],Tabla_VME[Nivel],0,0,1)+1)</f>
        <v>2</v>
      </c>
      <c r="D43" s="2" t="s">
        <v>1155</v>
      </c>
      <c r="E43">
        <f>IF(Tabla_VME[[#This Row],[Id_anterior]]=1,ROW()-1,SUM(ROW()-1,Tabla_VME[[#This Row],[Id_anterior]]))</f>
        <v>1340</v>
      </c>
      <c r="F43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VIATICO_MONEDA_EXTRANJERA_CONSULTAS_TRAZABILIDAD_SOLICITUDES_POR_UNIDAD</v>
      </c>
      <c r="G43" s="2" t="str">
        <f>CLEAN(PROPER(Tabla_VME[[#This Row],[Nombre Opción]]))</f>
        <v>Trazabilidad De Solicitudes Por Unidad</v>
      </c>
      <c r="H43" s="2" t="s">
        <v>1735</v>
      </c>
      <c r="I43" s="2" t="str">
        <f>_xlfn.XLOOKUP(Tabla_VME[[#This Row],[id_padre]],Tabla_VME[Id],Tabla_VME[Codigo_Tecnico],"",0,1)</f>
        <v>VIATICO_MONEDA_EXTRANJERA_CONSULTAS</v>
      </c>
      <c r="J43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/viatico-moneda-extranjera/consultas/trazabilidad-solicitudes-por-unidad</v>
      </c>
      <c r="K43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trazabilidad-solicitudes-por-unidad</v>
      </c>
      <c r="L43" s="6" t="s">
        <v>1370</v>
      </c>
      <c r="M43" s="2" t="s">
        <v>1802</v>
      </c>
      <c r="N43" s="4" t="s">
        <v>360</v>
      </c>
      <c r="O43" s="4" t="s">
        <v>360</v>
      </c>
      <c r="P43" s="4" t="s">
        <v>360</v>
      </c>
      <c r="Q43" s="4" t="s">
        <v>360</v>
      </c>
      <c r="R43" s="4" t="s">
        <v>360</v>
      </c>
      <c r="S43" s="4" t="s">
        <v>360</v>
      </c>
      <c r="T43" s="4" t="s">
        <v>360</v>
      </c>
      <c r="U43" s="4" t="s">
        <v>360</v>
      </c>
      <c r="V43" s="4" t="s">
        <v>360</v>
      </c>
      <c r="W43" s="4" t="s">
        <v>360</v>
      </c>
      <c r="X43" s="4" t="s">
        <v>360</v>
      </c>
      <c r="Y43" s="4" t="s">
        <v>360</v>
      </c>
      <c r="Z43" s="2" t="str">
        <f>IF(Tabla_VME[[#This Row],[id_padre]]=Tabla_VME[[#This Row],[Id]],"NOK","OK")</f>
        <v>OK</v>
      </c>
    </row>
    <row r="44" spans="1:26" hidden="1" x14ac:dyDescent="0.5">
      <c r="A44" s="2">
        <f>MAX(Tabla_Alimentacion[Id])</f>
        <v>1298</v>
      </c>
      <c r="B44">
        <v>1302</v>
      </c>
      <c r="C44" s="5">
        <f>IF(Tabla_VME[[#This Row],[id_padre]]="",0,_xlfn.XLOOKUP(Tabla_VME[[#This Row],[id_padre]],Tabla_VME[Id],Tabla_VME[Nivel],0,0,1)+1)</f>
        <v>2</v>
      </c>
      <c r="D44" s="2" t="s">
        <v>1156</v>
      </c>
      <c r="E44">
        <f>IF(Tabla_VME[[#This Row],[Id_anterior]]=1,ROW()-1,SUM(ROW()-1,Tabla_VME[[#This Row],[Id_anterior]]))</f>
        <v>1341</v>
      </c>
      <c r="F44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VIATICO_MONEDA_EXTRANJERA_CONSULTAS_TRAZABILIDAD_SOLICITUDES_POR_UNIDAD_INTERNA</v>
      </c>
      <c r="G44" s="2" t="str">
        <f>CLEAN(PROPER(Tabla_VME[[#This Row],[Nombre Opción]]))</f>
        <v>Trazabilidad De Solicitudes Por Unidad Interna</v>
      </c>
      <c r="H44" s="2" t="s">
        <v>1735</v>
      </c>
      <c r="I44" s="2" t="str">
        <f>_xlfn.XLOOKUP(Tabla_VME[[#This Row],[id_padre]],Tabla_VME[Id],Tabla_VME[Codigo_Tecnico],"",0,1)</f>
        <v>VIATICO_MONEDA_EXTRANJERA_CONSULTAS</v>
      </c>
      <c r="J44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/viatico-moneda-extranjera/consultas/trazabilidad-solicitudes-por-unidad-interna</v>
      </c>
      <c r="K44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trazabilidad-solicitudes-por-unidad-interna</v>
      </c>
      <c r="L44" s="6" t="s">
        <v>1645</v>
      </c>
      <c r="M44" s="2" t="s">
        <v>1802</v>
      </c>
      <c r="N44" s="4" t="s">
        <v>360</v>
      </c>
      <c r="O44" s="4" t="s">
        <v>360</v>
      </c>
      <c r="P44" s="4" t="s">
        <v>360</v>
      </c>
      <c r="Q44" s="4" t="s">
        <v>360</v>
      </c>
      <c r="R44" s="4" t="s">
        <v>360</v>
      </c>
      <c r="S44" s="4" t="s">
        <v>360</v>
      </c>
      <c r="T44" s="4" t="s">
        <v>360</v>
      </c>
      <c r="U44" s="4" t="s">
        <v>360</v>
      </c>
      <c r="V44" s="4" t="s">
        <v>360</v>
      </c>
      <c r="W44" s="4" t="s">
        <v>360</v>
      </c>
      <c r="X44" s="4" t="s">
        <v>360</v>
      </c>
      <c r="Y44" s="4" t="s">
        <v>360</v>
      </c>
      <c r="Z44" s="2" t="str">
        <f>IF(Tabla_VME[[#This Row],[id_padre]]=Tabla_VME[[#This Row],[Id]],"NOK","OK")</f>
        <v>OK</v>
      </c>
    </row>
    <row r="45" spans="1:26" hidden="1" x14ac:dyDescent="0.5">
      <c r="A45" s="2">
        <f>MAX(Tabla_Alimentacion[Id])</f>
        <v>1298</v>
      </c>
      <c r="B45">
        <v>1302</v>
      </c>
      <c r="C45" s="5">
        <f>IF(Tabla_VME[[#This Row],[id_padre]]="",0,_xlfn.XLOOKUP(Tabla_VME[[#This Row],[id_padre]],Tabla_VME[Id],Tabla_VME[Nivel],0,0,1)+1)</f>
        <v>2</v>
      </c>
      <c r="D45" s="2" t="s">
        <v>1157</v>
      </c>
      <c r="E45">
        <f>IF(Tabla_VME[[#This Row],[Id_anterior]]=1,ROW()-1,SUM(ROW()-1,Tabla_VME[[#This Row],[Id_anterior]]))</f>
        <v>1342</v>
      </c>
      <c r="F45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VIATICO_MONEDA_EXTRANJERA_CONSULTAS_SITUACION_PRESUPUESTARIA_POR_UNIDAD_INTERNA</v>
      </c>
      <c r="G45" s="2" t="str">
        <f>CLEAN(PROPER(Tabla_VME[[#This Row],[Nombre Opción]]))</f>
        <v>Situacion Presupuestaria Por Unidad Interna</v>
      </c>
      <c r="H45" s="2" t="s">
        <v>1735</v>
      </c>
      <c r="I45" s="2" t="str">
        <f>_xlfn.XLOOKUP(Tabla_VME[[#This Row],[id_padre]],Tabla_VME[Id],Tabla_VME[Codigo_Tecnico],"",0,1)</f>
        <v>VIATICO_MONEDA_EXTRANJERA_CONSULTAS</v>
      </c>
      <c r="J45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/viatico-moneda-extranjera/consultas/situacion-presupuestaria-por-unidad-interna</v>
      </c>
      <c r="K45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situacion-presupuestaria-por-unidad-interna</v>
      </c>
      <c r="L45" s="6" t="s">
        <v>1395</v>
      </c>
      <c r="M45" s="2" t="s">
        <v>1802</v>
      </c>
      <c r="N45" s="4" t="s">
        <v>360</v>
      </c>
      <c r="O45" s="4" t="s">
        <v>360</v>
      </c>
      <c r="P45" s="4" t="s">
        <v>360</v>
      </c>
      <c r="Q45" s="4" t="s">
        <v>360</v>
      </c>
      <c r="R45" s="4" t="s">
        <v>360</v>
      </c>
      <c r="S45" s="4" t="s">
        <v>360</v>
      </c>
      <c r="T45" s="4" t="s">
        <v>360</v>
      </c>
      <c r="U45" s="4" t="s">
        <v>360</v>
      </c>
      <c r="V45" s="4" t="s">
        <v>360</v>
      </c>
      <c r="W45" s="4" t="s">
        <v>360</v>
      </c>
      <c r="X45" s="4" t="s">
        <v>360</v>
      </c>
      <c r="Y45" s="4" t="s">
        <v>360</v>
      </c>
      <c r="Z45" s="2" t="str">
        <f>IF(Tabla_VME[[#This Row],[id_padre]]=Tabla_VME[[#This Row],[Id]],"NOK","OK")</f>
        <v>OK</v>
      </c>
    </row>
    <row r="46" spans="1:26" hidden="1" x14ac:dyDescent="0.5">
      <c r="A46" s="2">
        <f>MAX(Tabla_Alimentacion[Id])</f>
        <v>1298</v>
      </c>
      <c r="B46">
        <v>1302</v>
      </c>
      <c r="C46" s="5">
        <f>IF(Tabla_VME[[#This Row],[id_padre]]="",0,_xlfn.XLOOKUP(Tabla_VME[[#This Row],[id_padre]],Tabla_VME[Id],Tabla_VME[Nivel],0,0,1)+1)</f>
        <v>2</v>
      </c>
      <c r="D46" s="2" t="s">
        <v>1158</v>
      </c>
      <c r="E46">
        <f>IF(Tabla_VME[[#This Row],[Id_anterior]]=1,ROW()-1,SUM(ROW()-1,Tabla_VME[[#This Row],[Id_anterior]]))</f>
        <v>1343</v>
      </c>
      <c r="F46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VIATICO_MONEDA_EXTRANJERA_CONSULTAS_COMISIONES_POR_FUNCIONARIO</v>
      </c>
      <c r="G46" s="2" t="str">
        <f>CLEAN(PROPER(Tabla_VME[[#This Row],[Nombre Opción]]))</f>
        <v>Comisiones Por Funcionario</v>
      </c>
      <c r="H46" s="2" t="s">
        <v>1735</v>
      </c>
      <c r="I46" s="2" t="str">
        <f>_xlfn.XLOOKUP(Tabla_VME[[#This Row],[id_padre]],Tabla_VME[Id],Tabla_VME[Codigo_Tecnico],"",0,1)</f>
        <v>VIATICO_MONEDA_EXTRANJERA_CONSULTAS</v>
      </c>
      <c r="J46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/viatico-moneda-extranjera/consultas/comisiones-por-funcionario</v>
      </c>
      <c r="K46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comisiones-por-funcionario</v>
      </c>
      <c r="L46" s="6" t="s">
        <v>1523</v>
      </c>
      <c r="M46" s="2" t="s">
        <v>1802</v>
      </c>
      <c r="N46" s="4" t="s">
        <v>360</v>
      </c>
      <c r="O46" s="4" t="s">
        <v>360</v>
      </c>
      <c r="P46" s="4" t="s">
        <v>360</v>
      </c>
      <c r="Q46" s="4" t="s">
        <v>360</v>
      </c>
      <c r="R46" s="4" t="s">
        <v>360</v>
      </c>
      <c r="S46" s="4" t="s">
        <v>360</v>
      </c>
      <c r="T46" s="4" t="s">
        <v>360</v>
      </c>
      <c r="U46" s="4" t="s">
        <v>360</v>
      </c>
      <c r="V46" s="4" t="s">
        <v>360</v>
      </c>
      <c r="W46" s="4" t="s">
        <v>360</v>
      </c>
      <c r="X46" s="4" t="s">
        <v>360</v>
      </c>
      <c r="Y46" s="4" t="s">
        <v>360</v>
      </c>
      <c r="Z46" s="2" t="str">
        <f>IF(Tabla_VME[[#This Row],[id_padre]]=Tabla_VME[[#This Row],[Id]],"NOK","OK")</f>
        <v>OK</v>
      </c>
    </row>
    <row r="47" spans="1:26" hidden="1" x14ac:dyDescent="0.5">
      <c r="A47" s="2">
        <f>MAX(Tabla_Alimentacion[Id])</f>
        <v>1298</v>
      </c>
      <c r="B47">
        <v>1302</v>
      </c>
      <c r="C47" s="5">
        <f>IF(Tabla_VME[[#This Row],[id_padre]]="",0,_xlfn.XLOOKUP(Tabla_VME[[#This Row],[id_padre]],Tabla_VME[Id],Tabla_VME[Nivel],0,0,1)+1)</f>
        <v>2</v>
      </c>
      <c r="D47" s="2" t="s">
        <v>398</v>
      </c>
      <c r="E47">
        <f>IF(Tabla_VME[[#This Row],[Id_anterior]]=1,ROW()-1,SUM(ROW()-1,Tabla_VME[[#This Row],[Id_anterior]]))</f>
        <v>1344</v>
      </c>
      <c r="F47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VIATICO_MONEDA_EXTRANJERA_CONSULTAS_ESCALA_VIATICO</v>
      </c>
      <c r="G47" s="2" t="str">
        <f>CLEAN(PROPER(Tabla_VME[[#This Row],[Nombre Opción]]))</f>
        <v>Escala De Viatico</v>
      </c>
      <c r="H47" s="2" t="s">
        <v>1735</v>
      </c>
      <c r="I47" s="2" t="str">
        <f>_xlfn.XLOOKUP(Tabla_VME[[#This Row],[id_padre]],Tabla_VME[Id],Tabla_VME[Codigo_Tecnico],"",0,1)</f>
        <v>VIATICO_MONEDA_EXTRANJERA_CONSULTAS</v>
      </c>
      <c r="J47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/viatico-moneda-extranjera/consultas/escala-viatico</v>
      </c>
      <c r="K47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escala-viatico</v>
      </c>
      <c r="L47" s="6" t="s">
        <v>1507</v>
      </c>
      <c r="M47" s="2" t="s">
        <v>1802</v>
      </c>
      <c r="N47" s="4" t="s">
        <v>360</v>
      </c>
      <c r="O47" s="4" t="s">
        <v>360</v>
      </c>
      <c r="P47" s="4" t="s">
        <v>360</v>
      </c>
      <c r="Q47" s="4" t="s">
        <v>360</v>
      </c>
      <c r="R47" s="4" t="s">
        <v>360</v>
      </c>
      <c r="S47" s="4" t="s">
        <v>360</v>
      </c>
      <c r="T47" s="4" t="s">
        <v>360</v>
      </c>
      <c r="U47" s="4" t="s">
        <v>360</v>
      </c>
      <c r="V47" s="4" t="s">
        <v>360</v>
      </c>
      <c r="W47" s="4" t="s">
        <v>360</v>
      </c>
      <c r="X47" s="4" t="s">
        <v>360</v>
      </c>
      <c r="Y47" s="4" t="s">
        <v>360</v>
      </c>
      <c r="Z47" s="2" t="str">
        <f>IF(Tabla_VME[[#This Row],[id_padre]]=Tabla_VME[[#This Row],[Id]],"NOK","OK")</f>
        <v>OK</v>
      </c>
    </row>
    <row r="48" spans="1:26" hidden="1" x14ac:dyDescent="0.5">
      <c r="A48" s="2">
        <f>MAX(Tabla_Alimentacion[Id])</f>
        <v>1298</v>
      </c>
      <c r="B48">
        <v>1302</v>
      </c>
      <c r="C48" s="5">
        <f>IF(Tabla_VME[[#This Row],[id_padre]]="",0,_xlfn.XLOOKUP(Tabla_VME[[#This Row],[id_padre]],Tabla_VME[Id],Tabla_VME[Nivel],0,0,1)+1)</f>
        <v>2</v>
      </c>
      <c r="D48" s="2" t="s">
        <v>399</v>
      </c>
      <c r="E48">
        <f>IF(Tabla_VME[[#This Row],[Id_anterior]]=1,ROW()-1,SUM(ROW()-1,Tabla_VME[[#This Row],[Id_anterior]]))</f>
        <v>1345</v>
      </c>
      <c r="F48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VIATICO_MONEDA_EXTRANJERA_CONSULTAS_EMPLEADOS_FACH</v>
      </c>
      <c r="G48" s="2" t="str">
        <f>CLEAN(PROPER(Tabla_VME[[#This Row],[Nombre Opción]]))</f>
        <v>Empleados Fach</v>
      </c>
      <c r="H48" s="2" t="s">
        <v>1735</v>
      </c>
      <c r="I48" s="2" t="str">
        <f>_xlfn.XLOOKUP(Tabla_VME[[#This Row],[id_padre]],Tabla_VME[Id],Tabla_VME[Codigo_Tecnico],"",0,1)</f>
        <v>VIATICO_MONEDA_EXTRANJERA_CONSULTAS</v>
      </c>
      <c r="J48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/viatico-moneda-extranjera/consultas/empleados-fach</v>
      </c>
      <c r="K48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empleados-fach</v>
      </c>
      <c r="L48" s="6" t="s">
        <v>1506</v>
      </c>
      <c r="M48" s="2" t="s">
        <v>1802</v>
      </c>
      <c r="N48" s="4" t="s">
        <v>360</v>
      </c>
      <c r="O48" s="4" t="s">
        <v>360</v>
      </c>
      <c r="P48" s="4" t="s">
        <v>360</v>
      </c>
      <c r="Q48" s="4" t="s">
        <v>360</v>
      </c>
      <c r="R48" s="4" t="s">
        <v>360</v>
      </c>
      <c r="S48" s="4" t="s">
        <v>360</v>
      </c>
      <c r="T48" s="4" t="s">
        <v>360</v>
      </c>
      <c r="U48" s="4" t="s">
        <v>360</v>
      </c>
      <c r="V48" s="4" t="s">
        <v>360</v>
      </c>
      <c r="W48" s="4" t="s">
        <v>360</v>
      </c>
      <c r="X48" s="4" t="s">
        <v>360</v>
      </c>
      <c r="Y48" s="4" t="s">
        <v>360</v>
      </c>
      <c r="Z48" s="2" t="str">
        <f>IF(Tabla_VME[[#This Row],[id_padre]]=Tabla_VME[[#This Row],[Id]],"NOK","OK")</f>
        <v>OK</v>
      </c>
    </row>
    <row r="49" spans="1:26" hidden="1" x14ac:dyDescent="0.5">
      <c r="A49" s="2">
        <f>MAX(Tabla_Alimentacion[Id])</f>
        <v>1298</v>
      </c>
      <c r="B49">
        <v>1302</v>
      </c>
      <c r="C49" s="5">
        <f>IF(Tabla_VME[[#This Row],[id_padre]]="",0,_xlfn.XLOOKUP(Tabla_VME[[#This Row],[id_padre]],Tabla_VME[Id],Tabla_VME[Nivel],0,0,1)+1)</f>
        <v>2</v>
      </c>
      <c r="D49" s="2" t="s">
        <v>412</v>
      </c>
      <c r="E49">
        <f>IF(Tabla_VME[[#This Row],[Id_anterior]]=1,ROW()-1,SUM(ROW()-1,Tabla_VME[[#This Row],[Id_anterior]]))</f>
        <v>1346</v>
      </c>
      <c r="F49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VIATICO_MONEDA_EXTRANJERA_CONSULTAS_CATEGORIZACION</v>
      </c>
      <c r="G49" s="2" t="str">
        <f>CLEAN(PROPER(Tabla_VME[[#This Row],[Nombre Opción]]))</f>
        <v>Categorizacion</v>
      </c>
      <c r="H49" s="2" t="s">
        <v>1735</v>
      </c>
      <c r="I49" s="2" t="str">
        <f>_xlfn.XLOOKUP(Tabla_VME[[#This Row],[id_padre]],Tabla_VME[Id],Tabla_VME[Codigo_Tecnico],"",0,1)</f>
        <v>VIATICO_MONEDA_EXTRANJERA_CONSULTAS</v>
      </c>
      <c r="J49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/viatico-moneda-extranjera/consultas/categorizacion</v>
      </c>
      <c r="K49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</v>
      </c>
      <c r="L49" s="6" t="s">
        <v>1407</v>
      </c>
      <c r="M49" s="2" t="s">
        <v>1802</v>
      </c>
      <c r="N49" s="4" t="s">
        <v>360</v>
      </c>
      <c r="O49" s="4" t="s">
        <v>360</v>
      </c>
      <c r="P49" s="4" t="s">
        <v>360</v>
      </c>
      <c r="Q49" s="4" t="s">
        <v>360</v>
      </c>
      <c r="R49" s="4" t="s">
        <v>360</v>
      </c>
      <c r="S49" s="4" t="s">
        <v>360</v>
      </c>
      <c r="T49" s="4" t="s">
        <v>360</v>
      </c>
      <c r="U49" s="4" t="s">
        <v>360</v>
      </c>
      <c r="V49" s="4" t="s">
        <v>360</v>
      </c>
      <c r="W49" s="4" t="s">
        <v>360</v>
      </c>
      <c r="X49" s="4" t="s">
        <v>360</v>
      </c>
      <c r="Y49" s="4" t="s">
        <v>360</v>
      </c>
      <c r="Z49" s="2" t="str">
        <f>IF(Tabla_VME[[#This Row],[id_padre]]=Tabla_VME[[#This Row],[Id]],"NOK","OK")</f>
        <v>OK</v>
      </c>
    </row>
    <row r="50" spans="1:26" hidden="1" x14ac:dyDescent="0.5">
      <c r="A50" s="2">
        <f>MAX(Tabla_Alimentacion[Id])</f>
        <v>1298</v>
      </c>
      <c r="B50">
        <v>1346</v>
      </c>
      <c r="C50" s="5">
        <f>IF(Tabla_VME[[#This Row],[id_padre]]="",0,_xlfn.XLOOKUP(Tabla_VME[[#This Row],[id_padre]],Tabla_VME[Id],Tabla_VME[Nivel],0,0,1)+1)</f>
        <v>3</v>
      </c>
      <c r="D50" s="2" t="s">
        <v>1159</v>
      </c>
      <c r="E50">
        <f>IF(Tabla_VME[[#This Row],[Id_anterior]]=1,ROW()-1,SUM(ROW()-1,Tabla_VME[[#This Row],[Id_anterior]]))</f>
        <v>1347</v>
      </c>
      <c r="F50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VIATICO_MONEDA_EXTRANJERA_CONSULTAS_CATEGORIZACION_CATEGORIZACION___SOLIC_COMISION__CATEGORIZADOS_POR_ENTIDAD</v>
      </c>
      <c r="G50" s="2" t="str">
        <f>CLEAN(PROPER(Tabla_VME[[#This Row],[Nombre Opción]]))</f>
        <v>Categorizacion - Solic. De Comision  Categorizados Por Entidad</v>
      </c>
      <c r="H50" s="2" t="s">
        <v>1735</v>
      </c>
      <c r="I50" s="2" t="str">
        <f>_xlfn.XLOOKUP(Tabla_VME[[#This Row],[id_padre]],Tabla_VME[Id],Tabla_VME[Codigo_Tecnico],"",0,1)</f>
        <v>VIATICO_MONEDA_EXTRANJERA_CONSULTAS_CATEGORIZACION</v>
      </c>
      <c r="J50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/viatico-moneda-extranjera/consultas/categorizacion/categorizacion---solic-comision--categorizados-por-entidad</v>
      </c>
      <c r="K50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categorizacion---solic-comision--categorizados-por-entidad</v>
      </c>
      <c r="L50" s="6" t="s">
        <v>1367</v>
      </c>
      <c r="M50" s="2" t="s">
        <v>1802</v>
      </c>
      <c r="N50" s="4" t="s">
        <v>360</v>
      </c>
      <c r="O50" s="4" t="s">
        <v>360</v>
      </c>
      <c r="P50" s="4" t="s">
        <v>360</v>
      </c>
      <c r="Q50" s="4" t="s">
        <v>360</v>
      </c>
      <c r="R50" s="4" t="s">
        <v>360</v>
      </c>
      <c r="S50" s="4" t="s">
        <v>360</v>
      </c>
      <c r="T50" s="4" t="s">
        <v>360</v>
      </c>
      <c r="U50" s="4" t="s">
        <v>360</v>
      </c>
      <c r="V50" s="4" t="s">
        <v>360</v>
      </c>
      <c r="W50" s="4" t="s">
        <v>360</v>
      </c>
      <c r="X50" s="4" t="s">
        <v>360</v>
      </c>
      <c r="Y50" s="4" t="s">
        <v>360</v>
      </c>
      <c r="Z50" s="2" t="str">
        <f>IF(Tabla_VME[[#This Row],[id_padre]]=Tabla_VME[[#This Row],[Id]],"NOK","OK")</f>
        <v>OK</v>
      </c>
    </row>
    <row r="51" spans="1:26" hidden="1" x14ac:dyDescent="0.5">
      <c r="A51" s="2">
        <f>MAX(Tabla_Alimentacion[Id])</f>
        <v>1298</v>
      </c>
      <c r="B51">
        <v>1346</v>
      </c>
      <c r="C51" s="5">
        <f>IF(Tabla_VME[[#This Row],[id_padre]]="",0,_xlfn.XLOOKUP(Tabla_VME[[#This Row],[id_padre]],Tabla_VME[Id],Tabla_VME[Nivel],0,0,1)+1)</f>
        <v>3</v>
      </c>
      <c r="D51" s="2" t="s">
        <v>1160</v>
      </c>
      <c r="E51">
        <f>IF(Tabla_VME[[#This Row],[Id_anterior]]=1,ROW()-1,SUM(ROW()-1,Tabla_VME[[#This Row],[Id_anterior]]))</f>
        <v>1348</v>
      </c>
      <c r="F51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VIATICO_MONEDA_EXTRANJERA_CONSULTAS_CATEGORIZACION_CATEGORIZACION___SOLIC_COMSION__CATEGORIZADOS_POR_UNIDAD</v>
      </c>
      <c r="G51" s="2" t="str">
        <f>CLEAN(PROPER(Tabla_VME[[#This Row],[Nombre Opción]]))</f>
        <v>Categorizacion - Solic. De Comsion  Categorizados Por Unidad</v>
      </c>
      <c r="H51" s="2" t="s">
        <v>1735</v>
      </c>
      <c r="I51" s="2" t="str">
        <f>_xlfn.XLOOKUP(Tabla_VME[[#This Row],[id_padre]],Tabla_VME[Id],Tabla_VME[Codigo_Tecnico],"",0,1)</f>
        <v>VIATICO_MONEDA_EXTRANJERA_CONSULTAS_CATEGORIZACION</v>
      </c>
      <c r="J51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/viatico-moneda-extranjera/consultas/categorizacion/categorizacion---solic-comsion--categorizados-por-unidad</v>
      </c>
      <c r="K51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categorizacion---solic-comsion--categorizados-por-unidad</v>
      </c>
      <c r="L51" s="6" t="s">
        <v>1341</v>
      </c>
      <c r="M51" s="2" t="s">
        <v>1802</v>
      </c>
      <c r="N51" s="4" t="s">
        <v>360</v>
      </c>
      <c r="O51" s="4" t="s">
        <v>360</v>
      </c>
      <c r="P51" s="4" t="s">
        <v>360</v>
      </c>
      <c r="Q51" s="4" t="s">
        <v>360</v>
      </c>
      <c r="R51" s="4" t="s">
        <v>360</v>
      </c>
      <c r="S51" s="4" t="s">
        <v>360</v>
      </c>
      <c r="T51" s="4" t="s">
        <v>360</v>
      </c>
      <c r="U51" s="4" t="s">
        <v>360</v>
      </c>
      <c r="V51" s="4" t="s">
        <v>360</v>
      </c>
      <c r="W51" s="4" t="s">
        <v>360</v>
      </c>
      <c r="X51" s="4" t="s">
        <v>360</v>
      </c>
      <c r="Y51" s="4" t="s">
        <v>360</v>
      </c>
      <c r="Z51" s="2" t="str">
        <f>IF(Tabla_VME[[#This Row],[id_padre]]=Tabla_VME[[#This Row],[Id]],"NOK","OK")</f>
        <v>OK</v>
      </c>
    </row>
    <row r="52" spans="1:26" hidden="1" x14ac:dyDescent="0.5">
      <c r="A52" s="2">
        <f>MAX(Tabla_Alimentacion[Id])</f>
        <v>1298</v>
      </c>
      <c r="B52">
        <v>1302</v>
      </c>
      <c r="C52" s="5">
        <f>IF(Tabla_VME[[#This Row],[id_padre]]="",0,_xlfn.XLOOKUP(Tabla_VME[[#This Row],[id_padre]],Tabla_VME[Id],Tabla_VME[Nivel],0,0,1)+1)</f>
        <v>2</v>
      </c>
      <c r="D52" s="2" t="s">
        <v>1161</v>
      </c>
      <c r="E52">
        <f>IF(Tabla_VME[[#This Row],[Id_anterior]]=1,ROW()-1,SUM(ROW()-1,Tabla_VME[[#This Row],[Id_anterior]]))</f>
        <v>1349</v>
      </c>
      <c r="F52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VIATICO_MONEDA_EXTRANJERA_CONSULTAS_COSTOS_VIDA_POR_PAIS</v>
      </c>
      <c r="G52" s="2" t="str">
        <f>CLEAN(PROPER(Tabla_VME[[#This Row],[Nombre Opción]]))</f>
        <v>Costos De Vida Por Pais</v>
      </c>
      <c r="H52" s="2" t="s">
        <v>1735</v>
      </c>
      <c r="I52" s="2" t="str">
        <f>_xlfn.XLOOKUP(Tabla_VME[[#This Row],[id_padre]],Tabla_VME[Id],Tabla_VME[Codigo_Tecnico],"",0,1)</f>
        <v>VIATICO_MONEDA_EXTRANJERA_CONSULTAS</v>
      </c>
      <c r="J52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/viatico-moneda-extranjera/consultas/costos-vida-por-pais</v>
      </c>
      <c r="K52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costos-vida-por-pais</v>
      </c>
      <c r="L52" s="6" t="s">
        <v>1550</v>
      </c>
      <c r="M52" s="2" t="s">
        <v>1802</v>
      </c>
      <c r="N52" s="4" t="s">
        <v>360</v>
      </c>
      <c r="O52" s="4" t="s">
        <v>360</v>
      </c>
      <c r="P52" s="4" t="s">
        <v>360</v>
      </c>
      <c r="Q52" s="4" t="s">
        <v>360</v>
      </c>
      <c r="R52" s="4" t="s">
        <v>360</v>
      </c>
      <c r="S52" s="4" t="s">
        <v>360</v>
      </c>
      <c r="T52" s="4" t="s">
        <v>360</v>
      </c>
      <c r="U52" s="4" t="s">
        <v>360</v>
      </c>
      <c r="V52" s="4" t="s">
        <v>360</v>
      </c>
      <c r="W52" s="4" t="s">
        <v>360</v>
      </c>
      <c r="X52" s="4" t="s">
        <v>360</v>
      </c>
      <c r="Y52" s="4" t="s">
        <v>360</v>
      </c>
      <c r="Z52" s="2" t="str">
        <f>IF(Tabla_VME[[#This Row],[id_padre]]=Tabla_VME[[#This Row],[Id]],"NOK","OK")</f>
        <v>OK</v>
      </c>
    </row>
    <row r="53" spans="1:26" hidden="1" x14ac:dyDescent="0.5">
      <c r="A53" s="2">
        <f>MAX(Tabla_Alimentacion[Id])</f>
        <v>1298</v>
      </c>
      <c r="B53">
        <v>1302</v>
      </c>
      <c r="C53" s="5">
        <f>IF(Tabla_VME[[#This Row],[id_padre]]="",0,_xlfn.XLOOKUP(Tabla_VME[[#This Row],[id_padre]],Tabla_VME[Id],Tabla_VME[Nivel],0,0,1)+1)</f>
        <v>2</v>
      </c>
      <c r="D53" s="2" t="s">
        <v>1162</v>
      </c>
      <c r="E53">
        <f>IF(Tabla_VME[[#This Row],[Id_anterior]]=1,ROW()-1,SUM(ROW()-1,Tabla_VME[[#This Row],[Id_anterior]]))</f>
        <v>1350</v>
      </c>
      <c r="F53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VIATICO_MONEDA_EXTRANJERA_CONSULTAS_GASTOS_TOTALES_COMISION_POR_SOLICITUDES</v>
      </c>
      <c r="G53" s="2" t="str">
        <f>CLEAN(PROPER(Tabla_VME[[#This Row],[Nombre Opción]]))</f>
        <v>Gastos Totales De Comision Por Solicitudes</v>
      </c>
      <c r="H53" s="2" t="s">
        <v>1735</v>
      </c>
      <c r="I53" s="2" t="str">
        <f>_xlfn.XLOOKUP(Tabla_VME[[#This Row],[id_padre]],Tabla_VME[Id],Tabla_VME[Codigo_Tecnico],"",0,1)</f>
        <v>VIATICO_MONEDA_EXTRANJERA_CONSULTAS</v>
      </c>
      <c r="J53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/viatico-moneda-extranjera/consultas/gastos-totales-comision-por-solicitudes</v>
      </c>
      <c r="K53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gastos-totales-comision-por-solicitudes</v>
      </c>
      <c r="L53" s="6" t="s">
        <v>1415</v>
      </c>
      <c r="M53" s="2" t="s">
        <v>1802</v>
      </c>
      <c r="N53" s="4" t="s">
        <v>360</v>
      </c>
      <c r="O53" s="4" t="s">
        <v>360</v>
      </c>
      <c r="P53" s="4" t="s">
        <v>360</v>
      </c>
      <c r="Q53" s="4" t="s">
        <v>360</v>
      </c>
      <c r="R53" s="4" t="s">
        <v>360</v>
      </c>
      <c r="S53" s="4" t="s">
        <v>360</v>
      </c>
      <c r="T53" s="4" t="s">
        <v>360</v>
      </c>
      <c r="U53" s="4" t="s">
        <v>360</v>
      </c>
      <c r="V53" s="4" t="s">
        <v>360</v>
      </c>
      <c r="W53" s="4" t="s">
        <v>360</v>
      </c>
      <c r="X53" s="4" t="s">
        <v>360</v>
      </c>
      <c r="Y53" s="4" t="s">
        <v>360</v>
      </c>
      <c r="Z53" s="2" t="str">
        <f>IF(Tabla_VME[[#This Row],[id_padre]]=Tabla_VME[[#This Row],[Id]],"NOK","OK")</f>
        <v>OK</v>
      </c>
    </row>
    <row r="54" spans="1:26" hidden="1" x14ac:dyDescent="0.5">
      <c r="A54" s="2">
        <f>MAX(Tabla_Alimentacion[Id])</f>
        <v>1298</v>
      </c>
      <c r="B54">
        <v>1302</v>
      </c>
      <c r="C54" s="5">
        <f>IF(Tabla_VME[[#This Row],[id_padre]]="",0,_xlfn.XLOOKUP(Tabla_VME[[#This Row],[id_padre]],Tabla_VME[Id],Tabla_VME[Nivel],0,0,1)+1)</f>
        <v>2</v>
      </c>
      <c r="D54" s="2" t="s">
        <v>1163</v>
      </c>
      <c r="E54">
        <f>IF(Tabla_VME[[#This Row],[Id_anterior]]=1,ROW()-1,SUM(ROW()-1,Tabla_VME[[#This Row],[Id_anterior]]))</f>
        <v>1351</v>
      </c>
      <c r="F54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VIATICO_MONEDA_EXTRANJERA_CONSULTAS_GASTOS_TOTALES_COMISION_POR_FUNCIONARIO</v>
      </c>
      <c r="G54" s="2" t="str">
        <f>CLEAN(PROPER(Tabla_VME[[#This Row],[Nombre Opción]]))</f>
        <v>Gastos Totales De Comision Por Funcionario</v>
      </c>
      <c r="H54" s="2" t="s">
        <v>1735</v>
      </c>
      <c r="I54" s="2" t="str">
        <f>_xlfn.XLOOKUP(Tabla_VME[[#This Row],[id_padre]],Tabla_VME[Id],Tabla_VME[Codigo_Tecnico],"",0,1)</f>
        <v>VIATICO_MONEDA_EXTRANJERA_CONSULTAS</v>
      </c>
      <c r="J54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/viatico-moneda-extranjera/consultas/gastos-totales-comision-por-funcionario</v>
      </c>
      <c r="K54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gastos-totales-comision-por-funcionario</v>
      </c>
      <c r="L54" s="6" t="s">
        <v>1594</v>
      </c>
      <c r="M54" s="2" t="s">
        <v>1802</v>
      </c>
      <c r="N54" s="4" t="s">
        <v>360</v>
      </c>
      <c r="O54" s="4" t="s">
        <v>360</v>
      </c>
      <c r="P54" s="4" t="s">
        <v>360</v>
      </c>
      <c r="Q54" s="4" t="s">
        <v>360</v>
      </c>
      <c r="R54" s="4" t="s">
        <v>360</v>
      </c>
      <c r="S54" s="4" t="s">
        <v>360</v>
      </c>
      <c r="T54" s="4" t="s">
        <v>360</v>
      </c>
      <c r="U54" s="4" t="s">
        <v>360</v>
      </c>
      <c r="V54" s="4" t="s">
        <v>360</v>
      </c>
      <c r="W54" s="4" t="s">
        <v>360</v>
      </c>
      <c r="X54" s="4" t="s">
        <v>360</v>
      </c>
      <c r="Y54" s="4" t="s">
        <v>360</v>
      </c>
      <c r="Z54" s="2" t="str">
        <f>IF(Tabla_VME[[#This Row],[id_padre]]=Tabla_VME[[#This Row],[Id]],"NOK","OK")</f>
        <v>OK</v>
      </c>
    </row>
    <row r="55" spans="1:26" hidden="1" x14ac:dyDescent="0.5">
      <c r="A55" s="2">
        <f>MAX(Tabla_Alimentacion[Id])</f>
        <v>1298</v>
      </c>
      <c r="B55">
        <v>1302</v>
      </c>
      <c r="C55" s="5">
        <f>IF(Tabla_VME[[#This Row],[id_padre]]="",0,_xlfn.XLOOKUP(Tabla_VME[[#This Row],[id_padre]],Tabla_VME[Id],Tabla_VME[Nivel],0,0,1)+1)</f>
        <v>2</v>
      </c>
      <c r="D55" s="2" t="s">
        <v>1164</v>
      </c>
      <c r="E55">
        <f>IF(Tabla_VME[[#This Row],[Id_anterior]]=1,ROW()-1,SUM(ROW()-1,Tabla_VME[[#This Row],[Id_anterior]]))</f>
        <v>1352</v>
      </c>
      <c r="F55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VIATICO_MONEDA_EXTRANJERA_CONSULTAS_TIEMPO_ADMINISTRATIVO_TRAMITACION</v>
      </c>
      <c r="G55" s="2" t="str">
        <f>CLEAN(PROPER(Tabla_VME[[#This Row],[Nombre Opción]]))</f>
        <v>Tiempo Administrativo De Tramitacion</v>
      </c>
      <c r="H55" s="2" t="s">
        <v>1735</v>
      </c>
      <c r="I55" s="2" t="str">
        <f>_xlfn.XLOOKUP(Tabla_VME[[#This Row],[id_padre]],Tabla_VME[Id],Tabla_VME[Codigo_Tecnico],"",0,1)</f>
        <v>VIATICO_MONEDA_EXTRANJERA_CONSULTAS</v>
      </c>
      <c r="J55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/viatico-moneda-extranjera/consultas/tiempo-administrativo-tramitacion</v>
      </c>
      <c r="K55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tiempo-administrativo-tramitacion</v>
      </c>
      <c r="L55" s="6" t="s">
        <v>1541</v>
      </c>
      <c r="M55" s="2" t="s">
        <v>1802</v>
      </c>
      <c r="N55" s="4" t="s">
        <v>360</v>
      </c>
      <c r="O55" s="4" t="s">
        <v>360</v>
      </c>
      <c r="P55" s="4" t="s">
        <v>360</v>
      </c>
      <c r="Q55" s="4" t="s">
        <v>360</v>
      </c>
      <c r="R55" s="4" t="s">
        <v>360</v>
      </c>
      <c r="S55" s="4" t="s">
        <v>360</v>
      </c>
      <c r="T55" s="4" t="s">
        <v>360</v>
      </c>
      <c r="U55" s="4" t="s">
        <v>360</v>
      </c>
      <c r="V55" s="4" t="s">
        <v>360</v>
      </c>
      <c r="W55" s="4" t="s">
        <v>360</v>
      </c>
      <c r="X55" s="4" t="s">
        <v>360</v>
      </c>
      <c r="Y55" s="4" t="s">
        <v>360</v>
      </c>
      <c r="Z55" s="2" t="str">
        <f>IF(Tabla_VME[[#This Row],[id_padre]]=Tabla_VME[[#This Row],[Id]],"NOK","OK")</f>
        <v>OK</v>
      </c>
    </row>
    <row r="56" spans="1:26" hidden="1" x14ac:dyDescent="0.5">
      <c r="A56" s="2">
        <f>MAX(Tabla_Alimentacion[Id])</f>
        <v>1298</v>
      </c>
      <c r="B56">
        <v>1303</v>
      </c>
      <c r="C56" s="5">
        <f>IF(Tabla_VME[[#This Row],[id_padre]]="",0,_xlfn.XLOOKUP(Tabla_VME[[#This Row],[id_padre]],Tabla_VME[Id],Tabla_VME[Nivel],0,0,1)+1)</f>
        <v>2</v>
      </c>
      <c r="D56" s="2" t="s">
        <v>1149</v>
      </c>
      <c r="E56">
        <f>IF(Tabla_VME[[#This Row],[Id_anterior]]=1,ROW()-1,SUM(ROW()-1,Tabla_VME[[#This Row],[Id_anterior]]))</f>
        <v>1353</v>
      </c>
      <c r="F56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VIATICO_MONEDA_EXTRANJERA_INFORMES_SOLICITUD_COMISION</v>
      </c>
      <c r="G56" s="2" t="str">
        <f>CLEAN(PROPER(Tabla_VME[[#This Row],[Nombre Opción]]))</f>
        <v>Solicitud De Comision</v>
      </c>
      <c r="H56" s="2" t="s">
        <v>1735</v>
      </c>
      <c r="I56" s="2" t="str">
        <f>_xlfn.XLOOKUP(Tabla_VME[[#This Row],[id_padre]],Tabla_VME[Id],Tabla_VME[Codigo_Tecnico],"",0,1)</f>
        <v>VIATICO_MONEDA_EXTRANJERA_INFORMES</v>
      </c>
      <c r="J56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/viatico-moneda-extranjera/informes/solicitud-comision</v>
      </c>
      <c r="K56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solicitud-comision</v>
      </c>
      <c r="L56" s="6" t="s">
        <v>1343</v>
      </c>
      <c r="M56" s="2" t="s">
        <v>1802</v>
      </c>
      <c r="N56" s="4" t="s">
        <v>360</v>
      </c>
      <c r="O56" s="4" t="s">
        <v>360</v>
      </c>
      <c r="P56" s="4" t="s">
        <v>360</v>
      </c>
      <c r="Q56" s="4" t="s">
        <v>360</v>
      </c>
      <c r="R56" s="4" t="s">
        <v>360</v>
      </c>
      <c r="S56" s="4" t="s">
        <v>360</v>
      </c>
      <c r="T56" s="4" t="s">
        <v>360</v>
      </c>
      <c r="U56" s="4" t="s">
        <v>360</v>
      </c>
      <c r="V56" s="4" t="s">
        <v>360</v>
      </c>
      <c r="W56" s="4" t="s">
        <v>360</v>
      </c>
      <c r="X56" s="4" t="s">
        <v>360</v>
      </c>
      <c r="Y56" s="4" t="s">
        <v>360</v>
      </c>
      <c r="Z56" s="2" t="str">
        <f>IF(Tabla_VME[[#This Row],[id_padre]]=Tabla_VME[[#This Row],[Id]],"NOK","OK")</f>
        <v>OK</v>
      </c>
    </row>
    <row r="57" spans="1:26" hidden="1" x14ac:dyDescent="0.5">
      <c r="A57" s="2">
        <f>MAX(Tabla_Alimentacion[Id])</f>
        <v>1298</v>
      </c>
      <c r="B57">
        <v>1303</v>
      </c>
      <c r="C57" s="5">
        <f>IF(Tabla_VME[[#This Row],[id_padre]]="",0,_xlfn.XLOOKUP(Tabla_VME[[#This Row],[id_padre]],Tabla_VME[Id],Tabla_VME[Nivel],0,0,1)+1)</f>
        <v>2</v>
      </c>
      <c r="D57" s="2" t="s">
        <v>1165</v>
      </c>
      <c r="E57">
        <f>IF(Tabla_VME[[#This Row],[Id_anterior]]=1,ROW()-1,SUM(ROW()-1,Tabla_VME[[#This Row],[Id_anterior]]))</f>
        <v>1354</v>
      </c>
      <c r="F57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VIATICO_MONEDA_EXTRANJERA_INFORMES_PLANILLA_ANTICIPO_VIATICOS</v>
      </c>
      <c r="G57" s="2" t="str">
        <f>CLEAN(PROPER(Tabla_VME[[#This Row],[Nombre Opción]]))</f>
        <v>Planilla De Anticipo De Viaticos</v>
      </c>
      <c r="H57" s="2" t="s">
        <v>1735</v>
      </c>
      <c r="I57" s="2" t="str">
        <f>_xlfn.XLOOKUP(Tabla_VME[[#This Row],[id_padre]],Tabla_VME[Id],Tabla_VME[Codigo_Tecnico],"",0,1)</f>
        <v>VIATICO_MONEDA_EXTRANJERA_INFORMES</v>
      </c>
      <c r="J57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/viatico-moneda-extranjera/informes/planilla-anticipo-viaticos</v>
      </c>
      <c r="K57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planilla-anticipo-viaticos</v>
      </c>
      <c r="L57" s="6" t="s">
        <v>1415</v>
      </c>
      <c r="M57" s="2" t="s">
        <v>1802</v>
      </c>
      <c r="N57" s="4" t="s">
        <v>360</v>
      </c>
      <c r="O57" s="4" t="s">
        <v>360</v>
      </c>
      <c r="P57" s="4" t="s">
        <v>360</v>
      </c>
      <c r="Q57" s="4" t="s">
        <v>360</v>
      </c>
      <c r="R57" s="4" t="s">
        <v>360</v>
      </c>
      <c r="S57" s="4" t="s">
        <v>360</v>
      </c>
      <c r="T57" s="4" t="s">
        <v>360</v>
      </c>
      <c r="U57" s="4" t="s">
        <v>360</v>
      </c>
      <c r="V57" s="4" t="s">
        <v>360</v>
      </c>
      <c r="W57" s="4" t="s">
        <v>360</v>
      </c>
      <c r="X57" s="4" t="s">
        <v>360</v>
      </c>
      <c r="Y57" s="4" t="s">
        <v>360</v>
      </c>
      <c r="Z57" s="2" t="str">
        <f>IF(Tabla_VME[[#This Row],[id_padre]]=Tabla_VME[[#This Row],[Id]],"NOK","OK")</f>
        <v>OK</v>
      </c>
    </row>
    <row r="58" spans="1:26" hidden="1" x14ac:dyDescent="0.5">
      <c r="A58" s="2">
        <f>MAX(Tabla_Alimentacion[Id])</f>
        <v>1298</v>
      </c>
      <c r="B58">
        <v>1303</v>
      </c>
      <c r="C58" s="5">
        <f>IF(Tabla_VME[[#This Row],[id_padre]]="",0,_xlfn.XLOOKUP(Tabla_VME[[#This Row],[id_padre]],Tabla_VME[Id],Tabla_VME[Nivel],0,0,1)+1)</f>
        <v>2</v>
      </c>
      <c r="D58" s="2" t="s">
        <v>1136</v>
      </c>
      <c r="E58">
        <f>IF(Tabla_VME[[#This Row],[Id_anterior]]=1,ROW()-1,SUM(ROW()-1,Tabla_VME[[#This Row],[Id_anterior]]))</f>
        <v>1355</v>
      </c>
      <c r="F58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VIATICO_MONEDA_EXTRANJERA_INFORMES_CERTIFICADO_FONDOS</v>
      </c>
      <c r="G58" s="2" t="str">
        <f>CLEAN(PROPER(Tabla_VME[[#This Row],[Nombre Opción]]))</f>
        <v>Certificado De Fondos</v>
      </c>
      <c r="H58" s="2" t="s">
        <v>1735</v>
      </c>
      <c r="I58" s="2" t="str">
        <f>_xlfn.XLOOKUP(Tabla_VME[[#This Row],[id_padre]],Tabla_VME[Id],Tabla_VME[Codigo_Tecnico],"",0,1)</f>
        <v>VIATICO_MONEDA_EXTRANJERA_INFORMES</v>
      </c>
      <c r="J58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/viatico-moneda-extranjera/informes/certificado-fondos</v>
      </c>
      <c r="K58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certificado-fondos</v>
      </c>
      <c r="L58" s="6" t="s">
        <v>1410</v>
      </c>
      <c r="M58" s="2" t="s">
        <v>1802</v>
      </c>
      <c r="N58" s="4" t="s">
        <v>360</v>
      </c>
      <c r="O58" s="4" t="s">
        <v>360</v>
      </c>
      <c r="P58" s="4" t="s">
        <v>360</v>
      </c>
      <c r="Q58" s="4" t="s">
        <v>360</v>
      </c>
      <c r="R58" s="4" t="s">
        <v>360</v>
      </c>
      <c r="S58" s="4" t="s">
        <v>360</v>
      </c>
      <c r="T58" s="4" t="s">
        <v>360</v>
      </c>
      <c r="U58" s="4" t="s">
        <v>360</v>
      </c>
      <c r="V58" s="4" t="s">
        <v>360</v>
      </c>
      <c r="W58" s="4" t="s">
        <v>360</v>
      </c>
      <c r="X58" s="4" t="s">
        <v>360</v>
      </c>
      <c r="Y58" s="4" t="s">
        <v>360</v>
      </c>
      <c r="Z58" s="2" t="str">
        <f>IF(Tabla_VME[[#This Row],[id_padre]]=Tabla_VME[[#This Row],[Id]],"NOK","OK")</f>
        <v>OK</v>
      </c>
    </row>
    <row r="59" spans="1:26" hidden="1" x14ac:dyDescent="0.5">
      <c r="A59" s="2">
        <f>MAX(Tabla_Alimentacion[Id])</f>
        <v>1298</v>
      </c>
      <c r="B59">
        <v>1303</v>
      </c>
      <c r="C59" s="5">
        <f>IF(Tabla_VME[[#This Row],[id_padre]]="",0,_xlfn.XLOOKUP(Tabla_VME[[#This Row],[id_padre]],Tabla_VME[Id],Tabla_VME[Nivel],0,0,1)+1)</f>
        <v>2</v>
      </c>
      <c r="D59" s="2" t="s">
        <v>1166</v>
      </c>
      <c r="E59">
        <f>IF(Tabla_VME[[#This Row],[Id_anterior]]=1,ROW()-1,SUM(ROW()-1,Tabla_VME[[#This Row],[Id_anterior]]))</f>
        <v>1356</v>
      </c>
      <c r="F59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VIATICO_MONEDA_EXTRANJERA_INFORMES_SOLICITUDES_COMISION_EMITIDAS_POR_UNIDAD</v>
      </c>
      <c r="G59" s="2" t="str">
        <f>CLEAN(PROPER(Tabla_VME[[#This Row],[Nombre Opción]]))</f>
        <v>Solicitudes De Comision Emitidas Por Unidad</v>
      </c>
      <c r="H59" s="2" t="s">
        <v>1735</v>
      </c>
      <c r="I59" s="2" t="str">
        <f>_xlfn.XLOOKUP(Tabla_VME[[#This Row],[id_padre]],Tabla_VME[Id],Tabla_VME[Codigo_Tecnico],"",0,1)</f>
        <v>VIATICO_MONEDA_EXTRANJERA_INFORMES</v>
      </c>
      <c r="J59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/viatico-moneda-extranjera/informes/solicitudes-comision-emitidas-por-unidad</v>
      </c>
      <c r="K59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solicitudes-comision-emitidas-por-unidad</v>
      </c>
      <c r="L59" s="6" t="s">
        <v>1376</v>
      </c>
      <c r="M59" s="2" t="s">
        <v>1802</v>
      </c>
      <c r="N59" s="4" t="s">
        <v>360</v>
      </c>
      <c r="O59" s="4" t="s">
        <v>360</v>
      </c>
      <c r="P59" s="4" t="s">
        <v>360</v>
      </c>
      <c r="Q59" s="4" t="s">
        <v>360</v>
      </c>
      <c r="R59" s="4" t="s">
        <v>360</v>
      </c>
      <c r="S59" s="4" t="s">
        <v>360</v>
      </c>
      <c r="T59" s="4" t="s">
        <v>360</v>
      </c>
      <c r="U59" s="4" t="s">
        <v>360</v>
      </c>
      <c r="V59" s="4" t="s">
        <v>360</v>
      </c>
      <c r="W59" s="4" t="s">
        <v>360</v>
      </c>
      <c r="X59" s="4" t="s">
        <v>360</v>
      </c>
      <c r="Y59" s="4" t="s">
        <v>360</v>
      </c>
      <c r="Z59" s="2" t="str">
        <f>IF(Tabla_VME[[#This Row],[id_padre]]=Tabla_VME[[#This Row],[Id]],"NOK","OK")</f>
        <v>OK</v>
      </c>
    </row>
    <row r="60" spans="1:26" hidden="1" x14ac:dyDescent="0.5">
      <c r="A60" s="2">
        <f>MAX(Tabla_Alimentacion[Id])</f>
        <v>1298</v>
      </c>
      <c r="B60">
        <v>1303</v>
      </c>
      <c r="C60" s="5">
        <f>IF(Tabla_VME[[#This Row],[id_padre]]="",0,_xlfn.XLOOKUP(Tabla_VME[[#This Row],[id_padre]],Tabla_VME[Id],Tabla_VME[Nivel],0,0,1)+1)</f>
        <v>2</v>
      </c>
      <c r="D60" s="2" t="s">
        <v>1167</v>
      </c>
      <c r="E60">
        <f>IF(Tabla_VME[[#This Row],[Id_anterior]]=1,ROW()-1,SUM(ROW()-1,Tabla_VME[[#This Row],[Id_anterior]]))</f>
        <v>1357</v>
      </c>
      <c r="F60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VIATICO_MONEDA_EXTRANJERA_INFORMES_SOLICITUDES_COMISION_POR_UNIDAD_INTERNA</v>
      </c>
      <c r="G60" s="2" t="str">
        <f>CLEAN(PROPER(Tabla_VME[[#This Row],[Nombre Opción]]))</f>
        <v>Solicitudes De Comision Por Unidad Interna</v>
      </c>
      <c r="H60" s="2" t="s">
        <v>1735</v>
      </c>
      <c r="I60" s="2" t="str">
        <f>_xlfn.XLOOKUP(Tabla_VME[[#This Row],[id_padre]],Tabla_VME[Id],Tabla_VME[Codigo_Tecnico],"",0,1)</f>
        <v>VIATICO_MONEDA_EXTRANJERA_INFORMES</v>
      </c>
      <c r="J60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/viatico-moneda-extranjera/informes/solicitudes-comision-por-unidad-interna</v>
      </c>
      <c r="K60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solicitudes-comision-por-unidad-interna</v>
      </c>
      <c r="L60" s="6" t="s">
        <v>1389</v>
      </c>
      <c r="M60" s="2" t="s">
        <v>1802</v>
      </c>
      <c r="N60" s="4" t="s">
        <v>360</v>
      </c>
      <c r="O60" s="4" t="s">
        <v>360</v>
      </c>
      <c r="P60" s="4" t="s">
        <v>360</v>
      </c>
      <c r="Q60" s="4" t="s">
        <v>360</v>
      </c>
      <c r="R60" s="4" t="s">
        <v>360</v>
      </c>
      <c r="S60" s="4" t="s">
        <v>360</v>
      </c>
      <c r="T60" s="4" t="s">
        <v>360</v>
      </c>
      <c r="U60" s="4" t="s">
        <v>360</v>
      </c>
      <c r="V60" s="4" t="s">
        <v>360</v>
      </c>
      <c r="W60" s="4" t="s">
        <v>360</v>
      </c>
      <c r="X60" s="4" t="s">
        <v>360</v>
      </c>
      <c r="Y60" s="4" t="s">
        <v>360</v>
      </c>
      <c r="Z60" s="2" t="str">
        <f>IF(Tabla_VME[[#This Row],[id_padre]]=Tabla_VME[[#This Row],[Id]],"NOK","OK")</f>
        <v>OK</v>
      </c>
    </row>
    <row r="61" spans="1:26" hidden="1" x14ac:dyDescent="0.5">
      <c r="A61" s="2">
        <f>MAX(Tabla_Alimentacion[Id])</f>
        <v>1298</v>
      </c>
      <c r="B61">
        <v>1303</v>
      </c>
      <c r="C61" s="5">
        <f>IF(Tabla_VME[[#This Row],[id_padre]]="",0,_xlfn.XLOOKUP(Tabla_VME[[#This Row],[id_padre]],Tabla_VME[Id],Tabla_VME[Nivel],0,0,1)+1)</f>
        <v>2</v>
      </c>
      <c r="D61" s="2" t="s">
        <v>1151</v>
      </c>
      <c r="E61">
        <f>IF(Tabla_VME[[#This Row],[Id_anterior]]=1,ROW()-1,SUM(ROW()-1,Tabla_VME[[#This Row],[Id_anterior]]))</f>
        <v>1358</v>
      </c>
      <c r="F61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VIATICO_MONEDA_EXTRANJERA_INFORMES_SITUACION_SOLICITUD_COMISION</v>
      </c>
      <c r="G61" s="2" t="str">
        <f>CLEAN(PROPER(Tabla_VME[[#This Row],[Nombre Opción]]))</f>
        <v>Situacion De Solicitud De Comision</v>
      </c>
      <c r="H61" s="2" t="s">
        <v>1735</v>
      </c>
      <c r="I61" s="2" t="str">
        <f>_xlfn.XLOOKUP(Tabla_VME[[#This Row],[id_padre]],Tabla_VME[Id],Tabla_VME[Codigo_Tecnico],"",0,1)</f>
        <v>VIATICO_MONEDA_EXTRANJERA_INFORMES</v>
      </c>
      <c r="J61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/viatico-moneda-extranjera/informes/situacion-solicitud-comision</v>
      </c>
      <c r="K61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situacion-solicitud-comision</v>
      </c>
      <c r="L61" s="6" t="s">
        <v>1333</v>
      </c>
      <c r="M61" s="2" t="s">
        <v>1802</v>
      </c>
      <c r="N61" s="4" t="s">
        <v>360</v>
      </c>
      <c r="O61" s="4" t="s">
        <v>360</v>
      </c>
      <c r="P61" s="4" t="s">
        <v>360</v>
      </c>
      <c r="Q61" s="4" t="s">
        <v>360</v>
      </c>
      <c r="R61" s="4" t="s">
        <v>360</v>
      </c>
      <c r="S61" s="4" t="s">
        <v>360</v>
      </c>
      <c r="T61" s="4" t="s">
        <v>360</v>
      </c>
      <c r="U61" s="4" t="s">
        <v>360</v>
      </c>
      <c r="V61" s="4" t="s">
        <v>360</v>
      </c>
      <c r="W61" s="4" t="s">
        <v>360</v>
      </c>
      <c r="X61" s="4" t="s">
        <v>360</v>
      </c>
      <c r="Y61" s="4" t="s">
        <v>360</v>
      </c>
      <c r="Z61" s="2" t="str">
        <f>IF(Tabla_VME[[#This Row],[id_padre]]=Tabla_VME[[#This Row],[Id]],"NOK","OK")</f>
        <v>OK</v>
      </c>
    </row>
    <row r="62" spans="1:26" hidden="1" x14ac:dyDescent="0.5">
      <c r="A62" s="2">
        <f>MAX(Tabla_Alimentacion[Id])</f>
        <v>1298</v>
      </c>
      <c r="B62">
        <v>1303</v>
      </c>
      <c r="C62" s="5">
        <f>IF(Tabla_VME[[#This Row],[id_padre]]="",0,_xlfn.XLOOKUP(Tabla_VME[[#This Row],[id_padre]],Tabla_VME[Id],Tabla_VME[Nivel],0,0,1)+1)</f>
        <v>2</v>
      </c>
      <c r="D62" s="2" t="s">
        <v>1168</v>
      </c>
      <c r="E62">
        <f>IF(Tabla_VME[[#This Row],[Id_anterior]]=1,ROW()-1,SUM(ROW()-1,Tabla_VME[[#This Row],[Id_anterior]]))</f>
        <v>1359</v>
      </c>
      <c r="F62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VIATICO_MONEDA_EXTRANJERA_INFORMES_INFORME__CUMPLIMIENTO_COMISION</v>
      </c>
      <c r="G62" s="2" t="str">
        <f>CLEAN(PROPER(Tabla_VME[[#This Row],[Nombre Opción]]))</f>
        <v>Informe De  Cumplimiento De Comision</v>
      </c>
      <c r="H62" s="2" t="s">
        <v>1735</v>
      </c>
      <c r="I62" s="2" t="str">
        <f>_xlfn.XLOOKUP(Tabla_VME[[#This Row],[id_padre]],Tabla_VME[Id],Tabla_VME[Codigo_Tecnico],"",0,1)</f>
        <v>VIATICO_MONEDA_EXTRANJERA_INFORMES</v>
      </c>
      <c r="J62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/viatico-moneda-extranjera/informes/informe--cumplimiento-comision</v>
      </c>
      <c r="K62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informe--cumplimiento-comision</v>
      </c>
      <c r="L62" s="6" t="s">
        <v>1519</v>
      </c>
      <c r="M62" s="2" t="s">
        <v>1802</v>
      </c>
      <c r="N62" s="4" t="s">
        <v>360</v>
      </c>
      <c r="O62" s="4" t="s">
        <v>360</v>
      </c>
      <c r="P62" s="4" t="s">
        <v>360</v>
      </c>
      <c r="Q62" s="4" t="s">
        <v>360</v>
      </c>
      <c r="R62" s="4" t="s">
        <v>360</v>
      </c>
      <c r="S62" s="4" t="s">
        <v>360</v>
      </c>
      <c r="T62" s="4" t="s">
        <v>360</v>
      </c>
      <c r="U62" s="4" t="s">
        <v>360</v>
      </c>
      <c r="V62" s="4" t="s">
        <v>360</v>
      </c>
      <c r="W62" s="4" t="s">
        <v>360</v>
      </c>
      <c r="X62" s="4" t="s">
        <v>360</v>
      </c>
      <c r="Y62" s="4" t="s">
        <v>360</v>
      </c>
      <c r="Z62" s="2" t="str">
        <f>IF(Tabla_VME[[#This Row],[id_padre]]=Tabla_VME[[#This Row],[Id]],"NOK","OK")</f>
        <v>OK</v>
      </c>
    </row>
    <row r="63" spans="1:26" hidden="1" x14ac:dyDescent="0.5">
      <c r="A63" s="2">
        <f>MAX(Tabla_Alimentacion[Id])</f>
        <v>1298</v>
      </c>
      <c r="B63">
        <v>1303</v>
      </c>
      <c r="C63" s="5">
        <f>IF(Tabla_VME[[#This Row],[id_padre]]="",0,_xlfn.XLOOKUP(Tabla_VME[[#This Row],[id_padre]],Tabla_VME[Id],Tabla_VME[Nivel],0,0,1)+1)</f>
        <v>2</v>
      </c>
      <c r="D63" s="2" t="s">
        <v>1138</v>
      </c>
      <c r="E63">
        <f>IF(Tabla_VME[[#This Row],[Id_anterior]]=1,ROW()-1,SUM(ROW()-1,Tabla_VME[[#This Row],[Id_anterior]]))</f>
        <v>1360</v>
      </c>
      <c r="F63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VIATICO_MONEDA_EXTRANJERA_INFORMES_CERTIFICADO_FONDOS_INF_CUMPLIMIENTO_COMISION</v>
      </c>
      <c r="G63" s="2" t="str">
        <f>CLEAN(PROPER(Tabla_VME[[#This Row],[Nombre Opción]]))</f>
        <v>Certificado De Fondos Inf. Cumplimiento Comision</v>
      </c>
      <c r="H63" s="2" t="s">
        <v>1735</v>
      </c>
      <c r="I63" s="2" t="str">
        <f>_xlfn.XLOOKUP(Tabla_VME[[#This Row],[id_padre]],Tabla_VME[Id],Tabla_VME[Codigo_Tecnico],"",0,1)</f>
        <v>VIATICO_MONEDA_EXTRANJERA_INFORMES</v>
      </c>
      <c r="J63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/viatico-moneda-extranjera/informes/certificado-fondos-inf-cumplimiento-comision</v>
      </c>
      <c r="K63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certificado-fondos-inf-cumplimiento-comision</v>
      </c>
      <c r="L63" s="6" t="s">
        <v>1386</v>
      </c>
      <c r="M63" s="2" t="s">
        <v>1802</v>
      </c>
      <c r="N63" s="4" t="s">
        <v>360</v>
      </c>
      <c r="O63" s="4" t="s">
        <v>360</v>
      </c>
      <c r="P63" s="4" t="s">
        <v>360</v>
      </c>
      <c r="Q63" s="4" t="s">
        <v>360</v>
      </c>
      <c r="R63" s="4" t="s">
        <v>360</v>
      </c>
      <c r="S63" s="4" t="s">
        <v>360</v>
      </c>
      <c r="T63" s="4" t="s">
        <v>360</v>
      </c>
      <c r="U63" s="4" t="s">
        <v>360</v>
      </c>
      <c r="V63" s="4" t="s">
        <v>360</v>
      </c>
      <c r="W63" s="4" t="s">
        <v>360</v>
      </c>
      <c r="X63" s="4" t="s">
        <v>360</v>
      </c>
      <c r="Y63" s="4" t="s">
        <v>360</v>
      </c>
      <c r="Z63" s="2" t="str">
        <f>IF(Tabla_VME[[#This Row],[id_padre]]=Tabla_VME[[#This Row],[Id]],"NOK","OK")</f>
        <v>OK</v>
      </c>
    </row>
    <row r="64" spans="1:26" hidden="1" x14ac:dyDescent="0.5">
      <c r="A64" s="2">
        <f>MAX(Tabla_Alimentacion[Id])</f>
        <v>1298</v>
      </c>
      <c r="B64">
        <v>1303</v>
      </c>
      <c r="C64" s="5">
        <f>IF(Tabla_VME[[#This Row],[id_padre]]="",0,_xlfn.XLOOKUP(Tabla_VME[[#This Row],[id_padre]],Tabla_VME[Id],Tabla_VME[Nivel],0,0,1)+1)</f>
        <v>2</v>
      </c>
      <c r="D64" s="2" t="s">
        <v>1169</v>
      </c>
      <c r="E64">
        <f>IF(Tabla_VME[[#This Row],[Id_anterior]]=1,ROW()-1,SUM(ROW()-1,Tabla_VME[[#This Row],[Id_anterior]]))</f>
        <v>1361</v>
      </c>
      <c r="F64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VIATICO_MONEDA_EXTRANJERA_INFORMES_PLANILLA_PAGO_ANTICIPO_VIATICOS</v>
      </c>
      <c r="G64" s="2" t="str">
        <f>CLEAN(PROPER(Tabla_VME[[#This Row],[Nombre Opción]]))</f>
        <v>Planilla De Pago De Anticipo De Viaticos</v>
      </c>
      <c r="H64" s="2" t="s">
        <v>1735</v>
      </c>
      <c r="I64" s="2" t="str">
        <f>_xlfn.XLOOKUP(Tabla_VME[[#This Row],[id_padre]],Tabla_VME[Id],Tabla_VME[Codigo_Tecnico],"",0,1)</f>
        <v>VIATICO_MONEDA_EXTRANJERA_INFORMES</v>
      </c>
      <c r="J64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/viatico-moneda-extranjera/informes/planilla-pago-anticipo-viaticos</v>
      </c>
      <c r="K64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planilla-pago-anticipo-viaticos</v>
      </c>
      <c r="L64" s="6" t="s">
        <v>1353</v>
      </c>
      <c r="M64" s="2" t="s">
        <v>1802</v>
      </c>
      <c r="N64" s="4" t="s">
        <v>360</v>
      </c>
      <c r="O64" s="4" t="s">
        <v>360</v>
      </c>
      <c r="P64" s="4" t="s">
        <v>360</v>
      </c>
      <c r="Q64" s="4" t="s">
        <v>360</v>
      </c>
      <c r="R64" s="4" t="s">
        <v>360</v>
      </c>
      <c r="S64" s="4" t="s">
        <v>360</v>
      </c>
      <c r="T64" s="4" t="s">
        <v>360</v>
      </c>
      <c r="U64" s="4" t="s">
        <v>360</v>
      </c>
      <c r="V64" s="4" t="s">
        <v>360</v>
      </c>
      <c r="W64" s="4" t="s">
        <v>360</v>
      </c>
      <c r="X64" s="4" t="s">
        <v>360</v>
      </c>
      <c r="Y64" s="4" t="s">
        <v>360</v>
      </c>
      <c r="Z64" s="2" t="str">
        <f>IF(Tabla_VME[[#This Row],[id_padre]]=Tabla_VME[[#This Row],[Id]],"NOK","OK")</f>
        <v>OK</v>
      </c>
    </row>
    <row r="65" spans="1:26" hidden="1" x14ac:dyDescent="0.5">
      <c r="A65" s="2">
        <f>MAX(Tabla_Alimentacion[Id])</f>
        <v>1298</v>
      </c>
      <c r="B65">
        <v>1303</v>
      </c>
      <c r="C65" s="5">
        <f>IF(Tabla_VME[[#This Row],[id_padre]]="",0,_xlfn.XLOOKUP(Tabla_VME[[#This Row],[id_padre]],Tabla_VME[Id],Tabla_VME[Nivel],0,0,1)+1)</f>
        <v>2</v>
      </c>
      <c r="D65" s="2" t="s">
        <v>1170</v>
      </c>
      <c r="E65">
        <f>IF(Tabla_VME[[#This Row],[Id_anterior]]=1,ROW()-1,SUM(ROW()-1,Tabla_VME[[#This Row],[Id_anterior]]))</f>
        <v>1362</v>
      </c>
      <c r="F65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VIATICO_MONEDA_EXTRANJERA_INFORMES_SITUACION_INFORME_CUMPLIMIENTO_COMISION</v>
      </c>
      <c r="G65" s="2" t="str">
        <f>CLEAN(PROPER(Tabla_VME[[#This Row],[Nombre Opción]]))</f>
        <v>Situacion De Informe De Cumplimiento De Comision</v>
      </c>
      <c r="H65" s="2" t="s">
        <v>1735</v>
      </c>
      <c r="I65" s="2" t="str">
        <f>_xlfn.XLOOKUP(Tabla_VME[[#This Row],[id_padre]],Tabla_VME[Id],Tabla_VME[Codigo_Tecnico],"",0,1)</f>
        <v>VIATICO_MONEDA_EXTRANJERA_INFORMES</v>
      </c>
      <c r="J65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/viatico-moneda-extranjera/informes/situacion-informe-cumplimiento-comision</v>
      </c>
      <c r="K65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situacion-informe-cumplimiento-comision</v>
      </c>
      <c r="L65" s="6" t="s">
        <v>1424</v>
      </c>
      <c r="M65" s="2" t="s">
        <v>1802</v>
      </c>
      <c r="N65" s="4" t="s">
        <v>360</v>
      </c>
      <c r="O65" s="4" t="s">
        <v>360</v>
      </c>
      <c r="P65" s="4" t="s">
        <v>360</v>
      </c>
      <c r="Q65" s="4" t="s">
        <v>360</v>
      </c>
      <c r="R65" s="4" t="s">
        <v>360</v>
      </c>
      <c r="S65" s="4" t="s">
        <v>360</v>
      </c>
      <c r="T65" s="4" t="s">
        <v>360</v>
      </c>
      <c r="U65" s="4" t="s">
        <v>360</v>
      </c>
      <c r="V65" s="4" t="s">
        <v>360</v>
      </c>
      <c r="W65" s="4" t="s">
        <v>360</v>
      </c>
      <c r="X65" s="4" t="s">
        <v>360</v>
      </c>
      <c r="Y65" s="4" t="s">
        <v>360</v>
      </c>
      <c r="Z65" s="2" t="str">
        <f>IF(Tabla_VME[[#This Row],[id_padre]]=Tabla_VME[[#This Row],[Id]],"NOK","OK")</f>
        <v>OK</v>
      </c>
    </row>
    <row r="66" spans="1:26" hidden="1" x14ac:dyDescent="0.5">
      <c r="A66" s="2">
        <f>MAX(Tabla_Alimentacion[Id])</f>
        <v>1298</v>
      </c>
      <c r="B66">
        <v>1303</v>
      </c>
      <c r="C66" s="5">
        <f>IF(Tabla_VME[[#This Row],[id_padre]]="",0,_xlfn.XLOOKUP(Tabla_VME[[#This Row],[id_padre]],Tabla_VME[Id],Tabla_VME[Nivel],0,0,1)+1)</f>
        <v>2</v>
      </c>
      <c r="D66" s="2" t="s">
        <v>1171</v>
      </c>
      <c r="E66">
        <f>IF(Tabla_VME[[#This Row],[Id_anterior]]=1,ROW()-1,SUM(ROW()-1,Tabla_VME[[#This Row],[Id_anterior]]))</f>
        <v>1363</v>
      </c>
      <c r="F66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VIATICO_MONEDA_EXTRANJERA_INFORMES_CARTOLA_COMISIONES_POR_FUNCIONARIO</v>
      </c>
      <c r="G66" s="2" t="str">
        <f>CLEAN(PROPER(Tabla_VME[[#This Row],[Nombre Opción]]))</f>
        <v>Cartola De Comisiones Por Funcionario</v>
      </c>
      <c r="H66" s="2" t="s">
        <v>1735</v>
      </c>
      <c r="I66" s="2" t="str">
        <f>_xlfn.XLOOKUP(Tabla_VME[[#This Row],[id_padre]],Tabla_VME[Id],Tabla_VME[Codigo_Tecnico],"",0,1)</f>
        <v>VIATICO_MONEDA_EXTRANJERA_INFORMES</v>
      </c>
      <c r="J66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/viatico-moneda-extranjera/informes/cartola-comisiones-por-funcionario</v>
      </c>
      <c r="K66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cartola-comisiones-por-funcionario</v>
      </c>
      <c r="L66" s="6" t="s">
        <v>1378</v>
      </c>
      <c r="M66" s="2" t="s">
        <v>1802</v>
      </c>
      <c r="N66" s="4" t="s">
        <v>360</v>
      </c>
      <c r="O66" s="4" t="s">
        <v>360</v>
      </c>
      <c r="P66" s="4" t="s">
        <v>360</v>
      </c>
      <c r="Q66" s="4" t="s">
        <v>360</v>
      </c>
      <c r="R66" s="4" t="s">
        <v>360</v>
      </c>
      <c r="S66" s="4" t="s">
        <v>360</v>
      </c>
      <c r="T66" s="4" t="s">
        <v>360</v>
      </c>
      <c r="U66" s="4" t="s">
        <v>360</v>
      </c>
      <c r="V66" s="4" t="s">
        <v>360</v>
      </c>
      <c r="W66" s="4" t="s">
        <v>360</v>
      </c>
      <c r="X66" s="4" t="s">
        <v>360</v>
      </c>
      <c r="Y66" s="4" t="s">
        <v>360</v>
      </c>
      <c r="Z66" s="2" t="str">
        <f>IF(Tabla_VME[[#This Row],[id_padre]]=Tabla_VME[[#This Row],[Id]],"NOK","OK")</f>
        <v>OK</v>
      </c>
    </row>
    <row r="67" spans="1:26" hidden="1" x14ac:dyDescent="0.5">
      <c r="A67" s="2">
        <f>MAX(Tabla_Alimentacion[Id])</f>
        <v>1298</v>
      </c>
      <c r="B67">
        <v>1303</v>
      </c>
      <c r="C67" s="5">
        <f>IF(Tabla_VME[[#This Row],[id_padre]]="",0,_xlfn.XLOOKUP(Tabla_VME[[#This Row],[id_padre]],Tabla_VME[Id],Tabla_VME[Nivel],0,0,1)+1)</f>
        <v>2</v>
      </c>
      <c r="D67" s="2" t="s">
        <v>1157</v>
      </c>
      <c r="E67">
        <f>IF(Tabla_VME[[#This Row],[Id_anterior]]=1,ROW()-1,SUM(ROW()-1,Tabla_VME[[#This Row],[Id_anterior]]))</f>
        <v>1364</v>
      </c>
      <c r="F67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VIATICO_MONEDA_EXTRANJERA_INFORMES_SITUACION_PRESUPUESTARIA_POR_UNIDAD_INTERNA</v>
      </c>
      <c r="G67" s="2" t="str">
        <f>CLEAN(PROPER(Tabla_VME[[#This Row],[Nombre Opción]]))</f>
        <v>Situacion Presupuestaria Por Unidad Interna</v>
      </c>
      <c r="H67" s="2" t="s">
        <v>1735</v>
      </c>
      <c r="I67" s="2" t="str">
        <f>_xlfn.XLOOKUP(Tabla_VME[[#This Row],[id_padre]],Tabla_VME[Id],Tabla_VME[Codigo_Tecnico],"",0,1)</f>
        <v>VIATICO_MONEDA_EXTRANJERA_INFORMES</v>
      </c>
      <c r="J67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/viatico-moneda-extranjera/informes/situacion-presupuestaria-por-unidad-interna</v>
      </c>
      <c r="K67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situacion-presupuestaria-por-unidad-interna</v>
      </c>
      <c r="L67" s="6" t="s">
        <v>1395</v>
      </c>
      <c r="M67" s="2" t="s">
        <v>1802</v>
      </c>
      <c r="N67" s="4" t="s">
        <v>360</v>
      </c>
      <c r="O67" s="4" t="s">
        <v>360</v>
      </c>
      <c r="P67" s="4" t="s">
        <v>360</v>
      </c>
      <c r="Q67" s="4" t="s">
        <v>360</v>
      </c>
      <c r="R67" s="4" t="s">
        <v>360</v>
      </c>
      <c r="S67" s="4" t="s">
        <v>360</v>
      </c>
      <c r="T67" s="4" t="s">
        <v>360</v>
      </c>
      <c r="U67" s="4" t="s">
        <v>360</v>
      </c>
      <c r="V67" s="4" t="s">
        <v>360</v>
      </c>
      <c r="W67" s="4" t="s">
        <v>360</v>
      </c>
      <c r="X67" s="4" t="s">
        <v>360</v>
      </c>
      <c r="Y67" s="4" t="s">
        <v>360</v>
      </c>
      <c r="Z67" s="2" t="str">
        <f>IF(Tabla_VME[[#This Row],[id_padre]]=Tabla_VME[[#This Row],[Id]],"NOK","OK")</f>
        <v>OK</v>
      </c>
    </row>
    <row r="68" spans="1:26" hidden="1" x14ac:dyDescent="0.5">
      <c r="A68" s="2">
        <f>MAX(Tabla_Alimentacion[Id])</f>
        <v>1298</v>
      </c>
      <c r="B68">
        <v>1303</v>
      </c>
      <c r="C68" s="5">
        <f>IF(Tabla_VME[[#This Row],[id_padre]]="",0,_xlfn.XLOOKUP(Tabla_VME[[#This Row],[id_padre]],Tabla_VME[Id],Tabla_VME[Nivel],0,0,1)+1)</f>
        <v>2</v>
      </c>
      <c r="D68" s="2" t="s">
        <v>1172</v>
      </c>
      <c r="E68">
        <f>IF(Tabla_VME[[#This Row],[Id_anterior]]=1,ROW()-1,SUM(ROW()-1,Tabla_VME[[#This Row],[Id_anterior]]))</f>
        <v>1365</v>
      </c>
      <c r="F68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VIATICO_MONEDA_EXTRANJERA_INFORMES_COMISIONES_AL_EXTRANJERO</v>
      </c>
      <c r="G68" s="2" t="str">
        <f>CLEAN(PROPER(Tabla_VME[[#This Row],[Nombre Opción]]))</f>
        <v>Comisiones Al Extranjero</v>
      </c>
      <c r="H68" s="2" t="s">
        <v>1735</v>
      </c>
      <c r="I68" s="2" t="str">
        <f>_xlfn.XLOOKUP(Tabla_VME[[#This Row],[id_padre]],Tabla_VME[Id],Tabla_VME[Codigo_Tecnico],"",0,1)</f>
        <v>VIATICO_MONEDA_EXTRANJERA_INFORMES</v>
      </c>
      <c r="J68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/viatico-moneda-extranjera/informes/comisiones-al-extranjero</v>
      </c>
      <c r="K68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comisiones-al-extranjero</v>
      </c>
      <c r="L68" s="6" t="s">
        <v>1522</v>
      </c>
      <c r="M68" s="2" t="s">
        <v>1802</v>
      </c>
      <c r="N68" s="4" t="s">
        <v>360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T68" s="4" t="s">
        <v>360</v>
      </c>
      <c r="U68" s="4" t="s">
        <v>360</v>
      </c>
      <c r="V68" s="4" t="s">
        <v>360</v>
      </c>
      <c r="W68" s="4" t="s">
        <v>360</v>
      </c>
      <c r="X68" s="4" t="s">
        <v>360</v>
      </c>
      <c r="Y68" s="4" t="s">
        <v>360</v>
      </c>
      <c r="Z68" s="2" t="str">
        <f>IF(Tabla_VME[[#This Row],[id_padre]]=Tabla_VME[[#This Row],[Id]],"NOK","OK")</f>
        <v>OK</v>
      </c>
    </row>
    <row r="69" spans="1:26" hidden="1" x14ac:dyDescent="0.5">
      <c r="A69" s="2">
        <f>MAX(Tabla_Alimentacion[Id])</f>
        <v>1298</v>
      </c>
      <c r="B69">
        <v>1303</v>
      </c>
      <c r="C69" s="5">
        <f>IF(Tabla_VME[[#This Row],[id_padre]]="",0,_xlfn.XLOOKUP(Tabla_VME[[#This Row],[id_padre]],Tabla_VME[Id],Tabla_VME[Nivel],0,0,1)+1)</f>
        <v>2</v>
      </c>
      <c r="D69" s="2" t="s">
        <v>412</v>
      </c>
      <c r="E69">
        <f>IF(Tabla_VME[[#This Row],[Id_anterior]]=1,ROW()-1,SUM(ROW()-1,Tabla_VME[[#This Row],[Id_anterior]]))</f>
        <v>1366</v>
      </c>
      <c r="F69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</v>
      </c>
      <c r="G69" s="2" t="str">
        <f>CLEAN(PROPER(Tabla_VME[[#This Row],[Nombre Opción]]))</f>
        <v>Categorizacion</v>
      </c>
      <c r="H69" s="2" t="s">
        <v>1735</v>
      </c>
      <c r="I69" s="2" t="str">
        <f>_xlfn.XLOOKUP(Tabla_VME[[#This Row],[id_padre]],Tabla_VME[Id],Tabla_VME[Codigo_Tecnico],"",0,1)</f>
        <v>VIATICO_MONEDA_EXTRANJERA_INFORMES</v>
      </c>
      <c r="J69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</v>
      </c>
      <c r="K69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</v>
      </c>
      <c r="L69" s="6" t="s">
        <v>1407</v>
      </c>
      <c r="M69" s="2" t="s">
        <v>1802</v>
      </c>
      <c r="N69" s="4" t="s">
        <v>360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T69" s="4" t="s">
        <v>360</v>
      </c>
      <c r="U69" s="4" t="s">
        <v>360</v>
      </c>
      <c r="V69" s="4" t="s">
        <v>360</v>
      </c>
      <c r="W69" s="4" t="s">
        <v>360</v>
      </c>
      <c r="X69" s="4" t="s">
        <v>360</v>
      </c>
      <c r="Y69" s="4" t="s">
        <v>360</v>
      </c>
      <c r="Z69" s="2" t="str">
        <f>IF(Tabla_VME[[#This Row],[id_padre]]=Tabla_VME[[#This Row],[Id]],"NOK","OK")</f>
        <v>OK</v>
      </c>
    </row>
    <row r="70" spans="1:26" hidden="1" x14ac:dyDescent="0.5">
      <c r="A70" s="2">
        <f>MAX(Tabla_Alimentacion[Id])</f>
        <v>1298</v>
      </c>
      <c r="B70">
        <v>1366</v>
      </c>
      <c r="C70" s="5">
        <f>IF(Tabla_VME[[#This Row],[id_padre]]="",0,_xlfn.XLOOKUP(Tabla_VME[[#This Row],[id_padre]],Tabla_VME[Id],Tabla_VME[Nivel],0,0,1)+1)</f>
        <v>3</v>
      </c>
      <c r="D70" s="2" t="s">
        <v>26</v>
      </c>
      <c r="E70">
        <f>IF(Tabla_VME[[#This Row],[Id_anterior]]=1,ROW()-1,SUM(ROW()-1,Tabla_VME[[#This Row],[Id_anterior]]))</f>
        <v>1367</v>
      </c>
      <c r="F70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VIATICO_MONEDA_EXTRANJERA_INFORMES_CATEGORIZACION_UNIDAD</v>
      </c>
      <c r="G70" s="2" t="str">
        <f>CLEAN(PROPER(Tabla_VME[[#This Row],[Nombre Opción]]))</f>
        <v>Unidad</v>
      </c>
      <c r="H70" s="2" t="s">
        <v>1735</v>
      </c>
      <c r="I70" s="2" t="str">
        <f>_xlfn.XLOOKUP(Tabla_VME[[#This Row],[id_padre]],Tabla_VME[Id],Tabla_VME[Codigo_Tecnico],"",0,1)</f>
        <v>VIATICO_MONEDA_EXTRANJERA_INFORMES_CATEGORIZACION</v>
      </c>
      <c r="J70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/viatico-moneda-extranjera/informes/categorizacion/unidad</v>
      </c>
      <c r="K70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</v>
      </c>
      <c r="L70" s="6" t="s">
        <v>1341</v>
      </c>
      <c r="M70" s="2" t="s">
        <v>1802</v>
      </c>
      <c r="N70" s="4" t="s">
        <v>360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T70" s="4" t="s">
        <v>360</v>
      </c>
      <c r="U70" s="4" t="s">
        <v>360</v>
      </c>
      <c r="V70" s="4" t="s">
        <v>360</v>
      </c>
      <c r="W70" s="4" t="s">
        <v>360</v>
      </c>
      <c r="X70" s="4" t="s">
        <v>360</v>
      </c>
      <c r="Y70" s="4" t="s">
        <v>360</v>
      </c>
      <c r="Z70" s="2" t="str">
        <f>IF(Tabla_VME[[#This Row],[id_padre]]=Tabla_VME[[#This Row],[Id]],"NOK","OK")</f>
        <v>OK</v>
      </c>
    </row>
    <row r="71" spans="1:26" hidden="1" x14ac:dyDescent="0.5">
      <c r="A71" s="2">
        <f>MAX(Tabla_Alimentacion[Id])</f>
        <v>1298</v>
      </c>
      <c r="B71">
        <v>1367</v>
      </c>
      <c r="C71" s="5">
        <f>IF(Tabla_VME[[#This Row],[id_padre]]="",0,_xlfn.XLOOKUP(Tabla_VME[[#This Row],[id_padre]],Tabla_VME[Id],Tabla_VME[Nivel],0,0,1)+1)</f>
        <v>4</v>
      </c>
      <c r="D71" s="2" t="s">
        <v>1176</v>
      </c>
      <c r="E71">
        <f>IF(Tabla_VME[[#This Row],[Id_anterior]]=1,ROW()-1,SUM(ROW()-1,Tabla_VME[[#This Row],[Id_anterior]]))</f>
        <v>1368</v>
      </c>
      <c r="F71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VIATICO_MONEDA_EXTRANJERA_INFORMES_CATEGORIZACION_UNIDAD_CATEGORIZACION_SOLICCOMISIONES</v>
      </c>
      <c r="G71" s="2" t="str">
        <f>CLEAN(PROPER(Tabla_VME[[#This Row],[Nombre Opción]]))</f>
        <v>Categorizacion Solic.Comisiones</v>
      </c>
      <c r="H71" s="2" t="s">
        <v>1735</v>
      </c>
      <c r="I71" s="2" t="str">
        <f>_xlfn.XLOOKUP(Tabla_VME[[#This Row],[id_padre]],Tabla_VME[Id],Tabla_VME[Codigo_Tecnico],"",0,1)</f>
        <v>VIATICO_MONEDA_EXTRANJERA_INFORMES_CATEGORIZACION_UNIDAD</v>
      </c>
      <c r="J71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/viatico-moneda-extranjera/informes/categorizacion/unidad/categorizacion-soliccomisiones</v>
      </c>
      <c r="K71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categorizacion-soliccomisiones</v>
      </c>
      <c r="L71" s="6" t="s">
        <v>1369</v>
      </c>
      <c r="M71" s="2" t="s">
        <v>1802</v>
      </c>
      <c r="N71" s="4" t="s">
        <v>360</v>
      </c>
      <c r="O71" s="4" t="s">
        <v>360</v>
      </c>
      <c r="P71" s="4" t="s">
        <v>360</v>
      </c>
      <c r="Q71" s="4" t="s">
        <v>360</v>
      </c>
      <c r="R71" s="4" t="s">
        <v>360</v>
      </c>
      <c r="S71" s="4" t="s">
        <v>360</v>
      </c>
      <c r="T71" s="4" t="s">
        <v>360</v>
      </c>
      <c r="U71" s="4" t="s">
        <v>360</v>
      </c>
      <c r="V71" s="4" t="s">
        <v>360</v>
      </c>
      <c r="W71" s="4" t="s">
        <v>360</v>
      </c>
      <c r="X71" s="4" t="s">
        <v>360</v>
      </c>
      <c r="Y71" s="4" t="s">
        <v>360</v>
      </c>
      <c r="Z71" s="2" t="str">
        <f>IF(Tabla_VME[[#This Row],[id_padre]]=Tabla_VME[[#This Row],[Id]],"NOK","OK")</f>
        <v>OK</v>
      </c>
    </row>
    <row r="72" spans="1:26" hidden="1" x14ac:dyDescent="0.5">
      <c r="A72" s="2">
        <f>MAX(Tabla_Alimentacion[Id])</f>
        <v>1298</v>
      </c>
      <c r="B72">
        <v>1368</v>
      </c>
      <c r="C72" s="5">
        <f>IF(Tabla_VME[[#This Row],[id_padre]]="",0,_xlfn.XLOOKUP(Tabla_VME[[#This Row],[id_padre]],Tabla_VME[Id],Tabla_VME[Nivel],0,0,1)+1)</f>
        <v>5</v>
      </c>
      <c r="D72" s="2" t="s">
        <v>26</v>
      </c>
      <c r="E72">
        <f>IF(Tabla_VME[[#This Row],[Id_anterior]]=1,ROW()-1,SUM(ROW()-1,Tabla_VME[[#This Row],[Id_anterior]]))</f>
        <v>1369</v>
      </c>
      <c r="F72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VIATICO_MONEDA_EXTRANJERA_INFORMES_CATEGORIZACION_UNIDAD_CATEGORIZACION_SOLICCOMISIONES_UNIDAD</v>
      </c>
      <c r="G72" s="2" t="str">
        <f>CLEAN(PROPER(Tabla_VME[[#This Row],[Nombre Opción]]))</f>
        <v>Unidad</v>
      </c>
      <c r="H72" s="2" t="s">
        <v>1735</v>
      </c>
      <c r="I72" s="2" t="str">
        <f>_xlfn.XLOOKUP(Tabla_VME[[#This Row],[id_padre]],Tabla_VME[Id],Tabla_VME[Codigo_Tecnico],"",0,1)</f>
        <v>VIATICO_MONEDA_EXTRANJERA_INFORMES_CATEGORIZACION_UNIDAD_CATEGORIZACION_SOLICCOMISIONES</v>
      </c>
      <c r="J72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/viatico-moneda-extranjera/informes/categorizacion/unidad/categorizacion-soliccomisiones/unidad</v>
      </c>
      <c r="K72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</v>
      </c>
      <c r="L72" s="6" t="s">
        <v>1341</v>
      </c>
      <c r="M72" s="2" t="s">
        <v>1802</v>
      </c>
      <c r="N72" s="4" t="s">
        <v>360</v>
      </c>
      <c r="O72" s="4" t="s">
        <v>360</v>
      </c>
      <c r="P72" s="4" t="s">
        <v>360</v>
      </c>
      <c r="Q72" s="4" t="s">
        <v>360</v>
      </c>
      <c r="R72" s="4" t="s">
        <v>360</v>
      </c>
      <c r="S72" s="4" t="s">
        <v>360</v>
      </c>
      <c r="T72" s="4" t="s">
        <v>360</v>
      </c>
      <c r="U72" s="4" t="s">
        <v>360</v>
      </c>
      <c r="V72" s="4" t="s">
        <v>360</v>
      </c>
      <c r="W72" s="4" t="s">
        <v>360</v>
      </c>
      <c r="X72" s="4" t="s">
        <v>360</v>
      </c>
      <c r="Y72" s="4" t="s">
        <v>360</v>
      </c>
      <c r="Z72" s="2" t="str">
        <f>IF(Tabla_VME[[#This Row],[id_padre]]=Tabla_VME[[#This Row],[Id]],"NOK","OK")</f>
        <v>OK</v>
      </c>
    </row>
    <row r="73" spans="1:26" hidden="1" x14ac:dyDescent="0.5">
      <c r="A73" s="2">
        <f>MAX(Tabla_Alimentacion[Id])</f>
        <v>1298</v>
      </c>
      <c r="B73">
        <v>1368</v>
      </c>
      <c r="C73" s="5">
        <f>IF(Tabla_VME[[#This Row],[id_padre]]="",0,_xlfn.XLOOKUP(Tabla_VME[[#This Row],[id_padre]],Tabla_VME[Id],Tabla_VME[Nivel],0,0,1)+1)</f>
        <v>5</v>
      </c>
      <c r="D73" s="2" t="s">
        <v>1174</v>
      </c>
      <c r="E73">
        <f>IF(Tabla_VME[[#This Row],[Id_anterior]]=1,ROW()-1,SUM(ROW()-1,Tabla_VME[[#This Row],[Id_anterior]]))</f>
        <v>1370</v>
      </c>
      <c r="F73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VIATICO_MONEDA_EXTRANJERA_INFORMES_CATEGORIZACION_UNIDAD_CATEGORIZACION_SOLICCOMISIONES_UNIDAD_UUII</v>
      </c>
      <c r="G73" s="2" t="str">
        <f>CLEAN(PROPER(Tabla_VME[[#This Row],[Nombre Opción]]))</f>
        <v>Unidad / Uu.Ii</v>
      </c>
      <c r="H73" s="2" t="s">
        <v>1735</v>
      </c>
      <c r="I73" s="2" t="str">
        <f>_xlfn.XLOOKUP(Tabla_VME[[#This Row],[id_padre]],Tabla_VME[Id],Tabla_VME[Codigo_Tecnico],"",0,1)</f>
        <v>VIATICO_MONEDA_EXTRANJERA_INFORMES_CATEGORIZACION_UNIDAD_CATEGORIZACION_SOLICCOMISIONES</v>
      </c>
      <c r="J73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/viatico-moneda-extranjera/informes/categorizacion/unidad/categorizacion-soliccomisiones/unidad-uuii</v>
      </c>
      <c r="K73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unidad-uuii</v>
      </c>
      <c r="L73" s="6" t="s">
        <v>1389</v>
      </c>
      <c r="M73" s="2" t="s">
        <v>1802</v>
      </c>
      <c r="N73" s="4" t="s">
        <v>360</v>
      </c>
      <c r="O73" s="4" t="s">
        <v>360</v>
      </c>
      <c r="P73" s="4" t="s">
        <v>360</v>
      </c>
      <c r="Q73" s="4" t="s">
        <v>360</v>
      </c>
      <c r="R73" s="4" t="s">
        <v>360</v>
      </c>
      <c r="S73" s="4" t="s">
        <v>360</v>
      </c>
      <c r="T73" s="4" t="s">
        <v>360</v>
      </c>
      <c r="U73" s="4" t="s">
        <v>360</v>
      </c>
      <c r="V73" s="4" t="s">
        <v>360</v>
      </c>
      <c r="W73" s="4" t="s">
        <v>360</v>
      </c>
      <c r="X73" s="4" t="s">
        <v>360</v>
      </c>
      <c r="Y73" s="4" t="s">
        <v>360</v>
      </c>
      <c r="Z73" s="2" t="str">
        <f>IF(Tabla_VME[[#This Row],[id_padre]]=Tabla_VME[[#This Row],[Id]],"NOK","OK")</f>
        <v>OK</v>
      </c>
    </row>
    <row r="74" spans="1:26" hidden="1" x14ac:dyDescent="0.5">
      <c r="A74" s="2">
        <f>MAX(Tabla_Alimentacion[Id])</f>
        <v>1298</v>
      </c>
      <c r="B74">
        <v>1368</v>
      </c>
      <c r="C74" s="5">
        <f>IF(Tabla_VME[[#This Row],[id_padre]]="",0,_xlfn.XLOOKUP(Tabla_VME[[#This Row],[id_padre]],Tabla_VME[Id],Tabla_VME[Nivel],0,0,1)+1)</f>
        <v>5</v>
      </c>
      <c r="D74" s="2" t="s">
        <v>434</v>
      </c>
      <c r="E74">
        <f>IF(Tabla_VME[[#This Row],[Id_anterior]]=1,ROW()-1,SUM(ROW()-1,Tabla_VME[[#This Row],[Id_anterior]]))</f>
        <v>1371</v>
      </c>
      <c r="F74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VIATICO_MONEDA_EXTRANJERA_INFORMES_CATEGORIZACION_UNIDAD_CATEGORIZACION_SOLICCOMISIONES_UNIDAD_INTERNA</v>
      </c>
      <c r="G74" s="2" t="str">
        <f>CLEAN(PROPER(Tabla_VME[[#This Row],[Nombre Opción]]))</f>
        <v>Unidad Interna</v>
      </c>
      <c r="H74" s="2" t="s">
        <v>1735</v>
      </c>
      <c r="I74" s="2" t="str">
        <f>_xlfn.XLOOKUP(Tabla_VME[[#This Row],[id_padre]],Tabla_VME[Id],Tabla_VME[Codigo_Tecnico],"",0,1)</f>
        <v>VIATICO_MONEDA_EXTRANJERA_INFORMES_CATEGORIZACION_UNIDAD_CATEGORIZACION_SOLICCOMISIONES</v>
      </c>
      <c r="J74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/viatico-moneda-extranjera/informes/categorizacion/unidad/categorizacion-soliccomisiones/unidad-interna</v>
      </c>
      <c r="K74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unidad-interna</v>
      </c>
      <c r="L74" s="6" t="s">
        <v>1389</v>
      </c>
      <c r="M74" s="2" t="s">
        <v>1802</v>
      </c>
      <c r="N74" s="4" t="s">
        <v>360</v>
      </c>
      <c r="O74" s="4" t="s">
        <v>360</v>
      </c>
      <c r="P74" s="4" t="s">
        <v>360</v>
      </c>
      <c r="Q74" s="4" t="s">
        <v>360</v>
      </c>
      <c r="R74" s="4" t="s">
        <v>360</v>
      </c>
      <c r="S74" s="4" t="s">
        <v>360</v>
      </c>
      <c r="T74" s="4" t="s">
        <v>360</v>
      </c>
      <c r="U74" s="4" t="s">
        <v>360</v>
      </c>
      <c r="V74" s="4" t="s">
        <v>360</v>
      </c>
      <c r="W74" s="4" t="s">
        <v>360</v>
      </c>
      <c r="X74" s="4" t="s">
        <v>360</v>
      </c>
      <c r="Y74" s="4" t="s">
        <v>360</v>
      </c>
      <c r="Z74" s="2" t="str">
        <f>IF(Tabla_VME[[#This Row],[id_padre]]=Tabla_VME[[#This Row],[Id]],"NOK","OK")</f>
        <v>OK</v>
      </c>
    </row>
    <row r="75" spans="1:26" hidden="1" x14ac:dyDescent="0.5">
      <c r="A75" s="2">
        <f>MAX(Tabla_Alimentacion[Id])</f>
        <v>1298</v>
      </c>
      <c r="B75">
        <v>1367</v>
      </c>
      <c r="C75" s="5">
        <f>IF(Tabla_VME[[#This Row],[id_padre]]="",0,_xlfn.XLOOKUP(Tabla_VME[[#This Row],[id_padre]],Tabla_VME[Id],Tabla_VME[Nivel],0,0,1)+1)</f>
        <v>4</v>
      </c>
      <c r="D75" s="2" t="s">
        <v>1173</v>
      </c>
      <c r="E75">
        <f>IF(Tabla_VME[[#This Row],[Id_anterior]]=1,ROW()-1,SUM(ROW()-1,Tabla_VME[[#This Row],[Id_anterior]]))</f>
        <v>1372</v>
      </c>
      <c r="F75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VIATICO_MONEDA_EXTRANJERA_INFORMES_CATEGORIZACION_UNIDAD_SOLICCOMISIONES__CATEGORIZACION_POR_UNIDAD</v>
      </c>
      <c r="G75" s="2" t="str">
        <f>CLEAN(PROPER(Tabla_VME[[#This Row],[Nombre Opción]]))</f>
        <v>Solic.Comisiones  Categorizacion Por Unidad</v>
      </c>
      <c r="H75" s="2" t="s">
        <v>1735</v>
      </c>
      <c r="I75" s="2" t="str">
        <f>_xlfn.XLOOKUP(Tabla_VME[[#This Row],[id_padre]],Tabla_VME[Id],Tabla_VME[Codigo_Tecnico],"",0,1)</f>
        <v>VIATICO_MONEDA_EXTRANJERA_INFORMES_CATEGORIZACION_UNIDAD</v>
      </c>
      <c r="J75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/viatico-moneda-extranjera/informes/categorizacion/unidad/soliccomisiones--categorizacion-por-unidad</v>
      </c>
      <c r="K75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soliccomisiones--categorizacion-por-unidad</v>
      </c>
      <c r="L75" s="6" t="s">
        <v>1341</v>
      </c>
      <c r="M75" s="2" t="s">
        <v>1802</v>
      </c>
      <c r="N75" s="4" t="s">
        <v>360</v>
      </c>
      <c r="O75" s="4" t="s">
        <v>360</v>
      </c>
      <c r="P75" s="4" t="s">
        <v>360</v>
      </c>
      <c r="Q75" s="4" t="s">
        <v>360</v>
      </c>
      <c r="R75" s="4" t="s">
        <v>360</v>
      </c>
      <c r="S75" s="4" t="s">
        <v>360</v>
      </c>
      <c r="T75" s="4" t="s">
        <v>360</v>
      </c>
      <c r="U75" s="4" t="s">
        <v>360</v>
      </c>
      <c r="V75" s="4" t="s">
        <v>360</v>
      </c>
      <c r="W75" s="4" t="s">
        <v>360</v>
      </c>
      <c r="X75" s="4" t="s">
        <v>360</v>
      </c>
      <c r="Y75" s="4" t="s">
        <v>360</v>
      </c>
      <c r="Z75" s="2" t="str">
        <f>IF(Tabla_VME[[#This Row],[id_padre]]=Tabla_VME[[#This Row],[Id]],"NOK","OK")</f>
        <v>OK</v>
      </c>
    </row>
    <row r="76" spans="1:26" hidden="1" x14ac:dyDescent="0.5">
      <c r="A76" s="2">
        <f>MAX(Tabla_Alimentacion[Id])</f>
        <v>1298</v>
      </c>
      <c r="B76">
        <v>1366</v>
      </c>
      <c r="C76" s="5">
        <f>IF(Tabla_VME[[#This Row],[id_padre]]="",0,_xlfn.XLOOKUP(Tabla_VME[[#This Row],[id_padre]],Tabla_VME[Id],Tabla_VME[Nivel],0,0,1)+1)</f>
        <v>3</v>
      </c>
      <c r="D76" s="2" t="s">
        <v>436</v>
      </c>
      <c r="E76">
        <f>IF(Tabla_VME[[#This Row],[Id_anterior]]=1,ROW()-1,SUM(ROW()-1,Tabla_VME[[#This Row],[Id_anterior]]))</f>
        <v>1373</v>
      </c>
      <c r="F76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VIATICO_MONEDA_EXTRANJERA_INFORMES_CATEGORIZACION_CONSOLIDADOS</v>
      </c>
      <c r="G76" s="2" t="str">
        <f>CLEAN(PROPER(Tabla_VME[[#This Row],[Nombre Opción]]))</f>
        <v>Consolidados</v>
      </c>
      <c r="H76" s="2" t="s">
        <v>1735</v>
      </c>
      <c r="I76" s="2" t="str">
        <f>_xlfn.XLOOKUP(Tabla_VME[[#This Row],[id_padre]],Tabla_VME[Id],Tabla_VME[Codigo_Tecnico],"",0,1)</f>
        <v>VIATICO_MONEDA_EXTRANJERA_INFORMES_CATEGORIZACION</v>
      </c>
      <c r="J76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/viatico-moneda-extranjera/informes/categorizacion/consolidados</v>
      </c>
      <c r="K76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consolidados</v>
      </c>
      <c r="L76" s="6" t="s">
        <v>1412</v>
      </c>
      <c r="M76" s="2" t="s">
        <v>1802</v>
      </c>
      <c r="N76" s="4" t="s">
        <v>360</v>
      </c>
      <c r="O76" s="4" t="s">
        <v>360</v>
      </c>
      <c r="P76" s="4" t="s">
        <v>360</v>
      </c>
      <c r="Q76" s="4" t="s">
        <v>360</v>
      </c>
      <c r="R76" s="4" t="s">
        <v>360</v>
      </c>
      <c r="S76" s="4" t="s">
        <v>360</v>
      </c>
      <c r="T76" s="4" t="s">
        <v>360</v>
      </c>
      <c r="U76" s="4" t="s">
        <v>360</v>
      </c>
      <c r="V76" s="4" t="s">
        <v>360</v>
      </c>
      <c r="Y76" s="4" t="s">
        <v>360</v>
      </c>
      <c r="Z76" s="2" t="str">
        <f>IF(Tabla_VME[[#This Row],[id_padre]]=Tabla_VME[[#This Row],[Id]],"NOK","OK")</f>
        <v>OK</v>
      </c>
    </row>
    <row r="77" spans="1:26" hidden="1" x14ac:dyDescent="0.5">
      <c r="A77" s="2">
        <f>MAX(Tabla_Alimentacion[Id])</f>
        <v>1298</v>
      </c>
      <c r="B77">
        <v>1373</v>
      </c>
      <c r="C77" s="5">
        <f>IF(Tabla_VME[[#This Row],[id_padre]]="",0,_xlfn.XLOOKUP(Tabla_VME[[#This Row],[id_padre]],Tabla_VME[Id],Tabla_VME[Nivel],0,0,1)+1)</f>
        <v>4</v>
      </c>
      <c r="D77" s="2" t="s">
        <v>1176</v>
      </c>
      <c r="E77">
        <f>IF(Tabla_VME[[#This Row],[Id_anterior]]=1,ROW()-1,SUM(ROW()-1,Tabla_VME[[#This Row],[Id_anterior]]))</f>
        <v>1374</v>
      </c>
      <c r="F77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VIATICO_MONEDA_EXTRANJERA_INFORMES_CATEGORIZACION_CONSOLIDADOS_CATEGORIZACION_SOLICCOMISIONES</v>
      </c>
      <c r="G77" s="2" t="str">
        <f>CLEAN(PROPER(Tabla_VME[[#This Row],[Nombre Opción]]))</f>
        <v>Categorizacion Solic.Comisiones</v>
      </c>
      <c r="H77" s="2" t="s">
        <v>1735</v>
      </c>
      <c r="I77" s="2" t="str">
        <f>_xlfn.XLOOKUP(Tabla_VME[[#This Row],[id_padre]],Tabla_VME[Id],Tabla_VME[Codigo_Tecnico],"",0,1)</f>
        <v>VIATICO_MONEDA_EXTRANJERA_INFORMES_CATEGORIZACION_CONSOLIDADOS</v>
      </c>
      <c r="J77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/viatico-moneda-extranjera/informes/categorizacion/consolidados/categorizacion-soliccomisiones</v>
      </c>
      <c r="K77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categorizacion-soliccomisiones</v>
      </c>
      <c r="L77" s="6" t="s">
        <v>1488</v>
      </c>
      <c r="M77" s="2" t="s">
        <v>1802</v>
      </c>
      <c r="N77" s="4" t="s">
        <v>360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T77" s="4" t="s">
        <v>360</v>
      </c>
      <c r="U77" s="4" t="s">
        <v>360</v>
      </c>
      <c r="V77" s="4" t="s">
        <v>360</v>
      </c>
      <c r="Y77" s="4" t="s">
        <v>360</v>
      </c>
      <c r="Z77" s="2" t="str">
        <f>IF(Tabla_VME[[#This Row],[id_padre]]=Tabla_VME[[#This Row],[Id]],"NOK","OK")</f>
        <v>OK</v>
      </c>
    </row>
    <row r="78" spans="1:26" hidden="1" x14ac:dyDescent="0.5">
      <c r="A78" s="2">
        <f>MAX(Tabla_Alimentacion[Id])</f>
        <v>1298</v>
      </c>
      <c r="B78">
        <v>1373</v>
      </c>
      <c r="C78" s="5">
        <f>IF(Tabla_VME[[#This Row],[id_padre]]="",0,_xlfn.XLOOKUP(Tabla_VME[[#This Row],[id_padre]],Tabla_VME[Id],Tabla_VME[Nivel],0,0,1)+1)</f>
        <v>4</v>
      </c>
      <c r="D78" s="2" t="s">
        <v>1175</v>
      </c>
      <c r="E78">
        <f>IF(Tabla_VME[[#This Row],[Id_anterior]]=1,ROW()-1,SUM(ROW()-1,Tabla_VME[[#This Row],[Id_anterior]]))</f>
        <v>1375</v>
      </c>
      <c r="F78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VIATICO_MONEDA_EXTRANJERA_INFORMES_CATEGORIZACION_CONSOLIDADOS_CATEGORIZACION_SOLICCOMISIONES___CONSOLIDADOS</v>
      </c>
      <c r="G78" s="2" t="str">
        <f>CLEAN(PROPER(Tabla_VME[[#This Row],[Nombre Opción]]))</f>
        <v>Categorizacion Solic.Comisiones - Consolidados</v>
      </c>
      <c r="H78" s="2" t="s">
        <v>1735</v>
      </c>
      <c r="I78" s="2" t="str">
        <f>_xlfn.XLOOKUP(Tabla_VME[[#This Row],[id_padre]],Tabla_VME[Id],Tabla_VME[Codigo_Tecnico],"",0,1)</f>
        <v>VIATICO_MONEDA_EXTRANJERA_INFORMES_CATEGORIZACION_CONSOLIDADOS</v>
      </c>
      <c r="J78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/viatico-moneda-extranjera/informes/categorizacion/consolidados/categorizacion-soliccomisiones---consolidados</v>
      </c>
      <c r="K78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categorizacion-soliccomisiones---consolidados</v>
      </c>
      <c r="L78" s="6" t="s">
        <v>1387</v>
      </c>
      <c r="M78" s="2" t="s">
        <v>1802</v>
      </c>
      <c r="N78" s="4" t="s">
        <v>360</v>
      </c>
      <c r="O78" s="4" t="s">
        <v>360</v>
      </c>
      <c r="P78" s="4" t="s">
        <v>360</v>
      </c>
      <c r="Q78" s="4" t="s">
        <v>360</v>
      </c>
      <c r="R78" s="4" t="s">
        <v>360</v>
      </c>
      <c r="S78" s="4" t="s">
        <v>360</v>
      </c>
      <c r="T78" s="4" t="s">
        <v>360</v>
      </c>
      <c r="U78" s="4" t="s">
        <v>360</v>
      </c>
      <c r="V78" s="4" t="s">
        <v>360</v>
      </c>
      <c r="Y78" s="4" t="s">
        <v>360</v>
      </c>
      <c r="Z78" s="2" t="str">
        <f>IF(Tabla_VME[[#This Row],[id_padre]]=Tabla_VME[[#This Row],[Id]],"NOK","OK")</f>
        <v>OK</v>
      </c>
    </row>
    <row r="79" spans="1:26" hidden="1" x14ac:dyDescent="0.5">
      <c r="A79" s="2">
        <f>MAX(Tabla_Alimentacion[Id])</f>
        <v>1298</v>
      </c>
      <c r="B79">
        <v>1303</v>
      </c>
      <c r="C79" s="5">
        <f>IF(Tabla_VME[[#This Row],[id_padre]]="",0,_xlfn.XLOOKUP(Tabla_VME[[#This Row],[id_padre]],Tabla_VME[Id],Tabla_VME[Nivel],0,0,1)+1)</f>
        <v>2</v>
      </c>
      <c r="D79" s="2" t="s">
        <v>1147</v>
      </c>
      <c r="E79">
        <f>IF(Tabla_VME[[#This Row],[Id_anterior]]=1,ROW()-1,SUM(ROW()-1,Tabla_VME[[#This Row],[Id_anterior]]))</f>
        <v>1376</v>
      </c>
      <c r="F79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VIATICO_MONEDA_EXTRANJERA_INFORMES_CERTIFICADO_FONDOS_BENEFICIO_MAS_30_DIAS</v>
      </c>
      <c r="G79" s="2" t="str">
        <f>CLEAN(PROPER(Tabla_VME[[#This Row],[Nombre Opción]]))</f>
        <v>Certificado De Fondos Beneficio Mas De 30 Dias</v>
      </c>
      <c r="H79" s="2" t="s">
        <v>1735</v>
      </c>
      <c r="I79" s="2" t="str">
        <f>_xlfn.XLOOKUP(Tabla_VME[[#This Row],[id_padre]],Tabla_VME[Id],Tabla_VME[Codigo_Tecnico],"",0,1)</f>
        <v>VIATICO_MONEDA_EXTRANJERA_INFORMES</v>
      </c>
      <c r="J79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/viatico-moneda-extranjera/informes/certificado-fondos-beneficio-mas-30-dias</v>
      </c>
      <c r="K79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certificado-fondos-beneficio-mas-30-dias</v>
      </c>
      <c r="L79" s="6" t="s">
        <v>1357</v>
      </c>
      <c r="M79" s="2" t="s">
        <v>1802</v>
      </c>
      <c r="N79" s="4" t="s">
        <v>360</v>
      </c>
      <c r="O79" s="4" t="s">
        <v>360</v>
      </c>
      <c r="P79" s="4" t="s">
        <v>360</v>
      </c>
      <c r="Q79" s="4"/>
      <c r="R79" s="4" t="s">
        <v>360</v>
      </c>
      <c r="S79" s="4" t="s">
        <v>360</v>
      </c>
      <c r="U79" s="4" t="s">
        <v>360</v>
      </c>
      <c r="V79" s="4" t="s">
        <v>360</v>
      </c>
      <c r="X79" s="4" t="s">
        <v>360</v>
      </c>
      <c r="Y79" s="4" t="s">
        <v>360</v>
      </c>
      <c r="Z79" s="2" t="str">
        <f>IF(Tabla_VME[[#This Row],[id_padre]]=Tabla_VME[[#This Row],[Id]],"NOK","OK")</f>
        <v>OK</v>
      </c>
    </row>
    <row r="80" spans="1:26" hidden="1" x14ac:dyDescent="0.5">
      <c r="A80" s="2">
        <f>MAX(Tabla_Alimentacion[Id])</f>
        <v>1298</v>
      </c>
      <c r="B80">
        <v>1303</v>
      </c>
      <c r="C80" s="5">
        <f>IF(Tabla_VME[[#This Row],[id_padre]]="",0,_xlfn.XLOOKUP(Tabla_VME[[#This Row],[id_padre]],Tabla_VME[Id],Tabla_VME[Nivel],0,0,1)+1)</f>
        <v>2</v>
      </c>
      <c r="D80" s="2" t="s">
        <v>439</v>
      </c>
      <c r="E80">
        <f>IF(Tabla_VME[[#This Row],[Id_anterior]]=1,ROW()-1,SUM(ROW()-1,Tabla_VME[[#This Row],[Id_anterior]]))</f>
        <v>1377</v>
      </c>
      <c r="F80" s="2" t="str">
        <f>IF(Tabla_VME[[#This Row],[id_padre]]="",SUBSTITUTE(UPPER(Tabla_VME[[#This Row],[Slug]]),"-","_"),CONCATENATE(_xlfn.XLOOKUP(Tabla_VME[[#This Row],[id_padre]],Tabla_VME[Id],Tabla_VME[Codigo_Tecnico],"",0,1),"_",SUBSTITUTE(UPPER(Tabla_VME[[#This Row],[Slug]]),"-","_")))</f>
        <v>VIATICO_MONEDA_EXTRANJERA_INFORMES_INFORME_RESOLUCION_PARA_INFORMES_CAIGG</v>
      </c>
      <c r="G80" s="2" t="str">
        <f>CLEAN(PROPER(Tabla_VME[[#This Row],[Nombre Opción]]))</f>
        <v>Informe Resolucion Para Informes C.A.I.G.G</v>
      </c>
      <c r="H80" s="2" t="s">
        <v>1735</v>
      </c>
      <c r="I80" s="2" t="str">
        <f>_xlfn.XLOOKUP(Tabla_VME[[#This Row],[id_padre]],Tabla_VME[Id],Tabla_VME[Codigo_Tecnico],"",0,1)</f>
        <v>VIATICO_MONEDA_EXTRANJERA_INFORMES</v>
      </c>
      <c r="J80" s="6" t="str">
        <f>IF(Tabla_VME[[#This Row],[Nivel]]=0,CONCATENATE("/",Tabla_VME[[#This Row],[Slug]]),CONCATENATE(_xlfn.XLOOKUP(Tabla_VME[[#This Row],[id_padre]],Tabla_VME[Id],Tabla_VME[Ruta_Web],"",0,1),"/",Tabla_VME[[#This Row],[Slug]]))</f>
        <v>/viatico-moneda-extranjera/informes/informe-resolucion-para-informes-caigg</v>
      </c>
      <c r="K80" s="6" t="str">
        <f>SUBSTITUTE(SUBSTITUTE(SUBSTITUTE(SUBSTITUTE(SUBSTITUTE(SUBSTITUTE(SUBSTITUTE(SUBSTITUTE(SUBSTITUTE(SUBSTITUTE(SUBSTITUTE(SUBSTITUTE(SUBSTITUTE(SUBSTITUTE(SUBSTITUTE(SUBSTITUTE(SUBSTITUTE(SUBSTITUTE(SUBSTITUTE(SUBSTITUTE(SUBSTITUTE(LOWER(Tabla_VME[[#This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informe-resolucion-para-informes-caigg</v>
      </c>
      <c r="L80" s="6" t="s">
        <v>1340</v>
      </c>
      <c r="M80" s="2" t="s">
        <v>1802</v>
      </c>
      <c r="N80" s="4" t="s">
        <v>360</v>
      </c>
      <c r="O80" s="4" t="s">
        <v>360</v>
      </c>
      <c r="P80" s="4" t="s">
        <v>360</v>
      </c>
      <c r="Q80" s="4"/>
      <c r="R80" s="4" t="s">
        <v>360</v>
      </c>
      <c r="S80" s="4" t="s">
        <v>360</v>
      </c>
      <c r="U80" s="4" t="s">
        <v>360</v>
      </c>
      <c r="V80" s="4" t="s">
        <v>360</v>
      </c>
      <c r="X80" s="4" t="s">
        <v>360</v>
      </c>
      <c r="Y80" s="4" t="s">
        <v>360</v>
      </c>
      <c r="Z80" s="2" t="str">
        <f>IF(Tabla_VME[[#This Row],[id_padre]]=Tabla_VME[[#This Row],[Id]],"NOK","OK")</f>
        <v>OK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4A7F85-CD1B-4F74-B1D5-2E147CC1E9D0}">
          <x14:formula1>
            <xm:f>Modulos!$C$2:$C$15</xm:f>
          </x14:formula1>
          <xm:sqref>M2:M80</xm:sqref>
        </x14:dataValidation>
        <x14:dataValidation type="list" allowBlank="1" showInputMessage="1" showErrorMessage="1" xr:uid="{07777390-1BE2-4575-9266-F0F27CE1B891}">
          <x14:formula1>
            <xm:f>Lista!$A$2:$A$3</xm:f>
          </x14:formula1>
          <xm:sqref>N2:Y80</xm:sqref>
        </x14:dataValidation>
        <x14:dataValidation type="list" allowBlank="1" showInputMessage="1" showErrorMessage="1" xr:uid="{81A0CD17-E0E8-4072-84E4-BD76FDAA4496}">
          <x14:formula1>
            <xm:f>Equipo!$B$2:$B$7</xm:f>
          </x14:formula1>
          <xm:sqref>AA2:AA80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67F1-84C2-40CD-8B51-263DFD548AAB}">
  <sheetPr codeName="Hoja18"/>
  <dimension ref="A1:V135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4" sqref="E4:E6"/>
    </sheetView>
  </sheetViews>
  <sheetFormatPr baseColWidth="10" defaultColWidth="11.41015625" defaultRowHeight="14.35" x14ac:dyDescent="0.5"/>
  <cols>
    <col min="1" max="1" width="5.703125" customWidth="1"/>
    <col min="2" max="2" width="5.703125" style="2" customWidth="1"/>
    <col min="3" max="3" width="5.703125" customWidth="1"/>
    <col min="4" max="4" width="10.703125" customWidth="1"/>
    <col min="5" max="5" width="5.703125" style="2" customWidth="1"/>
    <col min="6" max="6" width="116.17578125" style="2" bestFit="1" customWidth="1"/>
    <col min="7" max="7" width="10.703125" customWidth="1"/>
    <col min="8" max="8" width="10.703125" style="2" customWidth="1"/>
    <col min="9" max="12" width="10.703125" style="4" customWidth="1"/>
    <col min="13" max="13" width="10.703125" style="2" customWidth="1"/>
    <col min="14" max="15" width="5.703125" style="2" customWidth="1"/>
    <col min="16" max="16" width="5.703125" customWidth="1"/>
    <col min="17" max="17" width="5.703125" style="5" customWidth="1"/>
    <col min="18" max="19" width="5.703125" style="4" customWidth="1"/>
    <col min="20" max="20" width="5.703125" style="2" customWidth="1"/>
    <col min="21" max="16384" width="11.41015625" style="2"/>
  </cols>
  <sheetData>
    <row r="1" spans="1:22" s="3" customFormat="1" ht="114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1178</v>
      </c>
      <c r="O1" s="3" t="s">
        <v>1179</v>
      </c>
      <c r="P1" s="3" t="s">
        <v>1180</v>
      </c>
      <c r="Q1" s="3" t="s">
        <v>1181</v>
      </c>
      <c r="R1" s="3" t="s">
        <v>1182</v>
      </c>
      <c r="S1" s="3" t="s">
        <v>1183</v>
      </c>
      <c r="T1" s="3" t="s">
        <v>1932</v>
      </c>
      <c r="U1" s="3" t="s">
        <v>2029</v>
      </c>
      <c r="V1" s="3" t="s">
        <v>2030</v>
      </c>
    </row>
    <row r="2" spans="1:22" x14ac:dyDescent="0.5">
      <c r="A2" s="2">
        <f>MAX(Tabla_VME[Id])</f>
        <v>1377</v>
      </c>
      <c r="B2" s="2" t="s">
        <v>98</v>
      </c>
      <c r="C2" s="5">
        <f>IF(Tabla_Activo_Fijo[[#This Row],[id_padre]]="",0,_xlfn.XLOOKUP(Tabla_Activo_Fijo[[#This Row],[id_padre]],Tabla_Activo_Fijo[Id],Tabla_Activo_Fijo[Nivel],0,0,1)+1)</f>
        <v>0</v>
      </c>
      <c r="D2" s="2" t="s">
        <v>1177</v>
      </c>
      <c r="E2" s="2">
        <f>IF(Tabla_Activo_Fijo[[#This Row],[Id_anterior]]=1,ROW()-1,SUM(ROW()-1,Tabla_Activo_Fijo[[#This Row],[Id_anterior]]))</f>
        <v>1378</v>
      </c>
      <c r="F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</v>
      </c>
      <c r="G2" s="2" t="str">
        <f>CLEAN(PROPER(Tabla_Activo_Fijo[[#This Row],[Nombre Opción]]))</f>
        <v>Activo Fijo (Infraesctructura)</v>
      </c>
      <c r="H2" s="2" t="s">
        <v>1735</v>
      </c>
      <c r="I2" s="2" t="str">
        <f>_xlfn.XLOOKUP(Tabla_Activo_Fijo[[#This Row],[id_padre]],Tabla_Activo_Fijo[Id],Tabla_Activo_Fijo[Codigo_Tecnico],"",0,1)</f>
        <v/>
      </c>
      <c r="J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</v>
      </c>
      <c r="K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activo-fijo-infraesctructura</v>
      </c>
      <c r="L2" s="6" t="s">
        <v>1518</v>
      </c>
      <c r="M2" s="2" t="s">
        <v>1793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4" t="s">
        <v>360</v>
      </c>
      <c r="U2" s="2" t="str">
        <f>IF(Tabla_Activo_Fijo[[#This Row],[id_padre]]=Tabla_Activo_Fijo[[#This Row],[Id]],"NOK","OK")</f>
        <v>OK</v>
      </c>
    </row>
    <row r="3" spans="1:22" x14ac:dyDescent="0.5">
      <c r="A3" s="2">
        <f>MAX(Tabla_VME[Id])</f>
        <v>1377</v>
      </c>
      <c r="B3">
        <v>1378</v>
      </c>
      <c r="C3" s="10">
        <f>IF(Tabla_Activo_Fijo[[#This Row],[id_padre]]="",0,_xlfn.XLOOKUP(Tabla_Activo_Fijo[[#This Row],[id_padre]],Tabla_Activo_Fijo[Id],Tabla_Activo_Fijo[Nivel],0,0,1)+1)</f>
        <v>1</v>
      </c>
      <c r="D3" s="2" t="s">
        <v>18</v>
      </c>
      <c r="E3">
        <f>IF(Tabla_Activo_Fijo[[#This Row],[Id_anterior]]=1,ROW()-1,SUM(ROW()-1,Tabla_Activo_Fijo[[#This Row],[Id_anterior]]))</f>
        <v>1379</v>
      </c>
      <c r="F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</v>
      </c>
      <c r="G3" s="2" t="str">
        <f>CLEAN(PROPER(Tabla_Activo_Fijo[[#This Row],[Nombre Opción]]))</f>
        <v>Parámetros</v>
      </c>
      <c r="H3" s="2" t="s">
        <v>1735</v>
      </c>
      <c r="I3" s="2" t="str">
        <f>_xlfn.XLOOKUP(Tabla_Activo_Fijo[[#This Row],[id_padre]],Tabla_Activo_Fijo[Id],Tabla_Activo_Fijo[Codigo_Tecnico],"",0,1)</f>
        <v>ACTIVO_FIJO_INFRAESCTRUCTURA</v>
      </c>
      <c r="J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</v>
      </c>
      <c r="K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6" t="s">
        <v>1337</v>
      </c>
      <c r="M3" s="2" t="s">
        <v>1793</v>
      </c>
      <c r="N3" s="4" t="s">
        <v>360</v>
      </c>
      <c r="O3" s="4" t="s">
        <v>360</v>
      </c>
      <c r="P3" s="4" t="s">
        <v>360</v>
      </c>
      <c r="Q3" s="4" t="s">
        <v>360</v>
      </c>
      <c r="R3" s="4" t="s">
        <v>360</v>
      </c>
      <c r="S3" s="4" t="s">
        <v>360</v>
      </c>
      <c r="T3" s="4" t="s">
        <v>360</v>
      </c>
      <c r="U3" s="2" t="str">
        <f>IF(Tabla_Activo_Fijo[[#This Row],[id_padre]]=Tabla_Activo_Fijo[[#This Row],[Id]],"NOK","OK")</f>
        <v>OK</v>
      </c>
    </row>
    <row r="4" spans="1:22" hidden="1" x14ac:dyDescent="0.5">
      <c r="A4" s="2">
        <f>MAX(Tabla_VME[Id])</f>
        <v>1377</v>
      </c>
      <c r="B4">
        <v>1378</v>
      </c>
      <c r="C4" s="5">
        <f>IF(Tabla_Activo_Fijo[[#This Row],[id_padre]]="",0,_xlfn.XLOOKUP(Tabla_Activo_Fijo[[#This Row],[id_padre]],Tabla_Activo_Fijo[Id],Tabla_Activo_Fijo[Nivel],0,0,1)+1)</f>
        <v>1</v>
      </c>
      <c r="D4" s="2" t="s">
        <v>19</v>
      </c>
      <c r="E4">
        <f>IF(Tabla_Activo_Fijo[[#This Row],[Id_anterior]]=1,ROW()-1,SUM(ROW()-1,Tabla_Activo_Fijo[[#This Row],[Id_anterior]]))</f>
        <v>1380</v>
      </c>
      <c r="F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</v>
      </c>
      <c r="G4" s="2" t="str">
        <f>CLEAN(PROPER(Tabla_Activo_Fijo[[#This Row],[Nombre Opción]]))</f>
        <v>Procesos</v>
      </c>
      <c r="H4" s="2" t="s">
        <v>1735</v>
      </c>
      <c r="I4" s="2" t="str">
        <f>_xlfn.XLOOKUP(Tabla_Activo_Fijo[[#This Row],[id_padre]],Tabla_Activo_Fijo[Id],Tabla_Activo_Fijo[Codigo_Tecnico],"",0,1)</f>
        <v>ACTIVO_FIJO_INFRAESCTRUCTURA</v>
      </c>
      <c r="J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</v>
      </c>
      <c r="K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6" t="s">
        <v>1338</v>
      </c>
      <c r="M4" s="2" t="s">
        <v>1793</v>
      </c>
      <c r="N4" s="4" t="s">
        <v>360</v>
      </c>
      <c r="O4" s="4" t="s">
        <v>360</v>
      </c>
      <c r="P4" s="4" t="s">
        <v>360</v>
      </c>
      <c r="Q4" s="4" t="s">
        <v>360</v>
      </c>
      <c r="R4" s="4" t="s">
        <v>360</v>
      </c>
      <c r="S4" s="4" t="s">
        <v>360</v>
      </c>
      <c r="T4" s="4" t="s">
        <v>360</v>
      </c>
      <c r="U4" s="2" t="str">
        <f>IF(Tabla_Activo_Fijo[[#This Row],[id_padre]]=Tabla_Activo_Fijo[[#This Row],[Id]],"NOK","OK")</f>
        <v>OK</v>
      </c>
    </row>
    <row r="5" spans="1:22" hidden="1" x14ac:dyDescent="0.5">
      <c r="A5" s="2">
        <f>MAX(Tabla_VME[Id])</f>
        <v>1377</v>
      </c>
      <c r="B5">
        <v>1378</v>
      </c>
      <c r="C5" s="5">
        <f>IF(Tabla_Activo_Fijo[[#This Row],[id_padre]]="",0,_xlfn.XLOOKUP(Tabla_Activo_Fijo[[#This Row],[id_padre]],Tabla_Activo_Fijo[Id],Tabla_Activo_Fijo[Nivel],0,0,1)+1)</f>
        <v>1</v>
      </c>
      <c r="D5" s="2" t="s">
        <v>20</v>
      </c>
      <c r="E5">
        <f>IF(Tabla_Activo_Fijo[[#This Row],[Id_anterior]]=1,ROW()-1,SUM(ROW()-1,Tabla_Activo_Fijo[[#This Row],[Id_anterior]]))</f>
        <v>1381</v>
      </c>
      <c r="F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</v>
      </c>
      <c r="G5" s="2" t="str">
        <f>CLEAN(PROPER(Tabla_Activo_Fijo[[#This Row],[Nombre Opción]]))</f>
        <v>Consultas</v>
      </c>
      <c r="H5" s="2" t="s">
        <v>1735</v>
      </c>
      <c r="I5" s="2" t="str">
        <f>_xlfn.XLOOKUP(Tabla_Activo_Fijo[[#This Row],[id_padre]],Tabla_Activo_Fijo[Id],Tabla_Activo_Fijo[Codigo_Tecnico],"",0,1)</f>
        <v>ACTIVO_FIJO_INFRAESCTRUCTURA</v>
      </c>
      <c r="J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</v>
      </c>
      <c r="K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6" t="s">
        <v>1339</v>
      </c>
      <c r="M5" s="2" t="s">
        <v>1793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4" t="s">
        <v>360</v>
      </c>
      <c r="U5" s="2" t="str">
        <f>IF(Tabla_Activo_Fijo[[#This Row],[id_padre]]=Tabla_Activo_Fijo[[#This Row],[Id]],"NOK","OK")</f>
        <v>OK</v>
      </c>
    </row>
    <row r="6" spans="1:22" hidden="1" x14ac:dyDescent="0.5">
      <c r="A6" s="2">
        <f>MAX(Tabla_VME[Id])</f>
        <v>1377</v>
      </c>
      <c r="B6">
        <v>1378</v>
      </c>
      <c r="C6" s="5">
        <f>IF(Tabla_Activo_Fijo[[#This Row],[id_padre]]="",0,_xlfn.XLOOKUP(Tabla_Activo_Fijo[[#This Row],[id_padre]],Tabla_Activo_Fijo[Id],Tabla_Activo_Fijo[Nivel],0,0,1)+1)</f>
        <v>1</v>
      </c>
      <c r="D6" s="2" t="s">
        <v>21</v>
      </c>
      <c r="E6">
        <f>IF(Tabla_Activo_Fijo[[#This Row],[Id_anterior]]=1,ROW()-1,SUM(ROW()-1,Tabla_Activo_Fijo[[#This Row],[Id_anterior]]))</f>
        <v>1382</v>
      </c>
      <c r="F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</v>
      </c>
      <c r="G6" s="2" t="str">
        <f>CLEAN(PROPER(Tabla_Activo_Fijo[[#This Row],[Nombre Opción]]))</f>
        <v>Informes</v>
      </c>
      <c r="H6" s="2" t="s">
        <v>1735</v>
      </c>
      <c r="I6" s="2" t="str">
        <f>_xlfn.XLOOKUP(Tabla_Activo_Fijo[[#This Row],[id_padre]],Tabla_Activo_Fijo[Id],Tabla_Activo_Fijo[Codigo_Tecnico],"",0,1)</f>
        <v>ACTIVO_FIJO_INFRAESCTRUCTURA</v>
      </c>
      <c r="J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</v>
      </c>
      <c r="K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6" t="s">
        <v>1340</v>
      </c>
      <c r="M6" s="2" t="s">
        <v>1793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4" t="s">
        <v>360</v>
      </c>
      <c r="U6" s="2" t="str">
        <f>IF(Tabla_Activo_Fijo[[#This Row],[id_padre]]=Tabla_Activo_Fijo[[#This Row],[Id]],"NOK","OK")</f>
        <v>OK</v>
      </c>
    </row>
    <row r="7" spans="1:22" x14ac:dyDescent="0.5">
      <c r="A7" s="2">
        <f>MAX(Tabla_VME[Id])</f>
        <v>1377</v>
      </c>
      <c r="B7">
        <v>1379</v>
      </c>
      <c r="C7" s="5">
        <f>IF(Tabla_Activo_Fijo[[#This Row],[id_padre]]="",0,_xlfn.XLOOKUP(Tabla_Activo_Fijo[[#This Row],[id_padre]],Tabla_Activo_Fijo[Id],Tabla_Activo_Fijo[Nivel],0,0,1)+1)</f>
        <v>2</v>
      </c>
      <c r="D7" s="2" t="s">
        <v>1184</v>
      </c>
      <c r="E7">
        <f>IF(Tabla_Activo_Fijo[[#This Row],[Id_anterior]]=1,ROW()-1,SUM(ROW()-1,Tabla_Activo_Fijo[[#This Row],[Id_anterior]]))</f>
        <v>1383</v>
      </c>
      <c r="F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ACTIVO_FIJO_INFRAESCTRUCTURA_PARAMETROS_UNIDAD_CONSOLIDADORA</v>
      </c>
      <c r="G7" s="2" t="str">
        <f>CLEAN(PROPER(Tabla_Activo_Fijo[[#This Row],[Nombre Opción]]))</f>
        <v>Unidad Consolidadora</v>
      </c>
      <c r="H7" s="2" t="s">
        <v>1735</v>
      </c>
      <c r="I7" s="2" t="str">
        <f>_xlfn.XLOOKUP(Tabla_Activo_Fijo[[#This Row],[id_padre]],Tabla_Activo_Fijo[Id],Tabla_Activo_Fijo[Codigo_Tecnico],"",0,1)</f>
        <v>ACTIVO_FIJO_INFRAESCTRUCTURA_PARAMETROS</v>
      </c>
      <c r="J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/activo-fijo-infraesctructura/parametros/unidad-consolidadora</v>
      </c>
      <c r="K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unidad-consolidadora</v>
      </c>
      <c r="L7" s="6" t="s">
        <v>1401</v>
      </c>
      <c r="M7" s="2" t="s">
        <v>1793</v>
      </c>
      <c r="N7" s="4" t="s">
        <v>360</v>
      </c>
      <c r="O7" s="4"/>
      <c r="P7" s="4"/>
      <c r="Q7" s="4"/>
      <c r="S7" s="4" t="s">
        <v>360</v>
      </c>
      <c r="T7" s="4" t="s">
        <v>360</v>
      </c>
      <c r="U7" s="2" t="str">
        <f>IF(Tabla_Activo_Fijo[[#This Row],[id_padre]]=Tabla_Activo_Fijo[[#This Row],[Id]],"NOK","OK")</f>
        <v>OK</v>
      </c>
    </row>
    <row r="8" spans="1:22" x14ac:dyDescent="0.5">
      <c r="A8" s="2">
        <f>MAX(Tabla_VME[Id])</f>
        <v>1377</v>
      </c>
      <c r="B8">
        <v>1379</v>
      </c>
      <c r="C8" s="5">
        <f>IF(Tabla_Activo_Fijo[[#This Row],[id_padre]]="",0,_xlfn.XLOOKUP(Tabla_Activo_Fijo[[#This Row],[id_padre]],Tabla_Activo_Fijo[Id],Tabla_Activo_Fijo[Nivel],0,0,1)+1)</f>
        <v>2</v>
      </c>
      <c r="D8" s="2" t="s">
        <v>1185</v>
      </c>
      <c r="E8">
        <f>IF(Tabla_Activo_Fijo[[#This Row],[Id_anterior]]=1,ROW()-1,SUM(ROW()-1,Tabla_Activo_Fijo[[#This Row],[Id_anterior]]))</f>
        <v>1384</v>
      </c>
      <c r="F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ACTIVO_FIJO_INFRAESCTRUCTURA_PARAMETROS_COMUNAS</v>
      </c>
      <c r="G8" s="2" t="str">
        <f>CLEAN(PROPER(Tabla_Activo_Fijo[[#This Row],[Nombre Opción]]))</f>
        <v>Comunas</v>
      </c>
      <c r="H8" s="2" t="s">
        <v>1735</v>
      </c>
      <c r="I8" s="2" t="str">
        <f>_xlfn.XLOOKUP(Tabla_Activo_Fijo[[#This Row],[id_padre]],Tabla_Activo_Fijo[Id],Tabla_Activo_Fijo[Codigo_Tecnico],"",0,1)</f>
        <v>ACTIVO_FIJO_INFRAESCTRUCTURA_PARAMETROS</v>
      </c>
      <c r="J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/activo-fijo-infraesctructura/parametros/comunas</v>
      </c>
      <c r="K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comunas</v>
      </c>
      <c r="L8" s="6" t="s">
        <v>1518</v>
      </c>
      <c r="M8" s="2" t="s">
        <v>1793</v>
      </c>
      <c r="N8" s="4" t="s">
        <v>360</v>
      </c>
      <c r="O8" s="4"/>
      <c r="P8" s="4"/>
      <c r="Q8" s="4"/>
      <c r="T8" s="4" t="s">
        <v>360</v>
      </c>
      <c r="U8" s="2" t="str">
        <f>IF(Tabla_Activo_Fijo[[#This Row],[id_padre]]=Tabla_Activo_Fijo[[#This Row],[Id]],"NOK","OK")</f>
        <v>OK</v>
      </c>
    </row>
    <row r="9" spans="1:22" x14ac:dyDescent="0.5">
      <c r="A9" s="2">
        <f>MAX(Tabla_VME[Id])</f>
        <v>1377</v>
      </c>
      <c r="B9">
        <v>1379</v>
      </c>
      <c r="C9" s="5">
        <f>IF(Tabla_Activo_Fijo[[#This Row],[id_padre]]="",0,_xlfn.XLOOKUP(Tabla_Activo_Fijo[[#This Row],[id_padre]],Tabla_Activo_Fijo[Id],Tabla_Activo_Fijo[Nivel],0,0,1)+1)</f>
        <v>2</v>
      </c>
      <c r="D9" s="2" t="s">
        <v>1186</v>
      </c>
      <c r="E9">
        <f>IF(Tabla_Activo_Fijo[[#This Row],[Id_anterior]]=1,ROW()-1,SUM(ROW()-1,Tabla_Activo_Fijo[[#This Row],[Id_anterior]]))</f>
        <v>1385</v>
      </c>
      <c r="F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ACTIVO_FIJO_INFRAESCTRUCTURA_PARAMETROS_CONSERVADORES</v>
      </c>
      <c r="G9" s="2" t="str">
        <f>CLEAN(PROPER(Tabla_Activo_Fijo[[#This Row],[Nombre Opción]]))</f>
        <v>Conservadores</v>
      </c>
      <c r="H9" s="2" t="s">
        <v>1735</v>
      </c>
      <c r="I9" s="2" t="str">
        <f>_xlfn.XLOOKUP(Tabla_Activo_Fijo[[#This Row],[id_padre]],Tabla_Activo_Fijo[Id],Tabla_Activo_Fijo[Codigo_Tecnico],"",0,1)</f>
        <v>ACTIVO_FIJO_INFRAESCTRUCTURA_PARAMETROS</v>
      </c>
      <c r="J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/activo-fijo-infraesctructura/parametros/conservadores</v>
      </c>
      <c r="K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conservadores</v>
      </c>
      <c r="L9" s="6" t="s">
        <v>1457</v>
      </c>
      <c r="M9" s="2" t="s">
        <v>1793</v>
      </c>
      <c r="N9" s="4" t="s">
        <v>360</v>
      </c>
      <c r="O9" s="4"/>
      <c r="P9" s="4"/>
      <c r="Q9" s="4"/>
      <c r="T9" s="4" t="s">
        <v>360</v>
      </c>
      <c r="U9" s="2" t="str">
        <f>IF(Tabla_Activo_Fijo[[#This Row],[id_padre]]=Tabla_Activo_Fijo[[#This Row],[Id]],"NOK","OK")</f>
        <v>OK</v>
      </c>
    </row>
    <row r="10" spans="1:22" x14ac:dyDescent="0.5">
      <c r="A10" s="2">
        <f>MAX(Tabla_VME[Id])</f>
        <v>1377</v>
      </c>
      <c r="B10">
        <v>1379</v>
      </c>
      <c r="C10" s="5">
        <f>IF(Tabla_Activo_Fijo[[#This Row],[id_padre]]="",0,_xlfn.XLOOKUP(Tabla_Activo_Fijo[[#This Row],[id_padre]],Tabla_Activo_Fijo[Id],Tabla_Activo_Fijo[Nivel],0,0,1)+1)</f>
        <v>2</v>
      </c>
      <c r="D10" s="2" t="s">
        <v>1187</v>
      </c>
      <c r="E10">
        <f>IF(Tabla_Activo_Fijo[[#This Row],[Id_anterior]]=1,ROW()-1,SUM(ROW()-1,Tabla_Activo_Fijo[[#This Row],[Id_anterior]]))</f>
        <v>1386</v>
      </c>
      <c r="F1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ACTIVO_FIJO_INFRAESCTRUCTURA_PARAMETROS_EMISORES_LEGALIDAD</v>
      </c>
      <c r="G10" s="2" t="str">
        <f>CLEAN(PROPER(Tabla_Activo_Fijo[[#This Row],[Nombre Opción]]))</f>
        <v>Emisores Legalidad</v>
      </c>
      <c r="H10" s="2" t="s">
        <v>1735</v>
      </c>
      <c r="I10" s="2" t="str">
        <f>_xlfn.XLOOKUP(Tabla_Activo_Fijo[[#This Row],[id_padre]],Tabla_Activo_Fijo[Id],Tabla_Activo_Fijo[Codigo_Tecnico],"",0,1)</f>
        <v>ACTIVO_FIJO_INFRAESCTRUCTURA_PARAMETROS</v>
      </c>
      <c r="J1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/activo-fijo-infraesctructura/parametros/emisores-legalidad</v>
      </c>
      <c r="K1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emisores-legalidad</v>
      </c>
      <c r="L10" s="6" t="s">
        <v>1358</v>
      </c>
      <c r="M10" s="2" t="s">
        <v>1793</v>
      </c>
      <c r="N10" s="4" t="s">
        <v>360</v>
      </c>
      <c r="O10" s="4"/>
      <c r="P10" s="4"/>
      <c r="Q10" s="4"/>
      <c r="T10" s="4" t="s">
        <v>360</v>
      </c>
      <c r="U10" s="2" t="str">
        <f>IF(Tabla_Activo_Fijo[[#This Row],[id_padre]]=Tabla_Activo_Fijo[[#This Row],[Id]],"NOK","OK")</f>
        <v>OK</v>
      </c>
    </row>
    <row r="11" spans="1:22" x14ac:dyDescent="0.5">
      <c r="A11" s="2">
        <f>MAX(Tabla_VME[Id])</f>
        <v>1377</v>
      </c>
      <c r="B11">
        <v>1379</v>
      </c>
      <c r="C11" s="5">
        <f>IF(Tabla_Activo_Fijo[[#This Row],[id_padre]]="",0,_xlfn.XLOOKUP(Tabla_Activo_Fijo[[#This Row],[id_padre]],Tabla_Activo_Fijo[Id],Tabla_Activo_Fijo[Nivel],0,0,1)+1)</f>
        <v>2</v>
      </c>
      <c r="D11" s="2" t="s">
        <v>1188</v>
      </c>
      <c r="E11">
        <f>IF(Tabla_Activo_Fijo[[#This Row],[Id_anterior]]=1,ROW()-1,SUM(ROW()-1,Tabla_Activo_Fijo[[#This Row],[Id_anterior]]))</f>
        <v>1387</v>
      </c>
      <c r="F1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ACTIVO_FIJO_INFRAESCTRUCTURA_PARAMETROS_ESTADOS</v>
      </c>
      <c r="G11" s="2" t="str">
        <f>CLEAN(PROPER(Tabla_Activo_Fijo[[#This Row],[Nombre Opción]]))</f>
        <v>Estados</v>
      </c>
      <c r="H11" s="2" t="s">
        <v>1735</v>
      </c>
      <c r="I11" s="2" t="str">
        <f>_xlfn.XLOOKUP(Tabla_Activo_Fijo[[#This Row],[id_padre]],Tabla_Activo_Fijo[Id],Tabla_Activo_Fijo[Codigo_Tecnico],"",0,1)</f>
        <v>ACTIVO_FIJO_INFRAESCTRUCTURA_PARAMETROS</v>
      </c>
      <c r="J1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/activo-fijo-infraesctructura/parametros/estados</v>
      </c>
      <c r="K1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estados</v>
      </c>
      <c r="L11" s="6" t="s">
        <v>1424</v>
      </c>
      <c r="M11" s="2" t="s">
        <v>1793</v>
      </c>
      <c r="N11" s="4" t="s">
        <v>360</v>
      </c>
      <c r="O11" s="4"/>
      <c r="P11" s="4"/>
      <c r="Q11" s="4"/>
      <c r="T11" s="4" t="s">
        <v>360</v>
      </c>
      <c r="U11" s="2" t="str">
        <f>IF(Tabla_Activo_Fijo[[#This Row],[id_padre]]=Tabla_Activo_Fijo[[#This Row],[Id]],"NOK","OK")</f>
        <v>OK</v>
      </c>
    </row>
    <row r="12" spans="1:22" x14ac:dyDescent="0.5">
      <c r="A12" s="2">
        <f>MAX(Tabla_VME[Id])</f>
        <v>1377</v>
      </c>
      <c r="B12">
        <v>1379</v>
      </c>
      <c r="C12" s="5">
        <f>IF(Tabla_Activo_Fijo[[#This Row],[id_padre]]="",0,_xlfn.XLOOKUP(Tabla_Activo_Fijo[[#This Row],[id_padre]],Tabla_Activo_Fijo[Id],Tabla_Activo_Fijo[Nivel],0,0,1)+1)</f>
        <v>2</v>
      </c>
      <c r="D12" s="2" t="s">
        <v>1189</v>
      </c>
      <c r="E12">
        <f>IF(Tabla_Activo_Fijo[[#This Row],[Id_anterior]]=1,ROW()-1,SUM(ROW()-1,Tabla_Activo_Fijo[[#This Row],[Id_anterior]]))</f>
        <v>1388</v>
      </c>
      <c r="F1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ACTIVO_FIJO_INFRAESCTRUCTURA_PARAMETROS_FACTORES_CGR</v>
      </c>
      <c r="G12" s="2" t="str">
        <f>CLEAN(PROPER(Tabla_Activo_Fijo[[#This Row],[Nombre Opción]]))</f>
        <v>Factores C.G.R</v>
      </c>
      <c r="H12" s="2" t="s">
        <v>1735</v>
      </c>
      <c r="I12" s="2" t="str">
        <f>_xlfn.XLOOKUP(Tabla_Activo_Fijo[[#This Row],[id_padre]],Tabla_Activo_Fijo[Id],Tabla_Activo_Fijo[Codigo_Tecnico],"",0,1)</f>
        <v>ACTIVO_FIJO_INFRAESCTRUCTURA_PARAMETROS</v>
      </c>
      <c r="J1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/activo-fijo-infraesctructura/parametros/factores-cgr</v>
      </c>
      <c r="K1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factores-cgr</v>
      </c>
      <c r="L12" s="6" t="s">
        <v>1481</v>
      </c>
      <c r="M12" s="2" t="s">
        <v>1793</v>
      </c>
      <c r="N12" s="4" t="s">
        <v>360</v>
      </c>
      <c r="O12" s="4"/>
      <c r="P12" s="4"/>
      <c r="Q12" s="4"/>
      <c r="T12" s="4" t="s">
        <v>360</v>
      </c>
      <c r="U12" s="2" t="str">
        <f>IF(Tabla_Activo_Fijo[[#This Row],[id_padre]]=Tabla_Activo_Fijo[[#This Row],[Id]],"NOK","OK")</f>
        <v>OK</v>
      </c>
    </row>
    <row r="13" spans="1:22" x14ac:dyDescent="0.5">
      <c r="A13" s="2">
        <f>MAX(Tabla_VME[Id])</f>
        <v>1377</v>
      </c>
      <c r="B13">
        <v>1379</v>
      </c>
      <c r="C13" s="5">
        <f>IF(Tabla_Activo_Fijo[[#This Row],[id_padre]]="",0,_xlfn.XLOOKUP(Tabla_Activo_Fijo[[#This Row],[id_padre]],Tabla_Activo_Fijo[Id],Tabla_Activo_Fijo[Nivel],0,0,1)+1)</f>
        <v>2</v>
      </c>
      <c r="D13" s="2" t="s">
        <v>1190</v>
      </c>
      <c r="E13">
        <f>IF(Tabla_Activo_Fijo[[#This Row],[Id_anterior]]=1,ROW()-1,SUM(ROW()-1,Tabla_Activo_Fijo[[#This Row],[Id_anterior]]))</f>
        <v>1389</v>
      </c>
      <c r="F1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ACTIVO_FIJO_INFRAESCTRUCTURA_PARAMETROS_JURISDICCION</v>
      </c>
      <c r="G13" s="2" t="str">
        <f>CLEAN(PROPER(Tabla_Activo_Fijo[[#This Row],[Nombre Opción]]))</f>
        <v>Jurisdiccion</v>
      </c>
      <c r="H13" s="2" t="s">
        <v>1735</v>
      </c>
      <c r="I13" s="2" t="str">
        <f>_xlfn.XLOOKUP(Tabla_Activo_Fijo[[#This Row],[id_padre]],Tabla_Activo_Fijo[Id],Tabla_Activo_Fijo[Codigo_Tecnico],"",0,1)</f>
        <v>ACTIVO_FIJO_INFRAESCTRUCTURA_PARAMETROS</v>
      </c>
      <c r="J1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/activo-fijo-infraesctructura/parametros/jurisdiccion</v>
      </c>
      <c r="K1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jurisdiccion</v>
      </c>
      <c r="L13" s="6" t="s">
        <v>1367</v>
      </c>
      <c r="M13" s="2" t="s">
        <v>1793</v>
      </c>
      <c r="N13" s="4" t="s">
        <v>360</v>
      </c>
      <c r="O13" s="4"/>
      <c r="P13" s="4"/>
      <c r="Q13" s="4"/>
      <c r="T13" s="4" t="s">
        <v>360</v>
      </c>
      <c r="U13" s="2" t="str">
        <f>IF(Tabla_Activo_Fijo[[#This Row],[id_padre]]=Tabla_Activo_Fijo[[#This Row],[Id]],"NOK","OK")</f>
        <v>OK</v>
      </c>
    </row>
    <row r="14" spans="1:22" x14ac:dyDescent="0.5">
      <c r="A14" s="2">
        <f>MAX(Tabla_VME[Id])</f>
        <v>1377</v>
      </c>
      <c r="B14">
        <v>1379</v>
      </c>
      <c r="C14" s="5">
        <f>IF(Tabla_Activo_Fijo[[#This Row],[id_padre]]="",0,_xlfn.XLOOKUP(Tabla_Activo_Fijo[[#This Row],[id_padre]],Tabla_Activo_Fijo[Id],Tabla_Activo_Fijo[Nivel],0,0,1)+1)</f>
        <v>2</v>
      </c>
      <c r="D14" s="2" t="s">
        <v>1191</v>
      </c>
      <c r="E14">
        <f>IF(Tabla_Activo_Fijo[[#This Row],[Id_anterior]]=1,ROW()-1,SUM(ROW()-1,Tabla_Activo_Fijo[[#This Row],[Id_anterior]]))</f>
        <v>1390</v>
      </c>
      <c r="F1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ACTIVO_FIJO_INFRAESCTRUCTURA_PARAMETROS_LEY_ADQUISICION</v>
      </c>
      <c r="G14" s="2" t="str">
        <f>CLEAN(PROPER(Tabla_Activo_Fijo[[#This Row],[Nombre Opción]]))</f>
        <v>Ley De Adquisicion</v>
      </c>
      <c r="H14" s="2" t="s">
        <v>1735</v>
      </c>
      <c r="I14" s="2" t="str">
        <f>_xlfn.XLOOKUP(Tabla_Activo_Fijo[[#This Row],[id_padre]],Tabla_Activo_Fijo[Id],Tabla_Activo_Fijo[Codigo_Tecnico],"",0,1)</f>
        <v>ACTIVO_FIJO_INFRAESCTRUCTURA_PARAMETROS</v>
      </c>
      <c r="J1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/activo-fijo-infraesctructura/parametros/ley-adquisicion</v>
      </c>
      <c r="K1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ley-adquisicion</v>
      </c>
      <c r="L14" s="6" t="s">
        <v>1457</v>
      </c>
      <c r="M14" s="2" t="s">
        <v>1793</v>
      </c>
      <c r="N14" s="4" t="s">
        <v>360</v>
      </c>
      <c r="O14" s="4"/>
      <c r="P14" s="4"/>
      <c r="Q14" s="4"/>
      <c r="T14" s="4" t="s">
        <v>360</v>
      </c>
      <c r="U14" s="2" t="str">
        <f>IF(Tabla_Activo_Fijo[[#This Row],[id_padre]]=Tabla_Activo_Fijo[[#This Row],[Id]],"NOK","OK")</f>
        <v>OK</v>
      </c>
    </row>
    <row r="15" spans="1:22" x14ac:dyDescent="0.5">
      <c r="A15" s="2">
        <f>MAX(Tabla_VME[Id])</f>
        <v>1377</v>
      </c>
      <c r="B15">
        <v>1379</v>
      </c>
      <c r="C15" s="5">
        <f>IF(Tabla_Activo_Fijo[[#This Row],[id_padre]]="",0,_xlfn.XLOOKUP(Tabla_Activo_Fijo[[#This Row],[id_padre]],Tabla_Activo_Fijo[Id],Tabla_Activo_Fijo[Nivel],0,0,1)+1)</f>
        <v>2</v>
      </c>
      <c r="D15" s="2" t="s">
        <v>1192</v>
      </c>
      <c r="E15">
        <f>IF(Tabla_Activo_Fijo[[#This Row],[Id_anterior]]=1,ROW()-1,SUM(ROW()-1,Tabla_Activo_Fijo[[#This Row],[Id_anterior]]))</f>
        <v>1391</v>
      </c>
      <c r="F1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ACTIVO_FIJO_INFRAESCTRUCTURA_PARAMETROS_PROVINCIAS</v>
      </c>
      <c r="G15" s="2" t="str">
        <f>CLEAN(PROPER(Tabla_Activo_Fijo[[#This Row],[Nombre Opción]]))</f>
        <v>Provincias</v>
      </c>
      <c r="H15" s="2" t="s">
        <v>1735</v>
      </c>
      <c r="I15" s="2" t="str">
        <f>_xlfn.XLOOKUP(Tabla_Activo_Fijo[[#This Row],[id_padre]],Tabla_Activo_Fijo[Id],Tabla_Activo_Fijo[Codigo_Tecnico],"",0,1)</f>
        <v>ACTIVO_FIJO_INFRAESCTRUCTURA_PARAMETROS</v>
      </c>
      <c r="J1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/activo-fijo-infraesctructura/parametros/provincias</v>
      </c>
      <c r="K1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provincias</v>
      </c>
      <c r="L15" s="6" t="s">
        <v>1402</v>
      </c>
      <c r="M15" s="2" t="s">
        <v>1793</v>
      </c>
      <c r="N15" s="4" t="s">
        <v>360</v>
      </c>
      <c r="O15" s="4"/>
      <c r="P15" s="4"/>
      <c r="Q15" s="4"/>
      <c r="T15" s="4" t="s">
        <v>360</v>
      </c>
      <c r="U15" s="2" t="str">
        <f>IF(Tabla_Activo_Fijo[[#This Row],[id_padre]]=Tabla_Activo_Fijo[[#This Row],[Id]],"NOK","OK")</f>
        <v>OK</v>
      </c>
    </row>
    <row r="16" spans="1:22" x14ac:dyDescent="0.5">
      <c r="A16" s="2">
        <f>MAX(Tabla_VME[Id])</f>
        <v>1377</v>
      </c>
      <c r="B16">
        <v>1379</v>
      </c>
      <c r="C16" s="5">
        <f>IF(Tabla_Activo_Fijo[[#This Row],[id_padre]]="",0,_xlfn.XLOOKUP(Tabla_Activo_Fijo[[#This Row],[id_padre]],Tabla_Activo_Fijo[Id],Tabla_Activo_Fijo[Nivel],0,0,1)+1)</f>
        <v>2</v>
      </c>
      <c r="D16" s="2" t="s">
        <v>1193</v>
      </c>
      <c r="E16">
        <f>IF(Tabla_Activo_Fijo[[#This Row],[Id_anterior]]=1,ROW()-1,SUM(ROW()-1,Tabla_Activo_Fijo[[#This Row],[Id_anterior]]))</f>
        <v>1392</v>
      </c>
      <c r="F1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ACTIVO_FIJO_INFRAESCTRUCTURA_PARAMETROS_REGIONES</v>
      </c>
      <c r="G16" s="2" t="str">
        <f>CLEAN(PROPER(Tabla_Activo_Fijo[[#This Row],[Nombre Opción]]))</f>
        <v>Regiones</v>
      </c>
      <c r="H16" s="2" t="s">
        <v>1735</v>
      </c>
      <c r="I16" s="2" t="str">
        <f>_xlfn.XLOOKUP(Tabla_Activo_Fijo[[#This Row],[id_padre]],Tabla_Activo_Fijo[Id],Tabla_Activo_Fijo[Codigo_Tecnico],"",0,1)</f>
        <v>ACTIVO_FIJO_INFRAESCTRUCTURA_PARAMETROS</v>
      </c>
      <c r="J1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/activo-fijo-infraesctructura/parametros/regiones</v>
      </c>
      <c r="K1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regiones</v>
      </c>
      <c r="L16" s="6" t="s">
        <v>1402</v>
      </c>
      <c r="M16" s="2" t="s">
        <v>1793</v>
      </c>
      <c r="N16" s="4" t="s">
        <v>360</v>
      </c>
      <c r="O16" s="4"/>
      <c r="P16" s="4"/>
      <c r="Q16" s="4"/>
      <c r="T16" s="4" t="s">
        <v>360</v>
      </c>
      <c r="U16" s="2" t="str">
        <f>IF(Tabla_Activo_Fijo[[#This Row],[id_padre]]=Tabla_Activo_Fijo[[#This Row],[Id]],"NOK","OK")</f>
        <v>OK</v>
      </c>
    </row>
    <row r="17" spans="1:21" x14ac:dyDescent="0.5">
      <c r="A17" s="2">
        <f>MAX(Tabla_VME[Id])</f>
        <v>1377</v>
      </c>
      <c r="B17">
        <v>1379</v>
      </c>
      <c r="C17" s="5">
        <f>IF(Tabla_Activo_Fijo[[#This Row],[id_padre]]="",0,_xlfn.XLOOKUP(Tabla_Activo_Fijo[[#This Row],[id_padre]],Tabla_Activo_Fijo[Id],Tabla_Activo_Fijo[Nivel],0,0,1)+1)</f>
        <v>2</v>
      </c>
      <c r="D17" s="2" t="s">
        <v>1194</v>
      </c>
      <c r="E17">
        <f>IF(Tabla_Activo_Fijo[[#This Row],[Id_anterior]]=1,ROW()-1,SUM(ROW()-1,Tabla_Activo_Fijo[[#This Row],[Id_anterior]]))</f>
        <v>1393</v>
      </c>
      <c r="F1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ACTIVO_FIJO_INFRAESCTRUCTURA_PARAMETROS_UNIDADES_FACH</v>
      </c>
      <c r="G17" s="2" t="str">
        <f>CLEAN(PROPER(Tabla_Activo_Fijo[[#This Row],[Nombre Opción]]))</f>
        <v>Unidades Fach</v>
      </c>
      <c r="H17" s="2" t="s">
        <v>1735</v>
      </c>
      <c r="I17" s="2" t="str">
        <f>_xlfn.XLOOKUP(Tabla_Activo_Fijo[[#This Row],[id_padre]],Tabla_Activo_Fijo[Id],Tabla_Activo_Fijo[Codigo_Tecnico],"",0,1)</f>
        <v>ACTIVO_FIJO_INFRAESCTRUCTURA_PARAMETROS</v>
      </c>
      <c r="J1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/activo-fijo-infraesctructura/parametros/unidades-fach</v>
      </c>
      <c r="K1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unidades-fach</v>
      </c>
      <c r="L17" s="6" t="s">
        <v>1505</v>
      </c>
      <c r="M17" s="2" t="s">
        <v>1793</v>
      </c>
      <c r="N17" s="4" t="s">
        <v>360</v>
      </c>
      <c r="O17" s="4"/>
      <c r="P17" s="4"/>
      <c r="Q17" s="4"/>
      <c r="T17" s="4" t="s">
        <v>360</v>
      </c>
      <c r="U17" s="2" t="str">
        <f>IF(Tabla_Activo_Fijo[[#This Row],[id_padre]]=Tabla_Activo_Fijo[[#This Row],[Id]],"NOK","OK")</f>
        <v>OK</v>
      </c>
    </row>
    <row r="18" spans="1:21" x14ac:dyDescent="0.5">
      <c r="A18" s="2">
        <f>MAX(Tabla_VME[Id])</f>
        <v>1377</v>
      </c>
      <c r="B18">
        <v>1379</v>
      </c>
      <c r="C18" s="5">
        <f>IF(Tabla_Activo_Fijo[[#This Row],[id_padre]]="",0,_xlfn.XLOOKUP(Tabla_Activo_Fijo[[#This Row],[id_padre]],Tabla_Activo_Fijo[Id],Tabla_Activo_Fijo[Nivel],0,0,1)+1)</f>
        <v>2</v>
      </c>
      <c r="D18" s="2" t="s">
        <v>1195</v>
      </c>
      <c r="E18">
        <f>IF(Tabla_Activo_Fijo[[#This Row],[Id_anterior]]=1,ROW()-1,SUM(ROW()-1,Tabla_Activo_Fijo[[#This Row],[Id_anterior]]))</f>
        <v>1394</v>
      </c>
      <c r="F1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ACTIVO_FIJO_INFRAESCTRUCTURA_PARAMETROS_TIPOS_ADQUISICION_EDIFICACIONES</v>
      </c>
      <c r="G18" s="2" t="str">
        <f>CLEAN(PROPER(Tabla_Activo_Fijo[[#This Row],[Nombre Opción]]))</f>
        <v>Tipos De Adquisicion Edificaciones</v>
      </c>
      <c r="H18" s="2" t="s">
        <v>1735</v>
      </c>
      <c r="I18" s="2" t="str">
        <f>_xlfn.XLOOKUP(Tabla_Activo_Fijo[[#This Row],[id_padre]],Tabla_Activo_Fijo[Id],Tabla_Activo_Fijo[Codigo_Tecnico],"",0,1)</f>
        <v>ACTIVO_FIJO_INFRAESCTRUCTURA_PARAMETROS</v>
      </c>
      <c r="J1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/activo-fijo-infraesctructura/parametros/tipos-adquisicion-edificaciones</v>
      </c>
      <c r="K1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tipos-adquisicion-edificaciones</v>
      </c>
      <c r="L18" s="6" t="s">
        <v>1480</v>
      </c>
      <c r="M18" s="2" t="s">
        <v>1793</v>
      </c>
      <c r="N18" s="4" t="s">
        <v>360</v>
      </c>
      <c r="O18" s="4"/>
      <c r="P18" s="4"/>
      <c r="Q18" s="4"/>
      <c r="T18" s="4" t="s">
        <v>360</v>
      </c>
      <c r="U18" s="2" t="str">
        <f>IF(Tabla_Activo_Fijo[[#This Row],[id_padre]]=Tabla_Activo_Fijo[[#This Row],[Id]],"NOK","OK")</f>
        <v>OK</v>
      </c>
    </row>
    <row r="19" spans="1:21" x14ac:dyDescent="0.5">
      <c r="A19" s="2">
        <f>MAX(Tabla_VME[Id])</f>
        <v>1377</v>
      </c>
      <c r="B19">
        <v>1379</v>
      </c>
      <c r="C19" s="5">
        <f>IF(Tabla_Activo_Fijo[[#This Row],[id_padre]]="",0,_xlfn.XLOOKUP(Tabla_Activo_Fijo[[#This Row],[id_padre]],Tabla_Activo_Fijo[Id],Tabla_Activo_Fijo[Nivel],0,0,1)+1)</f>
        <v>2</v>
      </c>
      <c r="D19" s="2" t="s">
        <v>1196</v>
      </c>
      <c r="E19">
        <f>IF(Tabla_Activo_Fijo[[#This Row],[Id_anterior]]=1,ROW()-1,SUM(ROW()-1,Tabla_Activo_Fijo[[#This Row],[Id_anterior]]))</f>
        <v>1395</v>
      </c>
      <c r="F1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ACTIVO_FIJO_INFRAESCTRUCTURA_PARAMETROS_TIPOS_ADQUISICION_TERRENOS</v>
      </c>
      <c r="G19" s="2" t="str">
        <f>CLEAN(PROPER(Tabla_Activo_Fijo[[#This Row],[Nombre Opción]]))</f>
        <v>Tipos De Adquisicion Terrenos</v>
      </c>
      <c r="H19" s="2" t="s">
        <v>1735</v>
      </c>
      <c r="I19" s="2" t="str">
        <f>_xlfn.XLOOKUP(Tabla_Activo_Fijo[[#This Row],[id_padre]],Tabla_Activo_Fijo[Id],Tabla_Activo_Fijo[Codigo_Tecnico],"",0,1)</f>
        <v>ACTIVO_FIJO_INFRAESCTRUCTURA_PARAMETROS</v>
      </c>
      <c r="J1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/activo-fijo-infraesctructura/parametros/tipos-adquisicion-terrenos</v>
      </c>
      <c r="K1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tipos-adquisicion-terrenos</v>
      </c>
      <c r="L19" s="6" t="s">
        <v>1653</v>
      </c>
      <c r="M19" s="2" t="s">
        <v>1793</v>
      </c>
      <c r="N19" s="4" t="s">
        <v>360</v>
      </c>
      <c r="O19" s="4"/>
      <c r="P19" s="4"/>
      <c r="Q19" s="4"/>
      <c r="T19" s="4" t="s">
        <v>360</v>
      </c>
      <c r="U19" s="2" t="str">
        <f>IF(Tabla_Activo_Fijo[[#This Row],[id_padre]]=Tabla_Activo_Fijo[[#This Row],[Id]],"NOK","OK")</f>
        <v>OK</v>
      </c>
    </row>
    <row r="20" spans="1:21" x14ac:dyDescent="0.5">
      <c r="A20" s="2">
        <f>MAX(Tabla_VME[Id])</f>
        <v>1377</v>
      </c>
      <c r="B20">
        <v>1379</v>
      </c>
      <c r="C20" s="5">
        <f>IF(Tabla_Activo_Fijo[[#This Row],[id_padre]]="",0,_xlfn.XLOOKUP(Tabla_Activo_Fijo[[#This Row],[id_padre]],Tabla_Activo_Fijo[Id],Tabla_Activo_Fijo[Nivel],0,0,1)+1)</f>
        <v>2</v>
      </c>
      <c r="D20" s="2" t="s">
        <v>1197</v>
      </c>
      <c r="E20">
        <f>IF(Tabla_Activo_Fijo[[#This Row],[Id_anterior]]=1,ROW()-1,SUM(ROW()-1,Tabla_Activo_Fijo[[#This Row],[Id_anterior]]))</f>
        <v>1396</v>
      </c>
      <c r="F2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ACTIVO_FIJO_INFRAESCTRUCTURA_PARAMETROS_TIPOS_BAJAS</v>
      </c>
      <c r="G20" s="2" t="str">
        <f>CLEAN(PROPER(Tabla_Activo_Fijo[[#This Row],[Nombre Opción]]))</f>
        <v>Tipos De Bajas</v>
      </c>
      <c r="H20" s="2" t="s">
        <v>1735</v>
      </c>
      <c r="I20" s="2" t="str">
        <f>_xlfn.XLOOKUP(Tabla_Activo_Fijo[[#This Row],[id_padre]],Tabla_Activo_Fijo[Id],Tabla_Activo_Fijo[Codigo_Tecnico],"",0,1)</f>
        <v>ACTIVO_FIJO_INFRAESCTRUCTURA_PARAMETROS</v>
      </c>
      <c r="J2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/activo-fijo-infraesctructura/parametros/tipos-bajas</v>
      </c>
      <c r="K2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tipos-bajas</v>
      </c>
      <c r="L20" s="6" t="s">
        <v>1442</v>
      </c>
      <c r="M20" s="2" t="s">
        <v>1793</v>
      </c>
      <c r="N20" s="4" t="s">
        <v>360</v>
      </c>
      <c r="O20" s="4"/>
      <c r="P20" s="4"/>
      <c r="Q20" s="4"/>
      <c r="T20" s="4" t="s">
        <v>360</v>
      </c>
      <c r="U20" s="2" t="str">
        <f>IF(Tabla_Activo_Fijo[[#This Row],[id_padre]]=Tabla_Activo_Fijo[[#This Row],[Id]],"NOK","OK")</f>
        <v>OK</v>
      </c>
    </row>
    <row r="21" spans="1:21" x14ac:dyDescent="0.5">
      <c r="A21" s="2">
        <f>MAX(Tabla_VME[Id])</f>
        <v>1377</v>
      </c>
      <c r="B21">
        <v>1379</v>
      </c>
      <c r="C21" s="5">
        <f>IF(Tabla_Activo_Fijo[[#This Row],[id_padre]]="",0,_xlfn.XLOOKUP(Tabla_Activo_Fijo[[#This Row],[id_padre]],Tabla_Activo_Fijo[Id],Tabla_Activo_Fijo[Nivel],0,0,1)+1)</f>
        <v>2</v>
      </c>
      <c r="D21" s="2" t="s">
        <v>1198</v>
      </c>
      <c r="E21">
        <f>IF(Tabla_Activo_Fijo[[#This Row],[Id_anterior]]=1,ROW()-1,SUM(ROW()-1,Tabla_Activo_Fijo[[#This Row],[Id_anterior]]))</f>
        <v>1397</v>
      </c>
      <c r="F2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ACTIVO_FIJO_INFRAESCTRUCTURA_PARAMETROS_TIPOS_CLASIFICACION_DOCUMENTOS</v>
      </c>
      <c r="G21" s="2" t="str">
        <f>CLEAN(PROPER(Tabla_Activo_Fijo[[#This Row],[Nombre Opción]]))</f>
        <v>Tipos De Clasificacion De Documentos</v>
      </c>
      <c r="H21" s="2" t="s">
        <v>1735</v>
      </c>
      <c r="I21" s="2" t="str">
        <f>_xlfn.XLOOKUP(Tabla_Activo_Fijo[[#This Row],[id_padre]],Tabla_Activo_Fijo[Id],Tabla_Activo_Fijo[Codigo_Tecnico],"",0,1)</f>
        <v>ACTIVO_FIJO_INFRAESCTRUCTURA_PARAMETROS</v>
      </c>
      <c r="J2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/activo-fijo-infraesctructura/parametros/tipos-clasificacion-documentos</v>
      </c>
      <c r="K2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tipos-clasificacion-documentos</v>
      </c>
      <c r="L21" s="6" t="s">
        <v>1654</v>
      </c>
      <c r="M21" s="2" t="s">
        <v>1793</v>
      </c>
      <c r="N21" s="4" t="s">
        <v>360</v>
      </c>
      <c r="O21" s="4"/>
      <c r="P21" s="4"/>
      <c r="Q21" s="4"/>
      <c r="T21" s="4" t="s">
        <v>360</v>
      </c>
      <c r="U21" s="2" t="str">
        <f>IF(Tabla_Activo_Fijo[[#This Row],[id_padre]]=Tabla_Activo_Fijo[[#This Row],[Id]],"NOK","OK")</f>
        <v>OK</v>
      </c>
    </row>
    <row r="22" spans="1:21" x14ac:dyDescent="0.5">
      <c r="A22" s="2">
        <f>MAX(Tabla_VME[Id])</f>
        <v>1377</v>
      </c>
      <c r="B22">
        <v>1379</v>
      </c>
      <c r="C22" s="5">
        <f>IF(Tabla_Activo_Fijo[[#This Row],[id_padre]]="",0,_xlfn.XLOOKUP(Tabla_Activo_Fijo[[#This Row],[id_padre]],Tabla_Activo_Fijo[Id],Tabla_Activo_Fijo[Nivel],0,0,1)+1)</f>
        <v>2</v>
      </c>
      <c r="D22" s="2" t="s">
        <v>1199</v>
      </c>
      <c r="E22">
        <f>IF(Tabla_Activo_Fijo[[#This Row],[Id_anterior]]=1,ROW()-1,SUM(ROW()-1,Tabla_Activo_Fijo[[#This Row],[Id_anterior]]))</f>
        <v>1398</v>
      </c>
      <c r="F2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ACTIVO_FIJO_INFRAESCTRUCTURA_PARAMETROS_TIPOS_CONJUNTOS</v>
      </c>
      <c r="G22" s="2" t="str">
        <f>CLEAN(PROPER(Tabla_Activo_Fijo[[#This Row],[Nombre Opción]]))</f>
        <v>Tipos De Conjuntos</v>
      </c>
      <c r="H22" s="2" t="s">
        <v>1735</v>
      </c>
      <c r="I22" s="2" t="str">
        <f>_xlfn.XLOOKUP(Tabla_Activo_Fijo[[#This Row],[id_padre]],Tabla_Activo_Fijo[Id],Tabla_Activo_Fijo[Codigo_Tecnico],"",0,1)</f>
        <v>ACTIVO_FIJO_INFRAESCTRUCTURA_PARAMETROS</v>
      </c>
      <c r="J2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/activo-fijo-infraesctructura/parametros/tipos-conjuntos</v>
      </c>
      <c r="K2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tipos-conjuntos</v>
      </c>
      <c r="L22" s="6" t="s">
        <v>1418</v>
      </c>
      <c r="M22" s="2" t="s">
        <v>1793</v>
      </c>
      <c r="N22" s="4" t="s">
        <v>360</v>
      </c>
      <c r="O22" s="4"/>
      <c r="P22" s="4"/>
      <c r="Q22" s="4"/>
      <c r="T22" s="4" t="s">
        <v>360</v>
      </c>
      <c r="U22" s="2" t="str">
        <f>IF(Tabla_Activo_Fijo[[#This Row],[id_padre]]=Tabla_Activo_Fijo[[#This Row],[Id]],"NOK","OK")</f>
        <v>OK</v>
      </c>
    </row>
    <row r="23" spans="1:21" x14ac:dyDescent="0.5">
      <c r="A23" s="2">
        <f>MAX(Tabla_VME[Id])</f>
        <v>1377</v>
      </c>
      <c r="B23">
        <v>1379</v>
      </c>
      <c r="C23" s="5">
        <f>IF(Tabla_Activo_Fijo[[#This Row],[id_padre]]="",0,_xlfn.XLOOKUP(Tabla_Activo_Fijo[[#This Row],[id_padre]],Tabla_Activo_Fijo[Id],Tabla_Activo_Fijo[Nivel],0,0,1)+1)</f>
        <v>2</v>
      </c>
      <c r="D23" s="2" t="s">
        <v>454</v>
      </c>
      <c r="E23">
        <f>IF(Tabla_Activo_Fijo[[#This Row],[Id_anterior]]=1,ROW()-1,SUM(ROW()-1,Tabla_Activo_Fijo[[#This Row],[Id_anterior]]))</f>
        <v>1399</v>
      </c>
      <c r="F2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ACTIVO_FIJO_INFRAESCTRUCTURA_PARAMETROS_TIPOS_DOCUMENTOS</v>
      </c>
      <c r="G23" s="2" t="str">
        <f>CLEAN(PROPER(Tabla_Activo_Fijo[[#This Row],[Nombre Opción]]))</f>
        <v>Tipos De Documentos</v>
      </c>
      <c r="H23" s="2" t="s">
        <v>1735</v>
      </c>
      <c r="I23" s="2" t="str">
        <f>_xlfn.XLOOKUP(Tabla_Activo_Fijo[[#This Row],[id_padre]],Tabla_Activo_Fijo[Id],Tabla_Activo_Fijo[Codigo_Tecnico],"",0,1)</f>
        <v>ACTIVO_FIJO_INFRAESCTRUCTURA_PARAMETROS</v>
      </c>
      <c r="J2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/activo-fijo-infraesctructura/parametros/tipos-documentos</v>
      </c>
      <c r="K2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tipos-documentos</v>
      </c>
      <c r="L23" s="6" t="s">
        <v>1343</v>
      </c>
      <c r="M23" s="2" t="s">
        <v>1793</v>
      </c>
      <c r="N23" s="4" t="s">
        <v>360</v>
      </c>
      <c r="O23" s="4"/>
      <c r="P23" s="4"/>
      <c r="Q23" s="4"/>
      <c r="T23" s="4" t="s">
        <v>360</v>
      </c>
      <c r="U23" s="2" t="str">
        <f>IF(Tabla_Activo_Fijo[[#This Row],[id_padre]]=Tabla_Activo_Fijo[[#This Row],[Id]],"NOK","OK")</f>
        <v>OK</v>
      </c>
    </row>
    <row r="24" spans="1:21" x14ac:dyDescent="0.5">
      <c r="A24" s="2">
        <f>MAX(Tabla_VME[Id])</f>
        <v>1377</v>
      </c>
      <c r="B24">
        <v>1379</v>
      </c>
      <c r="C24" s="5">
        <f>IF(Tabla_Activo_Fijo[[#This Row],[id_padre]]="",0,_xlfn.XLOOKUP(Tabla_Activo_Fijo[[#This Row],[id_padre]],Tabla_Activo_Fijo[Id],Tabla_Activo_Fijo[Nivel],0,0,1)+1)</f>
        <v>2</v>
      </c>
      <c r="D24" s="2" t="s">
        <v>1200</v>
      </c>
      <c r="E24">
        <f>IF(Tabla_Activo_Fijo[[#This Row],[Id_anterior]]=1,ROW()-1,SUM(ROW()-1,Tabla_Activo_Fijo[[#This Row],[Id_anterior]]))</f>
        <v>1400</v>
      </c>
      <c r="F2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ACTIVO_FIJO_INFRAESCTRUCTURA_PARAMETROS_TIPOS_EDIFICACION</v>
      </c>
      <c r="G24" s="2" t="str">
        <f>CLEAN(PROPER(Tabla_Activo_Fijo[[#This Row],[Nombre Opción]]))</f>
        <v>Tipos De Edificacion</v>
      </c>
      <c r="H24" s="2" t="s">
        <v>1735</v>
      </c>
      <c r="I24" s="2" t="str">
        <f>_xlfn.XLOOKUP(Tabla_Activo_Fijo[[#This Row],[id_padre]],Tabla_Activo_Fijo[Id],Tabla_Activo_Fijo[Codigo_Tecnico],"",0,1)</f>
        <v>ACTIVO_FIJO_INFRAESCTRUCTURA_PARAMETROS</v>
      </c>
      <c r="J2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/activo-fijo-infraesctructura/parametros/tipos-edificacion</v>
      </c>
      <c r="K2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tipos-edificacion</v>
      </c>
      <c r="L24" s="6" t="s">
        <v>1341</v>
      </c>
      <c r="M24" s="2" t="s">
        <v>1793</v>
      </c>
      <c r="N24" s="4" t="s">
        <v>360</v>
      </c>
      <c r="O24" s="4"/>
      <c r="P24" s="4"/>
      <c r="Q24" s="4"/>
      <c r="T24" s="4" t="s">
        <v>360</v>
      </c>
      <c r="U24" s="2" t="str">
        <f>IF(Tabla_Activo_Fijo[[#This Row],[id_padre]]=Tabla_Activo_Fijo[[#This Row],[Id]],"NOK","OK")</f>
        <v>OK</v>
      </c>
    </row>
    <row r="25" spans="1:21" x14ac:dyDescent="0.5">
      <c r="A25" s="2">
        <f>MAX(Tabla_VME[Id])</f>
        <v>1377</v>
      </c>
      <c r="B25">
        <v>1379</v>
      </c>
      <c r="C25" s="5">
        <f>IF(Tabla_Activo_Fijo[[#This Row],[id_padre]]="",0,_xlfn.XLOOKUP(Tabla_Activo_Fijo[[#This Row],[id_padre]],Tabla_Activo_Fijo[Id],Tabla_Activo_Fijo[Nivel],0,0,1)+1)</f>
        <v>2</v>
      </c>
      <c r="D25" s="2" t="s">
        <v>1201</v>
      </c>
      <c r="E25">
        <f>IF(Tabla_Activo_Fijo[[#This Row],[Id_anterior]]=1,ROW()-1,SUM(ROW()-1,Tabla_Activo_Fijo[[#This Row],[Id_anterior]]))</f>
        <v>1401</v>
      </c>
      <c r="F2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ACTIVO_FIJO_INFRAESCTRUCTURA_PARAMETROS_TIPOS_EDIFICACION_FINANZAS</v>
      </c>
      <c r="G25" s="2" t="str">
        <f>CLEAN(PROPER(Tabla_Activo_Fijo[[#This Row],[Nombre Opción]]))</f>
        <v>Tipos De Edificacion Finanzas</v>
      </c>
      <c r="H25" s="2" t="s">
        <v>1735</v>
      </c>
      <c r="I25" s="2" t="str">
        <f>_xlfn.XLOOKUP(Tabla_Activo_Fijo[[#This Row],[id_padre]],Tabla_Activo_Fijo[Id],Tabla_Activo_Fijo[Codigo_Tecnico],"",0,1)</f>
        <v>ACTIVO_FIJO_INFRAESCTRUCTURA_PARAMETROS</v>
      </c>
      <c r="J2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/activo-fijo-infraesctructura/parametros/tipos-edificacion-finanzas</v>
      </c>
      <c r="K2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tipos-edificacion-finanzas</v>
      </c>
      <c r="L25" s="6" t="s">
        <v>1344</v>
      </c>
      <c r="M25" s="2" t="s">
        <v>1793</v>
      </c>
      <c r="N25" s="4" t="s">
        <v>360</v>
      </c>
      <c r="O25" s="4"/>
      <c r="P25" s="4"/>
      <c r="Q25" s="4"/>
      <c r="T25" s="4" t="s">
        <v>360</v>
      </c>
      <c r="U25" s="2" t="str">
        <f>IF(Tabla_Activo_Fijo[[#This Row],[id_padre]]=Tabla_Activo_Fijo[[#This Row],[Id]],"NOK","OK")</f>
        <v>OK</v>
      </c>
    </row>
    <row r="26" spans="1:21" x14ac:dyDescent="0.5">
      <c r="A26" s="2">
        <f>MAX(Tabla_VME[Id])</f>
        <v>1377</v>
      </c>
      <c r="B26">
        <v>1379</v>
      </c>
      <c r="C26" s="5">
        <f>IF(Tabla_Activo_Fijo[[#This Row],[id_padre]]="",0,_xlfn.XLOOKUP(Tabla_Activo_Fijo[[#This Row],[id_padre]],Tabla_Activo_Fijo[Id],Tabla_Activo_Fijo[Nivel],0,0,1)+1)</f>
        <v>2</v>
      </c>
      <c r="D26" s="2" t="s">
        <v>1202</v>
      </c>
      <c r="E26">
        <f>IF(Tabla_Activo_Fijo[[#This Row],[Id_anterior]]=1,ROW()-1,SUM(ROW()-1,Tabla_Activo_Fijo[[#This Row],[Id_anterior]]))</f>
        <v>1402</v>
      </c>
      <c r="F2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ACTIVO_FIJO_INFRAESCTRUCTURA_PARAMETROS_TIPOS_INMUEBLES</v>
      </c>
      <c r="G26" s="2" t="str">
        <f>CLEAN(PROPER(Tabla_Activo_Fijo[[#This Row],[Nombre Opción]]))</f>
        <v>Tipos De Inmuebles</v>
      </c>
      <c r="H26" s="2" t="s">
        <v>1735</v>
      </c>
      <c r="I26" s="2" t="str">
        <f>_xlfn.XLOOKUP(Tabla_Activo_Fijo[[#This Row],[id_padre]],Tabla_Activo_Fijo[Id],Tabla_Activo_Fijo[Codigo_Tecnico],"",0,1)</f>
        <v>ACTIVO_FIJO_INFRAESCTRUCTURA_PARAMETROS</v>
      </c>
      <c r="J2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/activo-fijo-infraesctructura/parametros/tipos-inmuebles</v>
      </c>
      <c r="K2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tipos-inmuebles</v>
      </c>
      <c r="L26" s="6" t="s">
        <v>1655</v>
      </c>
      <c r="M26" s="2" t="s">
        <v>1793</v>
      </c>
      <c r="N26" s="4" t="s">
        <v>360</v>
      </c>
      <c r="O26" s="4"/>
      <c r="P26" s="4"/>
      <c r="Q26" s="4"/>
      <c r="T26" s="4" t="s">
        <v>360</v>
      </c>
      <c r="U26" s="2" t="str">
        <f>IF(Tabla_Activo_Fijo[[#This Row],[id_padre]]=Tabla_Activo_Fijo[[#This Row],[Id]],"NOK","OK")</f>
        <v>OK</v>
      </c>
    </row>
    <row r="27" spans="1:21" x14ac:dyDescent="0.5">
      <c r="A27" s="2">
        <f>MAX(Tabla_VME[Id])</f>
        <v>1377</v>
      </c>
      <c r="B27">
        <v>1379</v>
      </c>
      <c r="C27" s="5">
        <f>IF(Tabla_Activo_Fijo[[#This Row],[id_padre]]="",0,_xlfn.XLOOKUP(Tabla_Activo_Fijo[[#This Row],[id_padre]],Tabla_Activo_Fijo[Id],Tabla_Activo_Fijo[Nivel],0,0,1)+1)</f>
        <v>2</v>
      </c>
      <c r="D27" s="2" t="s">
        <v>1203</v>
      </c>
      <c r="E27">
        <f>IF(Tabla_Activo_Fijo[[#This Row],[Id_anterior]]=1,ROW()-1,SUM(ROW()-1,Tabla_Activo_Fijo[[#This Row],[Id_anterior]]))</f>
        <v>1403</v>
      </c>
      <c r="F2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ACTIVO_FIJO_INFRAESCTRUCTURA_PARAMETROS_TIPOS_INSTALACIONES</v>
      </c>
      <c r="G27" s="2" t="str">
        <f>CLEAN(PROPER(Tabla_Activo_Fijo[[#This Row],[Nombre Opción]]))</f>
        <v>Tipos De Instalaciones</v>
      </c>
      <c r="H27" s="2" t="s">
        <v>1735</v>
      </c>
      <c r="I27" s="2" t="str">
        <f>_xlfn.XLOOKUP(Tabla_Activo_Fijo[[#This Row],[id_padre]],Tabla_Activo_Fijo[Id],Tabla_Activo_Fijo[Codigo_Tecnico],"",0,1)</f>
        <v>ACTIVO_FIJO_INFRAESCTRUCTURA_PARAMETROS</v>
      </c>
      <c r="J2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/activo-fijo-infraesctructura/parametros/tipos-instalaciones</v>
      </c>
      <c r="K2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tipos-instalaciones</v>
      </c>
      <c r="L27" s="6" t="s">
        <v>1554</v>
      </c>
      <c r="M27" s="2" t="s">
        <v>1793</v>
      </c>
      <c r="N27" s="4" t="s">
        <v>360</v>
      </c>
      <c r="O27" s="4"/>
      <c r="P27" s="4"/>
      <c r="Q27" s="4"/>
      <c r="T27" s="4" t="s">
        <v>360</v>
      </c>
      <c r="U27" s="2" t="str">
        <f>IF(Tabla_Activo_Fijo[[#This Row],[id_padre]]=Tabla_Activo_Fijo[[#This Row],[Id]],"NOK","OK")</f>
        <v>OK</v>
      </c>
    </row>
    <row r="28" spans="1:21" x14ac:dyDescent="0.5">
      <c r="A28" s="2">
        <f>MAX(Tabla_VME[Id])</f>
        <v>1377</v>
      </c>
      <c r="B28">
        <v>1379</v>
      </c>
      <c r="C28" s="5">
        <f>IF(Tabla_Activo_Fijo[[#This Row],[id_padre]]="",0,_xlfn.XLOOKUP(Tabla_Activo_Fijo[[#This Row],[id_padre]],Tabla_Activo_Fijo[Id],Tabla_Activo_Fijo[Nivel],0,0,1)+1)</f>
        <v>2</v>
      </c>
      <c r="D28" s="2" t="s">
        <v>1204</v>
      </c>
      <c r="E28">
        <f>IF(Tabla_Activo_Fijo[[#This Row],[Id_anterior]]=1,ROW()-1,SUM(ROW()-1,Tabla_Activo_Fijo[[#This Row],[Id_anterior]]))</f>
        <v>1404</v>
      </c>
      <c r="F2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ACTIVO_FIJO_INFRAESCTRUCTURA_PARAMETROS_TIPOS_LEGALIDAD</v>
      </c>
      <c r="G28" s="2" t="str">
        <f>CLEAN(PROPER(Tabla_Activo_Fijo[[#This Row],[Nombre Opción]]))</f>
        <v>Tipos De Legalidad</v>
      </c>
      <c r="H28" s="2" t="s">
        <v>1735</v>
      </c>
      <c r="I28" s="2" t="str">
        <f>_xlfn.XLOOKUP(Tabla_Activo_Fijo[[#This Row],[id_padre]],Tabla_Activo_Fijo[Id],Tabla_Activo_Fijo[Codigo_Tecnico],"",0,1)</f>
        <v>ACTIVO_FIJO_INFRAESCTRUCTURA_PARAMETROS</v>
      </c>
      <c r="J2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/activo-fijo-infraesctructura/parametros/tipos-legalidad</v>
      </c>
      <c r="K2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tipos-legalidad</v>
      </c>
      <c r="L28" s="6" t="s">
        <v>1457</v>
      </c>
      <c r="M28" s="2" t="s">
        <v>1793</v>
      </c>
      <c r="N28" s="4" t="s">
        <v>360</v>
      </c>
      <c r="O28" s="4"/>
      <c r="P28" s="4"/>
      <c r="Q28" s="4"/>
      <c r="T28" s="4" t="s">
        <v>360</v>
      </c>
      <c r="U28" s="2" t="str">
        <f>IF(Tabla_Activo_Fijo[[#This Row],[id_padre]]=Tabla_Activo_Fijo[[#This Row],[Id]],"NOK","OK")</f>
        <v>OK</v>
      </c>
    </row>
    <row r="29" spans="1:21" x14ac:dyDescent="0.5">
      <c r="A29" s="2">
        <f>MAX(Tabla_VME[Id])</f>
        <v>1377</v>
      </c>
      <c r="B29">
        <v>1379</v>
      </c>
      <c r="C29" s="5">
        <f>IF(Tabla_Activo_Fijo[[#This Row],[id_padre]]="",0,_xlfn.XLOOKUP(Tabla_Activo_Fijo[[#This Row],[id_padre]],Tabla_Activo_Fijo[Id],Tabla_Activo_Fijo[Nivel],0,0,1)+1)</f>
        <v>2</v>
      </c>
      <c r="D29" s="2" t="s">
        <v>1205</v>
      </c>
      <c r="E29">
        <f>IF(Tabla_Activo_Fijo[[#This Row],[Id_anterior]]=1,ROW()-1,SUM(ROW()-1,Tabla_Activo_Fijo[[#This Row],[Id_anterior]]))</f>
        <v>1405</v>
      </c>
      <c r="F2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ACTIVO_FIJO_INFRAESCTRUCTURA_PARAMETROS_TIPOS_MATERIALES</v>
      </c>
      <c r="G29" s="2" t="str">
        <f>CLEAN(PROPER(Tabla_Activo_Fijo[[#This Row],[Nombre Opción]]))</f>
        <v>Tipos De Materiales</v>
      </c>
      <c r="H29" s="2" t="s">
        <v>1735</v>
      </c>
      <c r="I29" s="2" t="str">
        <f>_xlfn.XLOOKUP(Tabla_Activo_Fijo[[#This Row],[id_padre]],Tabla_Activo_Fijo[Id],Tabla_Activo_Fijo[Codigo_Tecnico],"",0,1)</f>
        <v>ACTIVO_FIJO_INFRAESCTRUCTURA_PARAMETROS</v>
      </c>
      <c r="J2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/activo-fijo-infraesctructura/parametros/tipos-materiales</v>
      </c>
      <c r="K2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tipos-materiales</v>
      </c>
      <c r="L29" s="6" t="s">
        <v>1656</v>
      </c>
      <c r="M29" s="2" t="s">
        <v>1793</v>
      </c>
      <c r="N29" s="4" t="s">
        <v>360</v>
      </c>
      <c r="O29" s="4"/>
      <c r="P29" s="4"/>
      <c r="Q29" s="4"/>
      <c r="T29" s="4" t="s">
        <v>360</v>
      </c>
      <c r="U29" s="2" t="str">
        <f>IF(Tabla_Activo_Fijo[[#This Row],[id_padre]]=Tabla_Activo_Fijo[[#This Row],[Id]],"NOK","OK")</f>
        <v>OK</v>
      </c>
    </row>
    <row r="30" spans="1:21" x14ac:dyDescent="0.5">
      <c r="A30" s="2">
        <f>MAX(Tabla_VME[Id])</f>
        <v>1377</v>
      </c>
      <c r="B30">
        <v>1379</v>
      </c>
      <c r="C30" s="5">
        <f>IF(Tabla_Activo_Fijo[[#This Row],[id_padre]]="",0,_xlfn.XLOOKUP(Tabla_Activo_Fijo[[#This Row],[id_padre]],Tabla_Activo_Fijo[Id],Tabla_Activo_Fijo[Nivel],0,0,1)+1)</f>
        <v>2</v>
      </c>
      <c r="D30" s="2" t="s">
        <v>1206</v>
      </c>
      <c r="E30">
        <f>IF(Tabla_Activo_Fijo[[#This Row],[Id_anterior]]=1,ROW()-1,SUM(ROW()-1,Tabla_Activo_Fijo[[#This Row],[Id_anterior]]))</f>
        <v>1406</v>
      </c>
      <c r="F3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ACTIVO_FIJO_INFRAESCTRUCTURA_PARAMETROS_TIPOS_USO_ESPECIFICO</v>
      </c>
      <c r="G30" s="2" t="str">
        <f>CLEAN(PROPER(Tabla_Activo_Fijo[[#This Row],[Nombre Opción]]))</f>
        <v>Tipos De Uso Especifico</v>
      </c>
      <c r="H30" s="2" t="s">
        <v>1735</v>
      </c>
      <c r="I30" s="2" t="str">
        <f>_xlfn.XLOOKUP(Tabla_Activo_Fijo[[#This Row],[id_padre]],Tabla_Activo_Fijo[Id],Tabla_Activo_Fijo[Codigo_Tecnico],"",0,1)</f>
        <v>ACTIVO_FIJO_INFRAESCTRUCTURA_PARAMETROS</v>
      </c>
      <c r="J3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/activo-fijo-infraesctructura/parametros/tipos-uso-especifico</v>
      </c>
      <c r="K3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tipos-uso-especifico</v>
      </c>
      <c r="L30" s="6" t="s">
        <v>1657</v>
      </c>
      <c r="M30" s="2" t="s">
        <v>1793</v>
      </c>
      <c r="N30" s="4" t="s">
        <v>360</v>
      </c>
      <c r="O30" s="4"/>
      <c r="P30" s="4"/>
      <c r="Q30" s="4"/>
      <c r="T30" s="4" t="s">
        <v>360</v>
      </c>
      <c r="U30" s="2" t="str">
        <f>IF(Tabla_Activo_Fijo[[#This Row],[id_padre]]=Tabla_Activo_Fijo[[#This Row],[Id]],"NOK","OK")</f>
        <v>OK</v>
      </c>
    </row>
    <row r="31" spans="1:21" x14ac:dyDescent="0.5">
      <c r="A31" s="2">
        <f>MAX(Tabla_VME[Id])</f>
        <v>1377</v>
      </c>
      <c r="B31">
        <v>1379</v>
      </c>
      <c r="C31" s="5">
        <f>IF(Tabla_Activo_Fijo[[#This Row],[id_padre]]="",0,_xlfn.XLOOKUP(Tabla_Activo_Fijo[[#This Row],[id_padre]],Tabla_Activo_Fijo[Id],Tabla_Activo_Fijo[Nivel],0,0,1)+1)</f>
        <v>2</v>
      </c>
      <c r="D31" s="2" t="s">
        <v>1207</v>
      </c>
      <c r="E31">
        <f>IF(Tabla_Activo_Fijo[[#This Row],[Id_anterior]]=1,ROW()-1,SUM(ROW()-1,Tabla_Activo_Fijo[[#This Row],[Id_anterior]]))</f>
        <v>1407</v>
      </c>
      <c r="F3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ACTIVO_FIJO_INFRAESCTRUCTURA_PARAMETROS_TIPOS_USO_GENERAL</v>
      </c>
      <c r="G31" s="2" t="str">
        <f>CLEAN(PROPER(Tabla_Activo_Fijo[[#This Row],[Nombre Opción]]))</f>
        <v>Tipos De Uso General</v>
      </c>
      <c r="H31" s="2" t="s">
        <v>1735</v>
      </c>
      <c r="I31" s="2" t="str">
        <f>_xlfn.XLOOKUP(Tabla_Activo_Fijo[[#This Row],[id_padre]],Tabla_Activo_Fijo[Id],Tabla_Activo_Fijo[Codigo_Tecnico],"",0,1)</f>
        <v>ACTIVO_FIJO_INFRAESCTRUCTURA_PARAMETROS</v>
      </c>
      <c r="J3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/activo-fijo-infraesctructura/parametros/tipos-uso-general</v>
      </c>
      <c r="K3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tipos-uso-general</v>
      </c>
      <c r="L31" s="6" t="s">
        <v>1658</v>
      </c>
      <c r="M31" s="2" t="s">
        <v>1793</v>
      </c>
      <c r="N31" s="4" t="s">
        <v>360</v>
      </c>
      <c r="O31" s="4"/>
      <c r="P31" s="4"/>
      <c r="Q31" s="4"/>
      <c r="T31" s="4" t="s">
        <v>360</v>
      </c>
      <c r="U31" s="2" t="str">
        <f>IF(Tabla_Activo_Fijo[[#This Row],[id_padre]]=Tabla_Activo_Fijo[[#This Row],[Id]],"NOK","OK")</f>
        <v>OK</v>
      </c>
    </row>
    <row r="32" spans="1:21" hidden="1" x14ac:dyDescent="0.5">
      <c r="A32" s="2">
        <f>MAX(Tabla_VME[Id])</f>
        <v>1377</v>
      </c>
      <c r="B32">
        <v>1380</v>
      </c>
      <c r="C32" s="5">
        <f>IF(Tabla_Activo_Fijo[[#This Row],[id_padre]]="",0,_xlfn.XLOOKUP(Tabla_Activo_Fijo[[#This Row],[id_padre]],Tabla_Activo_Fijo[Id],Tabla_Activo_Fijo[Nivel],0,0,1)+1)</f>
        <v>2</v>
      </c>
      <c r="D32" s="2" t="s">
        <v>1646</v>
      </c>
      <c r="E32">
        <f>IF(Tabla_Activo_Fijo[[#This Row],[Id_anterior]]=1,ROW()-1,SUM(ROW()-1,Tabla_Activo_Fijo[[#This Row],[Id_anterior]]))</f>
        <v>1408</v>
      </c>
      <c r="F3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ACTIVO_FIJO_INFRAESCTRUCTURA_PROCESOS_INGRESO_HISTORICO_TERRENOS</v>
      </c>
      <c r="G32" s="2" t="str">
        <f>CLEAN(PROPER(Tabla_Activo_Fijo[[#This Row],[Nombre Opción]]))</f>
        <v>Ingreso Historico Terrenos</v>
      </c>
      <c r="H32" s="2" t="s">
        <v>1735</v>
      </c>
      <c r="I32" s="2" t="str">
        <f>_xlfn.XLOOKUP(Tabla_Activo_Fijo[[#This Row],[id_padre]],Tabla_Activo_Fijo[Id],Tabla_Activo_Fijo[Codigo_Tecnico],"",0,1)</f>
        <v>ACTIVO_FIJO_INFRAESCTRUCTURA_PROCESOS</v>
      </c>
      <c r="J3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/activo-fijo-infraesctructura/procesos/ingreso-historico-terrenos</v>
      </c>
      <c r="K3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ingreso-historico-terrenos</v>
      </c>
      <c r="L32" s="6" t="s">
        <v>1653</v>
      </c>
      <c r="M32" s="2" t="s">
        <v>1793</v>
      </c>
      <c r="N32" s="4" t="s">
        <v>360</v>
      </c>
      <c r="O32" s="4" t="s">
        <v>360</v>
      </c>
      <c r="P32" s="4"/>
      <c r="Q32" s="4" t="s">
        <v>360</v>
      </c>
      <c r="R32" s="4" t="s">
        <v>360</v>
      </c>
      <c r="S32" s="4" t="s">
        <v>360</v>
      </c>
      <c r="T32" s="4" t="s">
        <v>360</v>
      </c>
      <c r="U32" s="2" t="str">
        <f>IF(Tabla_Activo_Fijo[[#This Row],[id_padre]]=Tabla_Activo_Fijo[[#This Row],[Id]],"NOK","OK")</f>
        <v>OK</v>
      </c>
    </row>
    <row r="33" spans="1:21" hidden="1" x14ac:dyDescent="0.5">
      <c r="A33" s="2">
        <f>MAX(Tabla_VME[Id])</f>
        <v>1377</v>
      </c>
      <c r="B33">
        <v>1408</v>
      </c>
      <c r="C33" s="5">
        <f>IF(Tabla_Activo_Fijo[[#This Row],[id_padre]]="",0,_xlfn.XLOOKUP(Tabla_Activo_Fijo[[#This Row],[id_padre]],Tabla_Activo_Fijo[Id],Tabla_Activo_Fijo[Nivel],0,0,1)+1)</f>
        <v>3</v>
      </c>
      <c r="D33" s="2" t="s">
        <v>1208</v>
      </c>
      <c r="E33">
        <f>IF(Tabla_Activo_Fijo[[#This Row],[Id_anterior]]=1,ROW()-1,SUM(ROW()-1,Tabla_Activo_Fijo[[#This Row],[Id_anterior]]))</f>
        <v>1409</v>
      </c>
      <c r="F3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ACTIVO_FIJO_INFRAESCTRUCTURA_PROCESOS_INGRESO_HISTORICO_TERRENOS_ANTECEDENTES</v>
      </c>
      <c r="G33" s="2" t="str">
        <f>CLEAN(PROPER(Tabla_Activo_Fijo[[#This Row],[Nombre Opción]]))</f>
        <v>Antecedentes</v>
      </c>
      <c r="H33" s="2" t="s">
        <v>1735</v>
      </c>
      <c r="I33" s="2" t="str">
        <f>_xlfn.XLOOKUP(Tabla_Activo_Fijo[[#This Row],[id_padre]],Tabla_Activo_Fijo[Id],Tabla_Activo_Fijo[Codigo_Tecnico],"",0,1)</f>
        <v>ACTIVO_FIJO_INFRAESCTRUCTURA_PROCESOS_INGRESO_HISTORICO_TERRENOS</v>
      </c>
      <c r="J3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/activo-fijo-infraesctructura/procesos/ingreso-historico-terrenos/antecedentes</v>
      </c>
      <c r="K3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antecedentes</v>
      </c>
      <c r="L33" s="6" t="s">
        <v>1439</v>
      </c>
      <c r="M33" s="2" t="s">
        <v>1793</v>
      </c>
      <c r="N33" s="4" t="s">
        <v>360</v>
      </c>
      <c r="O33" s="4" t="s">
        <v>360</v>
      </c>
      <c r="P33" s="4"/>
      <c r="Q33" s="4" t="s">
        <v>360</v>
      </c>
      <c r="R33" s="4" t="s">
        <v>360</v>
      </c>
      <c r="S33" s="4" t="s">
        <v>360</v>
      </c>
      <c r="T33" s="4" t="s">
        <v>360</v>
      </c>
      <c r="U33" s="2" t="str">
        <f>IF(Tabla_Activo_Fijo[[#This Row],[id_padre]]=Tabla_Activo_Fijo[[#This Row],[Id]],"NOK","OK")</f>
        <v>OK</v>
      </c>
    </row>
    <row r="34" spans="1:21" hidden="1" x14ac:dyDescent="0.5">
      <c r="A34" s="2">
        <f>MAX(Tabla_VME[Id])</f>
        <v>1377</v>
      </c>
      <c r="B34">
        <v>1408</v>
      </c>
      <c r="C34" s="5">
        <f>IF(Tabla_Activo_Fijo[[#This Row],[id_padre]]="",0,_xlfn.XLOOKUP(Tabla_Activo_Fijo[[#This Row],[id_padre]],Tabla_Activo_Fijo[Id],Tabla_Activo_Fijo[Nivel],0,0,1)+1)</f>
        <v>3</v>
      </c>
      <c r="D34" s="2" t="s">
        <v>1209</v>
      </c>
      <c r="E34">
        <f>IF(Tabla_Activo_Fijo[[#This Row],[Id_anterior]]=1,ROW()-1,SUM(ROW()-1,Tabla_Activo_Fijo[[#This Row],[Id_anterior]]))</f>
        <v>1410</v>
      </c>
      <c r="F3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ACTIVO_FIJO_INFRAESCTRUCTURA_PROCESOS_INGRESO_HISTORICO_TERRENOS_LEGALIZACION</v>
      </c>
      <c r="G34" s="2" t="str">
        <f>CLEAN(PROPER(Tabla_Activo_Fijo[[#This Row],[Nombre Opción]]))</f>
        <v>Legalizacion</v>
      </c>
      <c r="H34" s="2" t="s">
        <v>1735</v>
      </c>
      <c r="I34" s="2" t="str">
        <f>_xlfn.XLOOKUP(Tabla_Activo_Fijo[[#This Row],[id_padre]],Tabla_Activo_Fijo[Id],Tabla_Activo_Fijo[Codigo_Tecnico],"",0,1)</f>
        <v>ACTIVO_FIJO_INFRAESCTRUCTURA_PROCESOS_INGRESO_HISTORICO_TERRENOS</v>
      </c>
      <c r="J3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/activo-fijo-infraesctructura/procesos/ingreso-historico-terrenos/legalizacion</v>
      </c>
      <c r="K3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legalizacion</v>
      </c>
      <c r="L34" s="6" t="s">
        <v>1457</v>
      </c>
      <c r="M34" s="2" t="s">
        <v>1793</v>
      </c>
      <c r="N34" s="4" t="s">
        <v>360</v>
      </c>
      <c r="O34" s="4" t="s">
        <v>360</v>
      </c>
      <c r="P34" s="4"/>
      <c r="Q34" s="4" t="s">
        <v>360</v>
      </c>
      <c r="R34" s="4" t="s">
        <v>360</v>
      </c>
      <c r="S34" s="4" t="s">
        <v>360</v>
      </c>
      <c r="T34" s="4" t="s">
        <v>360</v>
      </c>
      <c r="U34" s="2" t="str">
        <f>IF(Tabla_Activo_Fijo[[#This Row],[id_padre]]=Tabla_Activo_Fijo[[#This Row],[Id]],"NOK","OK")</f>
        <v>OK</v>
      </c>
    </row>
    <row r="35" spans="1:21" hidden="1" x14ac:dyDescent="0.5">
      <c r="A35" s="2">
        <f>MAX(Tabla_VME[Id])</f>
        <v>1377</v>
      </c>
      <c r="B35">
        <v>1408</v>
      </c>
      <c r="C35" s="5">
        <f>IF(Tabla_Activo_Fijo[[#This Row],[id_padre]]="",0,_xlfn.XLOOKUP(Tabla_Activo_Fijo[[#This Row],[id_padre]],Tabla_Activo_Fijo[Id],Tabla_Activo_Fijo[Nivel],0,0,1)+1)</f>
        <v>3</v>
      </c>
      <c r="D35" s="2" t="s">
        <v>1210</v>
      </c>
      <c r="E35">
        <f>IF(Tabla_Activo_Fijo[[#This Row],[Id_anterior]]=1,ROW()-1,SUM(ROW()-1,Tabla_Activo_Fijo[[#This Row],[Id_anterior]]))</f>
        <v>1411</v>
      </c>
      <c r="F3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ACTIVO_FIJO_INFRAESCTRUCTURA_PROCESOS_INGRESO_HISTORICO_TERRENOS_ACTUALIZACION</v>
      </c>
      <c r="G35" s="2" t="str">
        <f>CLEAN(PROPER(Tabla_Activo_Fijo[[#This Row],[Nombre Opción]]))</f>
        <v>Actualizacion</v>
      </c>
      <c r="H35" s="2" t="s">
        <v>1735</v>
      </c>
      <c r="I35" s="2" t="str">
        <f>_xlfn.XLOOKUP(Tabla_Activo_Fijo[[#This Row],[id_padre]],Tabla_Activo_Fijo[Id],Tabla_Activo_Fijo[Codigo_Tecnico],"",0,1)</f>
        <v>ACTIVO_FIJO_INFRAESCTRUCTURA_PROCESOS_INGRESO_HISTORICO_TERRENOS</v>
      </c>
      <c r="J3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/activo-fijo-infraesctructura/procesos/ingreso-historico-terrenos/actualizacion</v>
      </c>
      <c r="K3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</v>
      </c>
      <c r="L35" s="6" t="s">
        <v>1420</v>
      </c>
      <c r="M35" s="2" t="s">
        <v>1793</v>
      </c>
      <c r="N35" s="4" t="s">
        <v>360</v>
      </c>
      <c r="O35" s="4" t="s">
        <v>360</v>
      </c>
      <c r="P35" s="4"/>
      <c r="Q35" s="4" t="s">
        <v>360</v>
      </c>
      <c r="R35" s="4" t="s">
        <v>360</v>
      </c>
      <c r="S35" s="4" t="s">
        <v>360</v>
      </c>
      <c r="T35" s="4" t="s">
        <v>360</v>
      </c>
      <c r="U35" s="2" t="str">
        <f>IF(Tabla_Activo_Fijo[[#This Row],[id_padre]]=Tabla_Activo_Fijo[[#This Row],[Id]],"NOK","OK")</f>
        <v>OK</v>
      </c>
    </row>
    <row r="36" spans="1:21" hidden="1" x14ac:dyDescent="0.5">
      <c r="A36" s="2">
        <f>MAX(Tabla_VME[Id])</f>
        <v>1377</v>
      </c>
      <c r="B36">
        <v>1408</v>
      </c>
      <c r="C36" s="5">
        <f>IF(Tabla_Activo_Fijo[[#This Row],[id_padre]]="",0,_xlfn.XLOOKUP(Tabla_Activo_Fijo[[#This Row],[id_padre]],Tabla_Activo_Fijo[Id],Tabla_Activo_Fijo[Nivel],0,0,1)+1)</f>
        <v>3</v>
      </c>
      <c r="D36" s="2" t="s">
        <v>1211</v>
      </c>
      <c r="E36">
        <f>IF(Tabla_Activo_Fijo[[#This Row],[Id_anterior]]=1,ROW()-1,SUM(ROW()-1,Tabla_Activo_Fijo[[#This Row],[Id_anterior]]))</f>
        <v>1412</v>
      </c>
      <c r="F3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ACTIVO_FIJO_INFRAESCTRUCTURA_PROCESOS_INGRESO_HISTORICO_TERRENOS_CAMBIO_ROL</v>
      </c>
      <c r="G36" s="2" t="str">
        <f>CLEAN(PROPER(Tabla_Activo_Fijo[[#This Row],[Nombre Opción]]))</f>
        <v>Cambio De Rol</v>
      </c>
      <c r="H36" s="2" t="s">
        <v>1735</v>
      </c>
      <c r="I36" s="2" t="str">
        <f>_xlfn.XLOOKUP(Tabla_Activo_Fijo[[#This Row],[id_padre]],Tabla_Activo_Fijo[Id],Tabla_Activo_Fijo[Codigo_Tecnico],"",0,1)</f>
        <v>ACTIVO_FIJO_INFRAESCTRUCTURA_PROCESOS_INGRESO_HISTORICO_TERRENOS</v>
      </c>
      <c r="J3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/activo-fijo-infraesctructura/procesos/ingreso-historico-terrenos/cambio-rol</v>
      </c>
      <c r="K3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cambio-rol</v>
      </c>
      <c r="L36" s="6" t="s">
        <v>1349</v>
      </c>
      <c r="M36" s="2" t="s">
        <v>1793</v>
      </c>
      <c r="N36" s="4" t="s">
        <v>360</v>
      </c>
      <c r="O36" s="4" t="s">
        <v>360</v>
      </c>
      <c r="P36" s="4"/>
      <c r="Q36" s="4" t="s">
        <v>360</v>
      </c>
      <c r="R36" s="4" t="s">
        <v>360</v>
      </c>
      <c r="S36" s="4" t="s">
        <v>360</v>
      </c>
      <c r="T36" s="4" t="s">
        <v>360</v>
      </c>
      <c r="U36" s="2" t="str">
        <f>IF(Tabla_Activo_Fijo[[#This Row],[id_padre]]=Tabla_Activo_Fijo[[#This Row],[Id]],"NOK","OK")</f>
        <v>OK</v>
      </c>
    </row>
    <row r="37" spans="1:21" hidden="1" x14ac:dyDescent="0.5">
      <c r="A37" s="2">
        <f>MAX(Tabla_VME[Id])</f>
        <v>1377</v>
      </c>
      <c r="B37">
        <v>1380</v>
      </c>
      <c r="C37" s="5">
        <f>IF(Tabla_Activo_Fijo[[#This Row],[id_padre]]="",0,_xlfn.XLOOKUP(Tabla_Activo_Fijo[[#This Row],[id_padre]],Tabla_Activo_Fijo[Id],Tabla_Activo_Fijo[Nivel],0,0,1)+1)</f>
        <v>2</v>
      </c>
      <c r="D37" s="2" t="s">
        <v>1647</v>
      </c>
      <c r="E37">
        <f>IF(Tabla_Activo_Fijo[[#This Row],[Id_anterior]]=1,ROW()-1,SUM(ROW()-1,Tabla_Activo_Fijo[[#This Row],[Id_anterior]]))</f>
        <v>1413</v>
      </c>
      <c r="F3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ACTIVO_FIJO_INFRAESCTRUCTURA_PROCESOS_INGRESO_HISTORICO_EDIFICACIONES</v>
      </c>
      <c r="G37" s="2" t="str">
        <f>CLEAN(PROPER(Tabla_Activo_Fijo[[#This Row],[Nombre Opción]]))</f>
        <v>Ingreso Historico Edificaciones</v>
      </c>
      <c r="H37" s="2" t="s">
        <v>1735</v>
      </c>
      <c r="I37" s="2" t="str">
        <f>_xlfn.XLOOKUP(Tabla_Activo_Fijo[[#This Row],[id_padre]],Tabla_Activo_Fijo[Id],Tabla_Activo_Fijo[Codigo_Tecnico],"",0,1)</f>
        <v>ACTIVO_FIJO_INFRAESCTRUCTURA_PROCESOS</v>
      </c>
      <c r="J3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/activo-fijo-infraesctructura/procesos/ingreso-historico-edificaciones</v>
      </c>
      <c r="K3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ingreso-historico-edificaciones</v>
      </c>
      <c r="L37" s="6" t="s">
        <v>1341</v>
      </c>
      <c r="M37" s="2" t="s">
        <v>1793</v>
      </c>
      <c r="N37" s="4" t="s">
        <v>360</v>
      </c>
      <c r="O37" s="4" t="s">
        <v>360</v>
      </c>
      <c r="P37" s="4" t="s">
        <v>360</v>
      </c>
      <c r="Q37" s="4" t="s">
        <v>360</v>
      </c>
      <c r="R37" s="4" t="s">
        <v>360</v>
      </c>
      <c r="S37" s="4" t="s">
        <v>360</v>
      </c>
      <c r="T37" s="4" t="s">
        <v>360</v>
      </c>
      <c r="U37" s="2" t="str">
        <f>IF(Tabla_Activo_Fijo[[#This Row],[id_padre]]=Tabla_Activo_Fijo[[#This Row],[Id]],"NOK","OK")</f>
        <v>OK</v>
      </c>
    </row>
    <row r="38" spans="1:21" hidden="1" x14ac:dyDescent="0.5">
      <c r="A38" s="2">
        <f>MAX(Tabla_VME[Id])</f>
        <v>1377</v>
      </c>
      <c r="B38">
        <v>1413</v>
      </c>
      <c r="C38" s="5">
        <f>IF(Tabla_Activo_Fijo[[#This Row],[id_padre]]="",0,_xlfn.XLOOKUP(Tabla_Activo_Fijo[[#This Row],[id_padre]],Tabla_Activo_Fijo[Id],Tabla_Activo_Fijo[Nivel],0,0,1)+1)</f>
        <v>3</v>
      </c>
      <c r="D38" s="2" t="s">
        <v>1208</v>
      </c>
      <c r="E38">
        <f>IF(Tabla_Activo_Fijo[[#This Row],[Id_anterior]]=1,ROW()-1,SUM(ROW()-1,Tabla_Activo_Fijo[[#This Row],[Id_anterior]]))</f>
        <v>1414</v>
      </c>
      <c r="F3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ACTIVO_FIJO_INFRAESCTRUCTURA_PROCESOS_INGRESO_HISTORICO_EDIFICACIONES_ANTECEDENTES</v>
      </c>
      <c r="G38" s="2" t="str">
        <f>CLEAN(PROPER(Tabla_Activo_Fijo[[#This Row],[Nombre Opción]]))</f>
        <v>Antecedentes</v>
      </c>
      <c r="H38" s="2" t="s">
        <v>1735</v>
      </c>
      <c r="I38" s="2" t="str">
        <f>_xlfn.XLOOKUP(Tabla_Activo_Fijo[[#This Row],[id_padre]],Tabla_Activo_Fijo[Id],Tabla_Activo_Fijo[Codigo_Tecnico],"",0,1)</f>
        <v>ACTIVO_FIJO_INFRAESCTRUCTURA_PROCESOS_INGRESO_HISTORICO_EDIFICACIONES</v>
      </c>
      <c r="J3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/activo-fijo-infraesctructura/procesos/ingreso-historico-edificaciones/antecedentes</v>
      </c>
      <c r="K3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antecedentes</v>
      </c>
      <c r="L38" s="6" t="s">
        <v>1439</v>
      </c>
      <c r="M38" s="2" t="s">
        <v>1793</v>
      </c>
      <c r="N38" s="4" t="s">
        <v>360</v>
      </c>
      <c r="O38" s="4" t="s">
        <v>360</v>
      </c>
      <c r="P38" s="4" t="s">
        <v>360</v>
      </c>
      <c r="Q38" s="4" t="s">
        <v>360</v>
      </c>
      <c r="R38" s="4" t="s">
        <v>360</v>
      </c>
      <c r="S38" s="4" t="s">
        <v>360</v>
      </c>
      <c r="T38" s="4" t="s">
        <v>360</v>
      </c>
      <c r="U38" s="2" t="str">
        <f>IF(Tabla_Activo_Fijo[[#This Row],[id_padre]]=Tabla_Activo_Fijo[[#This Row],[Id]],"NOK","OK")</f>
        <v>OK</v>
      </c>
    </row>
    <row r="39" spans="1:21" hidden="1" x14ac:dyDescent="0.5">
      <c r="A39" s="2">
        <f>MAX(Tabla_VME[Id])</f>
        <v>1377</v>
      </c>
      <c r="B39">
        <v>1413</v>
      </c>
      <c r="C39" s="5">
        <f>IF(Tabla_Activo_Fijo[[#This Row],[id_padre]]="",0,_xlfn.XLOOKUP(Tabla_Activo_Fijo[[#This Row],[id_padre]],Tabla_Activo_Fijo[Id],Tabla_Activo_Fijo[Nivel],0,0,1)+1)</f>
        <v>3</v>
      </c>
      <c r="D39" s="2" t="s">
        <v>1209</v>
      </c>
      <c r="E39">
        <f>IF(Tabla_Activo_Fijo[[#This Row],[Id_anterior]]=1,ROW()-1,SUM(ROW()-1,Tabla_Activo_Fijo[[#This Row],[Id_anterior]]))</f>
        <v>1415</v>
      </c>
      <c r="F3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ACTIVO_FIJO_INFRAESCTRUCTURA_PROCESOS_INGRESO_HISTORICO_EDIFICACIONES_LEGALIZACION</v>
      </c>
      <c r="G39" s="2" t="str">
        <f>CLEAN(PROPER(Tabla_Activo_Fijo[[#This Row],[Nombre Opción]]))</f>
        <v>Legalizacion</v>
      </c>
      <c r="H39" s="2" t="s">
        <v>1735</v>
      </c>
      <c r="I39" s="2" t="str">
        <f>_xlfn.XLOOKUP(Tabla_Activo_Fijo[[#This Row],[id_padre]],Tabla_Activo_Fijo[Id],Tabla_Activo_Fijo[Codigo_Tecnico],"",0,1)</f>
        <v>ACTIVO_FIJO_INFRAESCTRUCTURA_PROCESOS_INGRESO_HISTORICO_EDIFICACIONES</v>
      </c>
      <c r="J3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/activo-fijo-infraesctructura/procesos/ingreso-historico-edificaciones/legalizacion</v>
      </c>
      <c r="K3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legalizacion</v>
      </c>
      <c r="L39" s="6" t="s">
        <v>1457</v>
      </c>
      <c r="M39" s="2" t="s">
        <v>1793</v>
      </c>
      <c r="N39" s="4" t="s">
        <v>360</v>
      </c>
      <c r="O39" s="4" t="s">
        <v>360</v>
      </c>
      <c r="P39" s="4"/>
      <c r="Q39" s="4" t="s">
        <v>360</v>
      </c>
      <c r="R39" s="4" t="s">
        <v>360</v>
      </c>
      <c r="S39" s="4" t="s">
        <v>360</v>
      </c>
      <c r="T39" s="4" t="s">
        <v>360</v>
      </c>
      <c r="U39" s="2" t="str">
        <f>IF(Tabla_Activo_Fijo[[#This Row],[id_padre]]=Tabla_Activo_Fijo[[#This Row],[Id]],"NOK","OK")</f>
        <v>OK</v>
      </c>
    </row>
    <row r="40" spans="1:21" hidden="1" x14ac:dyDescent="0.5">
      <c r="A40" s="2">
        <f>MAX(Tabla_VME[Id])</f>
        <v>1377</v>
      </c>
      <c r="B40">
        <v>1413</v>
      </c>
      <c r="C40" s="5">
        <f>IF(Tabla_Activo_Fijo[[#This Row],[id_padre]]="",0,_xlfn.XLOOKUP(Tabla_Activo_Fijo[[#This Row],[id_padre]],Tabla_Activo_Fijo[Id],Tabla_Activo_Fijo[Nivel],0,0,1)+1)</f>
        <v>3</v>
      </c>
      <c r="D40" s="2" t="s">
        <v>1210</v>
      </c>
      <c r="E40">
        <f>IF(Tabla_Activo_Fijo[[#This Row],[Id_anterior]]=1,ROW()-1,SUM(ROW()-1,Tabla_Activo_Fijo[[#This Row],[Id_anterior]]))</f>
        <v>1416</v>
      </c>
      <c r="F4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ACTIVO_FIJO_INFRAESCTRUCTURA_PROCESOS_INGRESO_HISTORICO_EDIFICACIONES_ACTUALIZACION</v>
      </c>
      <c r="G40" s="2" t="str">
        <f>CLEAN(PROPER(Tabla_Activo_Fijo[[#This Row],[Nombre Opción]]))</f>
        <v>Actualizacion</v>
      </c>
      <c r="H40" s="2" t="s">
        <v>1735</v>
      </c>
      <c r="I40" s="2" t="str">
        <f>_xlfn.XLOOKUP(Tabla_Activo_Fijo[[#This Row],[id_padre]],Tabla_Activo_Fijo[Id],Tabla_Activo_Fijo[Codigo_Tecnico],"",0,1)</f>
        <v>ACTIVO_FIJO_INFRAESCTRUCTURA_PROCESOS_INGRESO_HISTORICO_EDIFICACIONES</v>
      </c>
      <c r="J4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/activo-fijo-infraesctructura/procesos/ingreso-historico-edificaciones/actualizacion</v>
      </c>
      <c r="K4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</v>
      </c>
      <c r="L40" s="6" t="s">
        <v>1420</v>
      </c>
      <c r="M40" s="2" t="s">
        <v>1793</v>
      </c>
      <c r="N40" s="4" t="s">
        <v>360</v>
      </c>
      <c r="O40" s="4" t="s">
        <v>360</v>
      </c>
      <c r="P40" s="4"/>
      <c r="Q40" s="4" t="s">
        <v>360</v>
      </c>
      <c r="R40" s="4" t="s">
        <v>360</v>
      </c>
      <c r="S40" s="4" t="s">
        <v>360</v>
      </c>
      <c r="T40" s="4" t="s">
        <v>360</v>
      </c>
      <c r="U40" s="2" t="str">
        <f>IF(Tabla_Activo_Fijo[[#This Row],[id_padre]]=Tabla_Activo_Fijo[[#This Row],[Id]],"NOK","OK")</f>
        <v>OK</v>
      </c>
    </row>
    <row r="41" spans="1:21" hidden="1" x14ac:dyDescent="0.5">
      <c r="A41" s="2">
        <f>MAX(Tabla_VME[Id])</f>
        <v>1377</v>
      </c>
      <c r="B41">
        <v>1413</v>
      </c>
      <c r="C41" s="5">
        <f>IF(Tabla_Activo_Fijo[[#This Row],[id_padre]]="",0,_xlfn.XLOOKUP(Tabla_Activo_Fijo[[#This Row],[id_padre]],Tabla_Activo_Fijo[Id],Tabla_Activo_Fijo[Nivel],0,0,1)+1)</f>
        <v>3</v>
      </c>
      <c r="D41" s="2" t="s">
        <v>1211</v>
      </c>
      <c r="E41">
        <f>IF(Tabla_Activo_Fijo[[#This Row],[Id_anterior]]=1,ROW()-1,SUM(ROW()-1,Tabla_Activo_Fijo[[#This Row],[Id_anterior]]))</f>
        <v>1417</v>
      </c>
      <c r="F4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ACTIVO_FIJO_INFRAESCTRUCTURA_PROCESOS_INGRESO_HISTORICO_EDIFICACIONES_CAMBIO_ROL</v>
      </c>
      <c r="G41" s="2" t="str">
        <f>CLEAN(PROPER(Tabla_Activo_Fijo[[#This Row],[Nombre Opción]]))</f>
        <v>Cambio De Rol</v>
      </c>
      <c r="H41" s="2" t="s">
        <v>1735</v>
      </c>
      <c r="I41" s="2" t="str">
        <f>_xlfn.XLOOKUP(Tabla_Activo_Fijo[[#This Row],[id_padre]],Tabla_Activo_Fijo[Id],Tabla_Activo_Fijo[Codigo_Tecnico],"",0,1)</f>
        <v>ACTIVO_FIJO_INFRAESCTRUCTURA_PROCESOS_INGRESO_HISTORICO_EDIFICACIONES</v>
      </c>
      <c r="J4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/activo-fijo-infraesctructura/procesos/ingreso-historico-edificaciones/cambio-rol</v>
      </c>
      <c r="K4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cambio-rol</v>
      </c>
      <c r="L41" s="6" t="s">
        <v>1349</v>
      </c>
      <c r="M41" s="2" t="s">
        <v>1793</v>
      </c>
      <c r="N41" s="4" t="s">
        <v>360</v>
      </c>
      <c r="O41" s="4" t="s">
        <v>360</v>
      </c>
      <c r="P41" s="4"/>
      <c r="Q41" s="4" t="s">
        <v>360</v>
      </c>
      <c r="R41" s="4" t="s">
        <v>360</v>
      </c>
      <c r="S41" s="4" t="s">
        <v>360</v>
      </c>
      <c r="T41" s="4" t="s">
        <v>360</v>
      </c>
      <c r="U41" s="2" t="str">
        <f>IF(Tabla_Activo_Fijo[[#This Row],[id_padre]]=Tabla_Activo_Fijo[[#This Row],[Id]],"NOK","OK")</f>
        <v>OK</v>
      </c>
    </row>
    <row r="42" spans="1:21" hidden="1" x14ac:dyDescent="0.5">
      <c r="A42" s="2">
        <f>MAX(Tabla_VME[Id])</f>
        <v>1377</v>
      </c>
      <c r="B42">
        <v>1380</v>
      </c>
      <c r="C42" s="5">
        <f>IF(Tabla_Activo_Fijo[[#This Row],[id_padre]]="",0,_xlfn.XLOOKUP(Tabla_Activo_Fijo[[#This Row],[id_padre]],Tabla_Activo_Fijo[Id],Tabla_Activo_Fijo[Nivel],0,0,1)+1)</f>
        <v>2</v>
      </c>
      <c r="D42" s="2" t="s">
        <v>1648</v>
      </c>
      <c r="E42">
        <f>IF(Tabla_Activo_Fijo[[#This Row],[Id_anterior]]=1,ROW()-1,SUM(ROW()-1,Tabla_Activo_Fijo[[#This Row],[Id_anterior]]))</f>
        <v>1418</v>
      </c>
      <c r="F4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</v>
      </c>
      <c r="G42" s="2" t="str">
        <f>CLEAN(PROPER(Tabla_Activo_Fijo[[#This Row],[Nombre Opción]]))</f>
        <v>Activo Fijo Terrenos</v>
      </c>
      <c r="H42" s="2" t="s">
        <v>1735</v>
      </c>
      <c r="I42" s="2" t="str">
        <f>_xlfn.XLOOKUP(Tabla_Activo_Fijo[[#This Row],[id_padre]],Tabla_Activo_Fijo[Id],Tabla_Activo_Fijo[Codigo_Tecnico],"",0,1)</f>
        <v>ACTIVO_FIJO_INFRAESCTRUCTURA_PROCESOS</v>
      </c>
      <c r="J4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</v>
      </c>
      <c r="K4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activo-fijo-terrenos</v>
      </c>
      <c r="L42" s="6" t="s">
        <v>1653</v>
      </c>
      <c r="M42" s="2" t="s">
        <v>1793</v>
      </c>
      <c r="N42" s="4" t="s">
        <v>360</v>
      </c>
      <c r="O42" s="4" t="s">
        <v>360</v>
      </c>
      <c r="P42" s="4"/>
      <c r="Q42" s="4" t="s">
        <v>360</v>
      </c>
      <c r="R42" s="4" t="s">
        <v>360</v>
      </c>
      <c r="S42" s="4" t="s">
        <v>360</v>
      </c>
      <c r="T42" s="4" t="s">
        <v>360</v>
      </c>
      <c r="U42" s="2" t="str">
        <f>IF(Tabla_Activo_Fijo[[#This Row],[id_padre]]=Tabla_Activo_Fijo[[#This Row],[Id]],"NOK","OK")</f>
        <v>OK</v>
      </c>
    </row>
    <row r="43" spans="1:21" hidden="1" x14ac:dyDescent="0.5">
      <c r="A43" s="2">
        <f>MAX(Tabla_VME[Id])</f>
        <v>1377</v>
      </c>
      <c r="B43">
        <v>1418</v>
      </c>
      <c r="C43" s="5">
        <f>IF(Tabla_Activo_Fijo[[#This Row],[id_padre]]="",0,_xlfn.XLOOKUP(Tabla_Activo_Fijo[[#This Row],[id_padre]],Tabla_Activo_Fijo[Id],Tabla_Activo_Fijo[Nivel],0,0,1)+1)</f>
        <v>3</v>
      </c>
      <c r="D43" s="2" t="s">
        <v>1212</v>
      </c>
      <c r="E43">
        <f>IF(Tabla_Activo_Fijo[[#This Row],[Id_anterior]]=1,ROW()-1,SUM(ROW()-1,Tabla_Activo_Fijo[[#This Row],[Id_anterior]]))</f>
        <v>1419</v>
      </c>
      <c r="F4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ACTIVO_FIJO_INFRAESCTRUCTURA_PROCESOS_ACTIVO_FIJO_TERRENOS_ALTA</v>
      </c>
      <c r="G43" s="2" t="str">
        <f>CLEAN(PROPER(Tabla_Activo_Fijo[[#This Row],[Nombre Opción]]))</f>
        <v>Alta</v>
      </c>
      <c r="H43" s="2" t="s">
        <v>1735</v>
      </c>
      <c r="I43" s="2" t="str">
        <f>_xlfn.XLOOKUP(Tabla_Activo_Fijo[[#This Row],[id_padre]],Tabla_Activo_Fijo[Id],Tabla_Activo_Fijo[Codigo_Tecnico],"",0,1)</f>
        <v>ACTIVO_FIJO_INFRAESCTRUCTURA_PROCESOS_ACTIVO_FIJO_TERRENOS</v>
      </c>
      <c r="J4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/activo-fijo-infraesctructura/procesos/activo-fijo-terrenos/alta</v>
      </c>
      <c r="K4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alta</v>
      </c>
      <c r="L43" s="6" t="s">
        <v>1659</v>
      </c>
      <c r="M43" s="2" t="s">
        <v>1793</v>
      </c>
      <c r="N43" s="4" t="s">
        <v>360</v>
      </c>
      <c r="O43" s="4" t="s">
        <v>360</v>
      </c>
      <c r="P43" s="4"/>
      <c r="Q43" s="4" t="s">
        <v>360</v>
      </c>
      <c r="R43" s="4" t="s">
        <v>360</v>
      </c>
      <c r="S43" s="4" t="s">
        <v>360</v>
      </c>
      <c r="T43" s="4" t="s">
        <v>360</v>
      </c>
      <c r="U43" s="2" t="str">
        <f>IF(Tabla_Activo_Fijo[[#This Row],[id_padre]]=Tabla_Activo_Fijo[[#This Row],[Id]],"NOK","OK")</f>
        <v>OK</v>
      </c>
    </row>
    <row r="44" spans="1:21" hidden="1" x14ac:dyDescent="0.5">
      <c r="A44" s="2">
        <f>MAX(Tabla_VME[Id])</f>
        <v>1377</v>
      </c>
      <c r="B44">
        <v>1418</v>
      </c>
      <c r="C44" s="5">
        <f>IF(Tabla_Activo_Fijo[[#This Row],[id_padre]]="",0,_xlfn.XLOOKUP(Tabla_Activo_Fijo[[#This Row],[id_padre]],Tabla_Activo_Fijo[Id],Tabla_Activo_Fijo[Nivel],0,0,1)+1)</f>
        <v>3</v>
      </c>
      <c r="D44" s="2" t="s">
        <v>1213</v>
      </c>
      <c r="E44">
        <f>IF(Tabla_Activo_Fijo[[#This Row],[Id_anterior]]=1,ROW()-1,SUM(ROW()-1,Tabla_Activo_Fijo[[#This Row],[Id_anterior]]))</f>
        <v>1420</v>
      </c>
      <c r="F4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ACTIVO_FIJO_INFRAESCTRUCTURA_PROCESOS_ACTIVO_FIJO_TERRENOS_INCORPORACION</v>
      </c>
      <c r="G44" s="2" t="str">
        <f>CLEAN(PROPER(Tabla_Activo_Fijo[[#This Row],[Nombre Opción]]))</f>
        <v>Incorporacion</v>
      </c>
      <c r="H44" s="2" t="s">
        <v>1735</v>
      </c>
      <c r="I44" s="2" t="str">
        <f>_xlfn.XLOOKUP(Tabla_Activo_Fijo[[#This Row],[id_padre]],Tabla_Activo_Fijo[Id],Tabla_Activo_Fijo[Codigo_Tecnico],"",0,1)</f>
        <v>ACTIVO_FIJO_INFRAESCTRUCTURA_PROCESOS_ACTIVO_FIJO_TERRENOS</v>
      </c>
      <c r="J4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/activo-fijo-infraesctructura/procesos/activo-fijo-terrenos/incorporacion</v>
      </c>
      <c r="K4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incorporacion</v>
      </c>
      <c r="L44" s="6" t="s">
        <v>1566</v>
      </c>
      <c r="M44" s="2" t="s">
        <v>1793</v>
      </c>
      <c r="N44" s="4" t="s">
        <v>360</v>
      </c>
      <c r="O44" s="4" t="s">
        <v>360</v>
      </c>
      <c r="P44" s="4"/>
      <c r="Q44" s="4" t="s">
        <v>360</v>
      </c>
      <c r="R44" s="4" t="s">
        <v>360</v>
      </c>
      <c r="S44" s="4" t="s">
        <v>360</v>
      </c>
      <c r="T44" s="4" t="s">
        <v>360</v>
      </c>
      <c r="U44" s="2" t="str">
        <f>IF(Tabla_Activo_Fijo[[#This Row],[id_padre]]=Tabla_Activo_Fijo[[#This Row],[Id]],"NOK","OK")</f>
        <v>OK</v>
      </c>
    </row>
    <row r="45" spans="1:21" hidden="1" x14ac:dyDescent="0.5">
      <c r="A45" s="2">
        <f>MAX(Tabla_VME[Id])</f>
        <v>1377</v>
      </c>
      <c r="B45">
        <v>1418</v>
      </c>
      <c r="C45" s="5">
        <f>IF(Tabla_Activo_Fijo[[#This Row],[id_padre]]="",0,_xlfn.XLOOKUP(Tabla_Activo_Fijo[[#This Row],[id_padre]],Tabla_Activo_Fijo[Id],Tabla_Activo_Fijo[Nivel],0,0,1)+1)</f>
        <v>3</v>
      </c>
      <c r="D45" s="2" t="s">
        <v>1209</v>
      </c>
      <c r="E45">
        <f>IF(Tabla_Activo_Fijo[[#This Row],[Id_anterior]]=1,ROW()-1,SUM(ROW()-1,Tabla_Activo_Fijo[[#This Row],[Id_anterior]]))</f>
        <v>1421</v>
      </c>
      <c r="F4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ACTIVO_FIJO_INFRAESCTRUCTURA_PROCESOS_ACTIVO_FIJO_TERRENOS_LEGALIZACION</v>
      </c>
      <c r="G45" s="2" t="str">
        <f>CLEAN(PROPER(Tabla_Activo_Fijo[[#This Row],[Nombre Opción]]))</f>
        <v>Legalizacion</v>
      </c>
      <c r="H45" s="2" t="s">
        <v>1735</v>
      </c>
      <c r="I45" s="2" t="str">
        <f>_xlfn.XLOOKUP(Tabla_Activo_Fijo[[#This Row],[id_padre]],Tabla_Activo_Fijo[Id],Tabla_Activo_Fijo[Codigo_Tecnico],"",0,1)</f>
        <v>ACTIVO_FIJO_INFRAESCTRUCTURA_PROCESOS_ACTIVO_FIJO_TERRENOS</v>
      </c>
      <c r="J4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/activo-fijo-infraesctructura/procesos/activo-fijo-terrenos/legalizacion</v>
      </c>
      <c r="K4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legalizacion</v>
      </c>
      <c r="L45" s="6" t="s">
        <v>1457</v>
      </c>
      <c r="M45" s="2" t="s">
        <v>1793</v>
      </c>
      <c r="N45" s="4" t="s">
        <v>360</v>
      </c>
      <c r="O45" s="4" t="s">
        <v>360</v>
      </c>
      <c r="P45" s="4"/>
      <c r="Q45" s="4" t="s">
        <v>360</v>
      </c>
      <c r="R45" s="4" t="s">
        <v>360</v>
      </c>
      <c r="S45" s="4" t="s">
        <v>360</v>
      </c>
      <c r="T45" s="4" t="s">
        <v>360</v>
      </c>
      <c r="U45" s="2" t="str">
        <f>IF(Tabla_Activo_Fijo[[#This Row],[id_padre]]=Tabla_Activo_Fijo[[#This Row],[Id]],"NOK","OK")</f>
        <v>OK</v>
      </c>
    </row>
    <row r="46" spans="1:21" hidden="1" x14ac:dyDescent="0.5">
      <c r="A46" s="2">
        <f>MAX(Tabla_VME[Id])</f>
        <v>1377</v>
      </c>
      <c r="B46">
        <v>1418</v>
      </c>
      <c r="C46" s="5">
        <f>IF(Tabla_Activo_Fijo[[#This Row],[id_padre]]="",0,_xlfn.XLOOKUP(Tabla_Activo_Fijo[[#This Row],[id_padre]],Tabla_Activo_Fijo[Id],Tabla_Activo_Fijo[Nivel],0,0,1)+1)</f>
        <v>3</v>
      </c>
      <c r="D46" s="2" t="s">
        <v>1214</v>
      </c>
      <c r="E46">
        <f>IF(Tabla_Activo_Fijo[[#This Row],[Id_anterior]]=1,ROW()-1,SUM(ROW()-1,Tabla_Activo_Fijo[[#This Row],[Id_anterior]]))</f>
        <v>1422</v>
      </c>
      <c r="F4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ACTIVO_FIJO_INFRAESCTRUCTURA_PROCESOS_ACTIVO_FIJO_TERRENOS_INDICADORES</v>
      </c>
      <c r="G46" s="2" t="str">
        <f>CLEAN(PROPER(Tabla_Activo_Fijo[[#This Row],[Nombre Opción]]))</f>
        <v>Indicadores</v>
      </c>
      <c r="H46" s="2" t="s">
        <v>1735</v>
      </c>
      <c r="I46" s="2" t="str">
        <f>_xlfn.XLOOKUP(Tabla_Activo_Fijo[[#This Row],[id_padre]],Tabla_Activo_Fijo[Id],Tabla_Activo_Fijo[Codigo_Tecnico],"",0,1)</f>
        <v>ACTIVO_FIJO_INFRAESCTRUCTURA_PROCESOS_ACTIVO_FIJO_TERRENOS</v>
      </c>
      <c r="J4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/activo-fijo-infraesctructura/procesos/activo-fijo-terrenos/indicadores</v>
      </c>
      <c r="K4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indicadores</v>
      </c>
      <c r="L46" s="6" t="s">
        <v>1421</v>
      </c>
      <c r="M46" s="2" t="s">
        <v>1793</v>
      </c>
      <c r="N46" s="4" t="s">
        <v>360</v>
      </c>
      <c r="O46" s="4" t="s">
        <v>360</v>
      </c>
      <c r="P46" s="4"/>
      <c r="Q46" s="4" t="s">
        <v>360</v>
      </c>
      <c r="R46" s="4" t="s">
        <v>360</v>
      </c>
      <c r="S46" s="4" t="s">
        <v>360</v>
      </c>
      <c r="T46" s="4" t="s">
        <v>360</v>
      </c>
      <c r="U46" s="2" t="str">
        <f>IF(Tabla_Activo_Fijo[[#This Row],[id_padre]]=Tabla_Activo_Fijo[[#This Row],[Id]],"NOK","OK")</f>
        <v>OK</v>
      </c>
    </row>
    <row r="47" spans="1:21" hidden="1" x14ac:dyDescent="0.5">
      <c r="A47" s="2">
        <f>MAX(Tabla_VME[Id])</f>
        <v>1377</v>
      </c>
      <c r="B47">
        <v>1418</v>
      </c>
      <c r="C47" s="5">
        <f>IF(Tabla_Activo_Fijo[[#This Row],[id_padre]]="",0,_xlfn.XLOOKUP(Tabla_Activo_Fijo[[#This Row],[id_padre]],Tabla_Activo_Fijo[Id],Tabla_Activo_Fijo[Nivel],0,0,1)+1)</f>
        <v>3</v>
      </c>
      <c r="D47" s="2" t="s">
        <v>1210</v>
      </c>
      <c r="E47">
        <f>IF(Tabla_Activo_Fijo[[#This Row],[Id_anterior]]=1,ROW()-1,SUM(ROW()-1,Tabla_Activo_Fijo[[#This Row],[Id_anterior]]))</f>
        <v>1423</v>
      </c>
      <c r="F4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ACTIVO_FIJO_INFRAESCTRUCTURA_PROCESOS_ACTIVO_FIJO_TERRENOS_ACTUALIZACION</v>
      </c>
      <c r="G47" s="2" t="str">
        <f>CLEAN(PROPER(Tabla_Activo_Fijo[[#This Row],[Nombre Opción]]))</f>
        <v>Actualizacion</v>
      </c>
      <c r="H47" s="2" t="s">
        <v>1735</v>
      </c>
      <c r="I47" s="2" t="str">
        <f>_xlfn.XLOOKUP(Tabla_Activo_Fijo[[#This Row],[id_padre]],Tabla_Activo_Fijo[Id],Tabla_Activo_Fijo[Codigo_Tecnico],"",0,1)</f>
        <v>ACTIVO_FIJO_INFRAESCTRUCTURA_PROCESOS_ACTIVO_FIJO_TERRENOS</v>
      </c>
      <c r="J4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/activo-fijo-infraesctructura/procesos/activo-fijo-terrenos/actualizacion</v>
      </c>
      <c r="K4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</v>
      </c>
      <c r="L47" s="6" t="s">
        <v>1420</v>
      </c>
      <c r="M47" s="2" t="s">
        <v>1793</v>
      </c>
      <c r="N47" s="4" t="s">
        <v>360</v>
      </c>
      <c r="O47" s="4" t="s">
        <v>360</v>
      </c>
      <c r="P47" s="4"/>
      <c r="Q47" s="4" t="s">
        <v>360</v>
      </c>
      <c r="R47" s="4" t="s">
        <v>360</v>
      </c>
      <c r="S47" s="4" t="s">
        <v>360</v>
      </c>
      <c r="T47" s="4" t="s">
        <v>360</v>
      </c>
      <c r="U47" s="2" t="str">
        <f>IF(Tabla_Activo_Fijo[[#This Row],[id_padre]]=Tabla_Activo_Fijo[[#This Row],[Id]],"NOK","OK")</f>
        <v>OK</v>
      </c>
    </row>
    <row r="48" spans="1:21" hidden="1" x14ac:dyDescent="0.5">
      <c r="A48" s="2">
        <f>MAX(Tabla_VME[Id])</f>
        <v>1377</v>
      </c>
      <c r="B48">
        <v>1418</v>
      </c>
      <c r="C48" s="5">
        <f>IF(Tabla_Activo_Fijo[[#This Row],[id_padre]]="",0,_xlfn.XLOOKUP(Tabla_Activo_Fijo[[#This Row],[id_padre]],Tabla_Activo_Fijo[Id],Tabla_Activo_Fijo[Nivel],0,0,1)+1)</f>
        <v>3</v>
      </c>
      <c r="D48" s="2" t="s">
        <v>1215</v>
      </c>
      <c r="E48">
        <f>IF(Tabla_Activo_Fijo[[#This Row],[Id_anterior]]=1,ROW()-1,SUM(ROW()-1,Tabla_Activo_Fijo[[#This Row],[Id_anterior]]))</f>
        <v>1424</v>
      </c>
      <c r="F4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ACTIVO_FIJO_INFRAESCTRUCTURA_PROCESOS_ACTIVO_FIJO_TERRENOS_ANULA_ACTUALIZACION</v>
      </c>
      <c r="G48" s="2" t="str">
        <f>CLEAN(PROPER(Tabla_Activo_Fijo[[#This Row],[Nombre Opción]]))</f>
        <v>Anula Actualizacion</v>
      </c>
      <c r="H48" s="2" t="s">
        <v>1735</v>
      </c>
      <c r="I48" s="2" t="str">
        <f>_xlfn.XLOOKUP(Tabla_Activo_Fijo[[#This Row],[id_padre]],Tabla_Activo_Fijo[Id],Tabla_Activo_Fijo[Codigo_Tecnico],"",0,1)</f>
        <v>ACTIVO_FIJO_INFRAESCTRUCTURA_PROCESOS_ACTIVO_FIJO_TERRENOS</v>
      </c>
      <c r="J4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/activo-fijo-infraesctructura/procesos/activo-fijo-terrenos/anula-actualizacion</v>
      </c>
      <c r="K4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anula-actualizacion</v>
      </c>
      <c r="L48" s="6" t="s">
        <v>1390</v>
      </c>
      <c r="M48" s="2" t="s">
        <v>1793</v>
      </c>
      <c r="N48" s="4" t="s">
        <v>360</v>
      </c>
      <c r="O48" s="4"/>
      <c r="P48" s="4"/>
      <c r="Q48" s="4" t="s">
        <v>360</v>
      </c>
      <c r="S48" s="4" t="s">
        <v>360</v>
      </c>
      <c r="T48" s="4" t="s">
        <v>360</v>
      </c>
      <c r="U48" s="2" t="str">
        <f>IF(Tabla_Activo_Fijo[[#This Row],[id_padre]]=Tabla_Activo_Fijo[[#This Row],[Id]],"NOK","OK")</f>
        <v>OK</v>
      </c>
    </row>
    <row r="49" spans="1:21" hidden="1" x14ac:dyDescent="0.5">
      <c r="A49" s="2">
        <f>MAX(Tabla_VME[Id])</f>
        <v>1377</v>
      </c>
      <c r="B49">
        <v>1418</v>
      </c>
      <c r="C49" s="5">
        <f>IF(Tabla_Activo_Fijo[[#This Row],[id_padre]]="",0,_xlfn.XLOOKUP(Tabla_Activo_Fijo[[#This Row],[id_padre]],Tabla_Activo_Fijo[Id],Tabla_Activo_Fijo[Nivel],0,0,1)+1)</f>
        <v>3</v>
      </c>
      <c r="D49" s="2" t="s">
        <v>1216</v>
      </c>
      <c r="E49">
        <f>IF(Tabla_Activo_Fijo[[#This Row],[Id_anterior]]=1,ROW()-1,SUM(ROW()-1,Tabla_Activo_Fijo[[#This Row],[Id_anterior]]))</f>
        <v>1425</v>
      </c>
      <c r="F4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ACTIVO_FIJO_INFRAESCTRUCTURA_PROCESOS_ACTIVO_FIJO_TERRENOS_BAJA</v>
      </c>
      <c r="G49" s="2" t="str">
        <f>CLEAN(PROPER(Tabla_Activo_Fijo[[#This Row],[Nombre Opción]]))</f>
        <v>Baja</v>
      </c>
      <c r="H49" s="2" t="s">
        <v>1735</v>
      </c>
      <c r="I49" s="2" t="str">
        <f>_xlfn.XLOOKUP(Tabla_Activo_Fijo[[#This Row],[id_padre]],Tabla_Activo_Fijo[Id],Tabla_Activo_Fijo[Codigo_Tecnico],"",0,1)</f>
        <v>ACTIVO_FIJO_INFRAESCTRUCTURA_PROCESOS_ACTIVO_FIJO_TERRENOS</v>
      </c>
      <c r="J4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/activo-fijo-infraesctructura/procesos/activo-fijo-terrenos/baja</v>
      </c>
      <c r="K4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baja</v>
      </c>
      <c r="L49" s="6" t="s">
        <v>1660</v>
      </c>
      <c r="M49" s="2" t="s">
        <v>1793</v>
      </c>
      <c r="N49" s="4" t="s">
        <v>360</v>
      </c>
      <c r="O49" s="4"/>
      <c r="P49" s="4"/>
      <c r="Q49" s="4" t="s">
        <v>360</v>
      </c>
      <c r="S49" s="4" t="s">
        <v>360</v>
      </c>
      <c r="T49" s="4" t="s">
        <v>360</v>
      </c>
      <c r="U49" s="2" t="str">
        <f>IF(Tabla_Activo_Fijo[[#This Row],[id_padre]]=Tabla_Activo_Fijo[[#This Row],[Id]],"NOK","OK")</f>
        <v>OK</v>
      </c>
    </row>
    <row r="50" spans="1:21" hidden="1" x14ac:dyDescent="0.5">
      <c r="A50" s="2">
        <f>MAX(Tabla_VME[Id])</f>
        <v>1377</v>
      </c>
      <c r="B50">
        <v>1418</v>
      </c>
      <c r="C50" s="5">
        <f>IF(Tabla_Activo_Fijo[[#This Row],[id_padre]]="",0,_xlfn.XLOOKUP(Tabla_Activo_Fijo[[#This Row],[id_padre]],Tabla_Activo_Fijo[Id],Tabla_Activo_Fijo[Nivel],0,0,1)+1)</f>
        <v>3</v>
      </c>
      <c r="D50" s="2" t="s">
        <v>1211</v>
      </c>
      <c r="E50">
        <f>IF(Tabla_Activo_Fijo[[#This Row],[Id_anterior]]=1,ROW()-1,SUM(ROW()-1,Tabla_Activo_Fijo[[#This Row],[Id_anterior]]))</f>
        <v>1426</v>
      </c>
      <c r="F5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ACTIVO_FIJO_INFRAESCTRUCTURA_PROCESOS_ACTIVO_FIJO_TERRENOS_CAMBIO_ROL</v>
      </c>
      <c r="G50" s="2" t="str">
        <f>CLEAN(PROPER(Tabla_Activo_Fijo[[#This Row],[Nombre Opción]]))</f>
        <v>Cambio De Rol</v>
      </c>
      <c r="H50" s="2" t="s">
        <v>1735</v>
      </c>
      <c r="I50" s="2" t="str">
        <f>_xlfn.XLOOKUP(Tabla_Activo_Fijo[[#This Row],[id_padre]],Tabla_Activo_Fijo[Id],Tabla_Activo_Fijo[Codigo_Tecnico],"",0,1)</f>
        <v>ACTIVO_FIJO_INFRAESCTRUCTURA_PROCESOS_ACTIVO_FIJO_TERRENOS</v>
      </c>
      <c r="J5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/activo-fijo-infraesctructura/procesos/activo-fijo-terrenos/cambio-rol</v>
      </c>
      <c r="K5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cambio-rol</v>
      </c>
      <c r="L50" s="6" t="s">
        <v>1349</v>
      </c>
      <c r="M50" s="2" t="s">
        <v>1793</v>
      </c>
      <c r="N50" s="4" t="s">
        <v>360</v>
      </c>
      <c r="O50" s="4" t="s">
        <v>360</v>
      </c>
      <c r="P50" s="4"/>
      <c r="Q50" s="4" t="s">
        <v>360</v>
      </c>
      <c r="R50" s="4" t="s">
        <v>360</v>
      </c>
      <c r="S50" s="4" t="s">
        <v>360</v>
      </c>
      <c r="T50" s="4" t="s">
        <v>360</v>
      </c>
      <c r="U50" s="2" t="str">
        <f>IF(Tabla_Activo_Fijo[[#This Row],[id_padre]]=Tabla_Activo_Fijo[[#This Row],[Id]],"NOK","OK")</f>
        <v>OK</v>
      </c>
    </row>
    <row r="51" spans="1:21" hidden="1" x14ac:dyDescent="0.5">
      <c r="A51" s="2">
        <f>MAX(Tabla_VME[Id])</f>
        <v>1377</v>
      </c>
      <c r="B51">
        <v>1380</v>
      </c>
      <c r="C51" s="5">
        <f>IF(Tabla_Activo_Fijo[[#This Row],[id_padre]]="",0,_xlfn.XLOOKUP(Tabla_Activo_Fijo[[#This Row],[id_padre]],Tabla_Activo_Fijo[Id],Tabla_Activo_Fijo[Nivel],0,0,1)+1)</f>
        <v>2</v>
      </c>
      <c r="D51" s="2" t="s">
        <v>1649</v>
      </c>
      <c r="E51">
        <f>IF(Tabla_Activo_Fijo[[#This Row],[Id_anterior]]=1,ROW()-1,SUM(ROW()-1,Tabla_Activo_Fijo[[#This Row],[Id_anterior]]))</f>
        <v>1427</v>
      </c>
      <c r="F5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</v>
      </c>
      <c r="G51" s="2" t="str">
        <f>CLEAN(PROPER(Tabla_Activo_Fijo[[#This Row],[Nombre Opción]]))</f>
        <v>Activo Fijo Edificaciones</v>
      </c>
      <c r="H51" s="2" t="s">
        <v>1735</v>
      </c>
      <c r="I51" s="2" t="str">
        <f>_xlfn.XLOOKUP(Tabla_Activo_Fijo[[#This Row],[id_padre]],Tabla_Activo_Fijo[Id],Tabla_Activo_Fijo[Codigo_Tecnico],"",0,1)</f>
        <v>ACTIVO_FIJO_INFRAESCTRUCTURA_PROCESOS</v>
      </c>
      <c r="J5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</v>
      </c>
      <c r="K5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activo-fijo-edificaciones</v>
      </c>
      <c r="L51" s="6" t="s">
        <v>1341</v>
      </c>
      <c r="M51" s="2" t="s">
        <v>1793</v>
      </c>
      <c r="N51" s="4" t="s">
        <v>360</v>
      </c>
      <c r="O51" s="4" t="s">
        <v>360</v>
      </c>
      <c r="P51" s="4"/>
      <c r="Q51" s="4" t="s">
        <v>360</v>
      </c>
      <c r="R51" s="4" t="s">
        <v>360</v>
      </c>
      <c r="S51" s="4" t="s">
        <v>360</v>
      </c>
      <c r="T51" s="4" t="s">
        <v>360</v>
      </c>
      <c r="U51" s="2" t="str">
        <f>IF(Tabla_Activo_Fijo[[#This Row],[id_padre]]=Tabla_Activo_Fijo[[#This Row],[Id]],"NOK","OK")</f>
        <v>OK</v>
      </c>
    </row>
    <row r="52" spans="1:21" hidden="1" x14ac:dyDescent="0.5">
      <c r="A52" s="2">
        <f>MAX(Tabla_VME[Id])</f>
        <v>1377</v>
      </c>
      <c r="B52">
        <v>1427</v>
      </c>
      <c r="C52" s="5">
        <f>IF(Tabla_Activo_Fijo[[#This Row],[id_padre]]="",0,_xlfn.XLOOKUP(Tabla_Activo_Fijo[[#This Row],[id_padre]],Tabla_Activo_Fijo[Id],Tabla_Activo_Fijo[Nivel],0,0,1)+1)</f>
        <v>3</v>
      </c>
      <c r="D52" s="2" t="s">
        <v>1212</v>
      </c>
      <c r="E52">
        <f>IF(Tabla_Activo_Fijo[[#This Row],[Id_anterior]]=1,ROW()-1,SUM(ROW()-1,Tabla_Activo_Fijo[[#This Row],[Id_anterior]]))</f>
        <v>1428</v>
      </c>
      <c r="F5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ACTIVO_FIJO_INFRAESCTRUCTURA_PROCESOS_ACTIVO_FIJO_EDIFICACIONES_ALTA</v>
      </c>
      <c r="G52" s="2" t="str">
        <f>CLEAN(PROPER(Tabla_Activo_Fijo[[#This Row],[Nombre Opción]]))</f>
        <v>Alta</v>
      </c>
      <c r="H52" s="2" t="s">
        <v>1735</v>
      </c>
      <c r="I52" s="2" t="str">
        <f>_xlfn.XLOOKUP(Tabla_Activo_Fijo[[#This Row],[id_padre]],Tabla_Activo_Fijo[Id],Tabla_Activo_Fijo[Codigo_Tecnico],"",0,1)</f>
        <v>ACTIVO_FIJO_INFRAESCTRUCTURA_PROCESOS_ACTIVO_FIJO_EDIFICACIONES</v>
      </c>
      <c r="J5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/activo-fijo-infraesctructura/procesos/activo-fijo-edificaciones/alta</v>
      </c>
      <c r="K5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alta</v>
      </c>
      <c r="L52" s="6" t="s">
        <v>1480</v>
      </c>
      <c r="M52" s="2" t="s">
        <v>1793</v>
      </c>
      <c r="N52" s="4" t="s">
        <v>360</v>
      </c>
      <c r="O52" s="4" t="s">
        <v>360</v>
      </c>
      <c r="P52" s="4"/>
      <c r="Q52" s="4" t="s">
        <v>360</v>
      </c>
      <c r="R52" s="4" t="s">
        <v>360</v>
      </c>
      <c r="S52" s="4" t="s">
        <v>360</v>
      </c>
      <c r="T52" s="4" t="s">
        <v>360</v>
      </c>
      <c r="U52" s="2" t="str">
        <f>IF(Tabla_Activo_Fijo[[#This Row],[id_padre]]=Tabla_Activo_Fijo[[#This Row],[Id]],"NOK","OK")</f>
        <v>OK</v>
      </c>
    </row>
    <row r="53" spans="1:21" hidden="1" x14ac:dyDescent="0.5">
      <c r="A53" s="2">
        <f>MAX(Tabla_VME[Id])</f>
        <v>1377</v>
      </c>
      <c r="B53">
        <v>1427</v>
      </c>
      <c r="C53" s="5">
        <f>IF(Tabla_Activo_Fijo[[#This Row],[id_padre]]="",0,_xlfn.XLOOKUP(Tabla_Activo_Fijo[[#This Row],[id_padre]],Tabla_Activo_Fijo[Id],Tabla_Activo_Fijo[Nivel],0,0,1)+1)</f>
        <v>3</v>
      </c>
      <c r="D53" s="2" t="s">
        <v>1213</v>
      </c>
      <c r="E53">
        <f>IF(Tabla_Activo_Fijo[[#This Row],[Id_anterior]]=1,ROW()-1,SUM(ROW()-1,Tabla_Activo_Fijo[[#This Row],[Id_anterior]]))</f>
        <v>1429</v>
      </c>
      <c r="F5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ACTIVO_FIJO_INFRAESCTRUCTURA_PROCESOS_ACTIVO_FIJO_EDIFICACIONES_INCORPORACION</v>
      </c>
      <c r="G53" s="2" t="str">
        <f>CLEAN(PROPER(Tabla_Activo_Fijo[[#This Row],[Nombre Opción]]))</f>
        <v>Incorporacion</v>
      </c>
      <c r="H53" s="2" t="s">
        <v>1735</v>
      </c>
      <c r="I53" s="2" t="str">
        <f>_xlfn.XLOOKUP(Tabla_Activo_Fijo[[#This Row],[id_padre]],Tabla_Activo_Fijo[Id],Tabla_Activo_Fijo[Codigo_Tecnico],"",0,1)</f>
        <v>ACTIVO_FIJO_INFRAESCTRUCTURA_PROCESOS_ACTIVO_FIJO_EDIFICACIONES</v>
      </c>
      <c r="J5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/activo-fijo-infraesctructura/procesos/activo-fijo-edificaciones/incorporacion</v>
      </c>
      <c r="K5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incorporacion</v>
      </c>
      <c r="L53" s="6" t="s">
        <v>1566</v>
      </c>
      <c r="M53" s="2" t="s">
        <v>1793</v>
      </c>
      <c r="N53" s="4" t="s">
        <v>360</v>
      </c>
      <c r="O53" s="4" t="s">
        <v>360</v>
      </c>
      <c r="P53" s="4"/>
      <c r="Q53" s="4" t="s">
        <v>360</v>
      </c>
      <c r="R53" s="4" t="s">
        <v>360</v>
      </c>
      <c r="S53" s="4" t="s">
        <v>360</v>
      </c>
      <c r="T53" s="4" t="s">
        <v>360</v>
      </c>
      <c r="U53" s="2" t="str">
        <f>IF(Tabla_Activo_Fijo[[#This Row],[id_padre]]=Tabla_Activo_Fijo[[#This Row],[Id]],"NOK","OK")</f>
        <v>OK</v>
      </c>
    </row>
    <row r="54" spans="1:21" hidden="1" x14ac:dyDescent="0.5">
      <c r="A54" s="2">
        <f>MAX(Tabla_VME[Id])</f>
        <v>1377</v>
      </c>
      <c r="B54">
        <v>1427</v>
      </c>
      <c r="C54" s="5">
        <f>IF(Tabla_Activo_Fijo[[#This Row],[id_padre]]="",0,_xlfn.XLOOKUP(Tabla_Activo_Fijo[[#This Row],[id_padre]],Tabla_Activo_Fijo[Id],Tabla_Activo_Fijo[Nivel],0,0,1)+1)</f>
        <v>3</v>
      </c>
      <c r="D54" s="2" t="s">
        <v>1209</v>
      </c>
      <c r="E54">
        <f>IF(Tabla_Activo_Fijo[[#This Row],[Id_anterior]]=1,ROW()-1,SUM(ROW()-1,Tabla_Activo_Fijo[[#This Row],[Id_anterior]]))</f>
        <v>1430</v>
      </c>
      <c r="F5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ACTIVO_FIJO_INFRAESCTRUCTURA_PROCESOS_ACTIVO_FIJO_EDIFICACIONES_LEGALIZACION</v>
      </c>
      <c r="G54" s="2" t="str">
        <f>CLEAN(PROPER(Tabla_Activo_Fijo[[#This Row],[Nombre Opción]]))</f>
        <v>Legalizacion</v>
      </c>
      <c r="H54" s="2" t="s">
        <v>1735</v>
      </c>
      <c r="I54" s="2" t="str">
        <f>_xlfn.XLOOKUP(Tabla_Activo_Fijo[[#This Row],[id_padre]],Tabla_Activo_Fijo[Id],Tabla_Activo_Fijo[Codigo_Tecnico],"",0,1)</f>
        <v>ACTIVO_FIJO_INFRAESCTRUCTURA_PROCESOS_ACTIVO_FIJO_EDIFICACIONES</v>
      </c>
      <c r="J5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/activo-fijo-infraesctructura/procesos/activo-fijo-edificaciones/legalizacion</v>
      </c>
      <c r="K5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legalizacion</v>
      </c>
      <c r="L54" s="6" t="s">
        <v>1457</v>
      </c>
      <c r="M54" s="2" t="s">
        <v>1793</v>
      </c>
      <c r="N54" s="4" t="s">
        <v>360</v>
      </c>
      <c r="O54" s="4" t="s">
        <v>360</v>
      </c>
      <c r="P54" s="4"/>
      <c r="Q54" s="4" t="s">
        <v>360</v>
      </c>
      <c r="R54" s="4" t="s">
        <v>360</v>
      </c>
      <c r="S54" s="4" t="s">
        <v>360</v>
      </c>
      <c r="T54" s="4" t="s">
        <v>360</v>
      </c>
      <c r="U54" s="2" t="str">
        <f>IF(Tabla_Activo_Fijo[[#This Row],[id_padre]]=Tabla_Activo_Fijo[[#This Row],[Id]],"NOK","OK")</f>
        <v>OK</v>
      </c>
    </row>
    <row r="55" spans="1:21" hidden="1" x14ac:dyDescent="0.5">
      <c r="A55" s="2">
        <f>MAX(Tabla_VME[Id])</f>
        <v>1377</v>
      </c>
      <c r="B55">
        <v>1427</v>
      </c>
      <c r="C55" s="5">
        <f>IF(Tabla_Activo_Fijo[[#This Row],[id_padre]]="",0,_xlfn.XLOOKUP(Tabla_Activo_Fijo[[#This Row],[id_padre]],Tabla_Activo_Fijo[Id],Tabla_Activo_Fijo[Nivel],0,0,1)+1)</f>
        <v>3</v>
      </c>
      <c r="D55" s="2" t="s">
        <v>1214</v>
      </c>
      <c r="E55">
        <f>IF(Tabla_Activo_Fijo[[#This Row],[Id_anterior]]=1,ROW()-1,SUM(ROW()-1,Tabla_Activo_Fijo[[#This Row],[Id_anterior]]))</f>
        <v>1431</v>
      </c>
      <c r="F5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ACTIVO_FIJO_INFRAESCTRUCTURA_PROCESOS_ACTIVO_FIJO_EDIFICACIONES_INDICADORES</v>
      </c>
      <c r="G55" s="2" t="str">
        <f>CLEAN(PROPER(Tabla_Activo_Fijo[[#This Row],[Nombre Opción]]))</f>
        <v>Indicadores</v>
      </c>
      <c r="H55" s="2" t="s">
        <v>1735</v>
      </c>
      <c r="I55" s="2" t="str">
        <f>_xlfn.XLOOKUP(Tabla_Activo_Fijo[[#This Row],[id_padre]],Tabla_Activo_Fijo[Id],Tabla_Activo_Fijo[Codigo_Tecnico],"",0,1)</f>
        <v>ACTIVO_FIJO_INFRAESCTRUCTURA_PROCESOS_ACTIVO_FIJO_EDIFICACIONES</v>
      </c>
      <c r="J5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/activo-fijo-infraesctructura/procesos/activo-fijo-edificaciones/indicadores</v>
      </c>
      <c r="K5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indicadores</v>
      </c>
      <c r="L55" s="6" t="s">
        <v>1421</v>
      </c>
      <c r="M55" s="2" t="s">
        <v>1793</v>
      </c>
      <c r="N55" s="4" t="s">
        <v>360</v>
      </c>
      <c r="O55" s="4" t="s">
        <v>360</v>
      </c>
      <c r="P55" s="4"/>
      <c r="Q55" s="4" t="s">
        <v>360</v>
      </c>
      <c r="R55" s="4" t="s">
        <v>360</v>
      </c>
      <c r="S55" s="4" t="s">
        <v>360</v>
      </c>
      <c r="T55" s="4" t="s">
        <v>360</v>
      </c>
      <c r="U55" s="2" t="str">
        <f>IF(Tabla_Activo_Fijo[[#This Row],[id_padre]]=Tabla_Activo_Fijo[[#This Row],[Id]],"NOK","OK")</f>
        <v>OK</v>
      </c>
    </row>
    <row r="56" spans="1:21" hidden="1" x14ac:dyDescent="0.5">
      <c r="A56" s="2">
        <f>MAX(Tabla_VME[Id])</f>
        <v>1377</v>
      </c>
      <c r="B56">
        <v>1427</v>
      </c>
      <c r="C56" s="5">
        <f>IF(Tabla_Activo_Fijo[[#This Row],[id_padre]]="",0,_xlfn.XLOOKUP(Tabla_Activo_Fijo[[#This Row],[id_padre]],Tabla_Activo_Fijo[Id],Tabla_Activo_Fijo[Nivel],0,0,1)+1)</f>
        <v>3</v>
      </c>
      <c r="D56" s="2" t="s">
        <v>1210</v>
      </c>
      <c r="E56">
        <f>IF(Tabla_Activo_Fijo[[#This Row],[Id_anterior]]=1,ROW()-1,SUM(ROW()-1,Tabla_Activo_Fijo[[#This Row],[Id_anterior]]))</f>
        <v>1432</v>
      </c>
      <c r="F5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ACTIVO_FIJO_INFRAESCTRUCTURA_PROCESOS_ACTIVO_FIJO_EDIFICACIONES_ACTUALIZACION</v>
      </c>
      <c r="G56" s="2" t="str">
        <f>CLEAN(PROPER(Tabla_Activo_Fijo[[#This Row],[Nombre Opción]]))</f>
        <v>Actualizacion</v>
      </c>
      <c r="H56" s="2" t="s">
        <v>1735</v>
      </c>
      <c r="I56" s="2" t="str">
        <f>_xlfn.XLOOKUP(Tabla_Activo_Fijo[[#This Row],[id_padre]],Tabla_Activo_Fijo[Id],Tabla_Activo_Fijo[Codigo_Tecnico],"",0,1)</f>
        <v>ACTIVO_FIJO_INFRAESCTRUCTURA_PROCESOS_ACTIVO_FIJO_EDIFICACIONES</v>
      </c>
      <c r="J5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/activo-fijo-infraesctructura/procesos/activo-fijo-edificaciones/actualizacion</v>
      </c>
      <c r="K5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</v>
      </c>
      <c r="L56" s="6" t="s">
        <v>1420</v>
      </c>
      <c r="M56" s="2" t="s">
        <v>1793</v>
      </c>
      <c r="N56" s="4" t="s">
        <v>360</v>
      </c>
      <c r="O56" s="4" t="s">
        <v>360</v>
      </c>
      <c r="P56" s="4"/>
      <c r="Q56" s="4" t="s">
        <v>360</v>
      </c>
      <c r="R56" s="4" t="s">
        <v>360</v>
      </c>
      <c r="S56" s="4" t="s">
        <v>360</v>
      </c>
      <c r="T56" s="4" t="s">
        <v>360</v>
      </c>
      <c r="U56" s="2" t="str">
        <f>IF(Tabla_Activo_Fijo[[#This Row],[id_padre]]=Tabla_Activo_Fijo[[#This Row],[Id]],"NOK","OK")</f>
        <v>OK</v>
      </c>
    </row>
    <row r="57" spans="1:21" hidden="1" x14ac:dyDescent="0.5">
      <c r="A57" s="2">
        <f>MAX(Tabla_VME[Id])</f>
        <v>1377</v>
      </c>
      <c r="B57">
        <v>1427</v>
      </c>
      <c r="C57" s="5">
        <f>IF(Tabla_Activo_Fijo[[#This Row],[id_padre]]="",0,_xlfn.XLOOKUP(Tabla_Activo_Fijo[[#This Row],[id_padre]],Tabla_Activo_Fijo[Id],Tabla_Activo_Fijo[Nivel],0,0,1)+1)</f>
        <v>3</v>
      </c>
      <c r="D57" s="2" t="s">
        <v>1215</v>
      </c>
      <c r="E57">
        <f>IF(Tabla_Activo_Fijo[[#This Row],[Id_anterior]]=1,ROW()-1,SUM(ROW()-1,Tabla_Activo_Fijo[[#This Row],[Id_anterior]]))</f>
        <v>1433</v>
      </c>
      <c r="F5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ACTIVO_FIJO_INFRAESCTRUCTURA_PROCESOS_ACTIVO_FIJO_EDIFICACIONES_ANULA_ACTUALIZACION</v>
      </c>
      <c r="G57" s="2" t="str">
        <f>CLEAN(PROPER(Tabla_Activo_Fijo[[#This Row],[Nombre Opción]]))</f>
        <v>Anula Actualizacion</v>
      </c>
      <c r="H57" s="2" t="s">
        <v>1735</v>
      </c>
      <c r="I57" s="2" t="str">
        <f>_xlfn.XLOOKUP(Tabla_Activo_Fijo[[#This Row],[id_padre]],Tabla_Activo_Fijo[Id],Tabla_Activo_Fijo[Codigo_Tecnico],"",0,1)</f>
        <v>ACTIVO_FIJO_INFRAESCTRUCTURA_PROCESOS_ACTIVO_FIJO_EDIFICACIONES</v>
      </c>
      <c r="J5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/activo-fijo-infraesctructura/procesos/activo-fijo-edificaciones/anula-actualizacion</v>
      </c>
      <c r="K5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anula-actualizacion</v>
      </c>
      <c r="L57" s="6" t="s">
        <v>1390</v>
      </c>
      <c r="M57" s="2" t="s">
        <v>1793</v>
      </c>
      <c r="N57" s="4" t="s">
        <v>360</v>
      </c>
      <c r="O57" s="4"/>
      <c r="P57" s="4"/>
      <c r="Q57" s="4" t="s">
        <v>360</v>
      </c>
      <c r="S57" s="4" t="s">
        <v>360</v>
      </c>
      <c r="T57" s="4" t="s">
        <v>360</v>
      </c>
      <c r="U57" s="2" t="str">
        <f>IF(Tabla_Activo_Fijo[[#This Row],[id_padre]]=Tabla_Activo_Fijo[[#This Row],[Id]],"NOK","OK")</f>
        <v>OK</v>
      </c>
    </row>
    <row r="58" spans="1:21" hidden="1" x14ac:dyDescent="0.5">
      <c r="A58" s="2">
        <f>MAX(Tabla_VME[Id])</f>
        <v>1377</v>
      </c>
      <c r="B58">
        <v>1427</v>
      </c>
      <c r="C58" s="5">
        <f>IF(Tabla_Activo_Fijo[[#This Row],[id_padre]]="",0,_xlfn.XLOOKUP(Tabla_Activo_Fijo[[#This Row],[id_padre]],Tabla_Activo_Fijo[Id],Tabla_Activo_Fijo[Nivel],0,0,1)+1)</f>
        <v>3</v>
      </c>
      <c r="D58" s="2" t="s">
        <v>1216</v>
      </c>
      <c r="E58">
        <f>IF(Tabla_Activo_Fijo[[#This Row],[Id_anterior]]=1,ROW()-1,SUM(ROW()-1,Tabla_Activo_Fijo[[#This Row],[Id_anterior]]))</f>
        <v>1434</v>
      </c>
      <c r="F5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ACTIVO_FIJO_INFRAESCTRUCTURA_PROCESOS_ACTIVO_FIJO_EDIFICACIONES_BAJA</v>
      </c>
      <c r="G58" s="2" t="str">
        <f>CLEAN(PROPER(Tabla_Activo_Fijo[[#This Row],[Nombre Opción]]))</f>
        <v>Baja</v>
      </c>
      <c r="H58" s="2" t="s">
        <v>1735</v>
      </c>
      <c r="I58" s="2" t="str">
        <f>_xlfn.XLOOKUP(Tabla_Activo_Fijo[[#This Row],[id_padre]],Tabla_Activo_Fijo[Id],Tabla_Activo_Fijo[Codigo_Tecnico],"",0,1)</f>
        <v>ACTIVO_FIJO_INFRAESCTRUCTURA_PROCESOS_ACTIVO_FIJO_EDIFICACIONES</v>
      </c>
      <c r="J5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/activo-fijo-infraesctructura/procesos/activo-fijo-edificaciones/baja</v>
      </c>
      <c r="K5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baja</v>
      </c>
      <c r="L58" s="6" t="s">
        <v>1661</v>
      </c>
      <c r="M58" s="2" t="s">
        <v>1793</v>
      </c>
      <c r="N58" s="4" t="s">
        <v>360</v>
      </c>
      <c r="O58" s="4" t="s">
        <v>360</v>
      </c>
      <c r="P58" s="4"/>
      <c r="Q58" s="4" t="s">
        <v>360</v>
      </c>
      <c r="R58" s="4" t="s">
        <v>360</v>
      </c>
      <c r="S58" s="4" t="s">
        <v>360</v>
      </c>
      <c r="T58" s="4" t="s">
        <v>360</v>
      </c>
      <c r="U58" s="2" t="str">
        <f>IF(Tabla_Activo_Fijo[[#This Row],[id_padre]]=Tabla_Activo_Fijo[[#This Row],[Id]],"NOK","OK")</f>
        <v>OK</v>
      </c>
    </row>
    <row r="59" spans="1:21" hidden="1" x14ac:dyDescent="0.5">
      <c r="A59" s="2">
        <f>MAX(Tabla_VME[Id])</f>
        <v>1377</v>
      </c>
      <c r="B59">
        <v>1427</v>
      </c>
      <c r="C59" s="5">
        <f>IF(Tabla_Activo_Fijo[[#This Row],[id_padre]]="",0,_xlfn.XLOOKUP(Tabla_Activo_Fijo[[#This Row],[id_padre]],Tabla_Activo_Fijo[Id],Tabla_Activo_Fijo[Nivel],0,0,1)+1)</f>
        <v>3</v>
      </c>
      <c r="D59" s="2" t="s">
        <v>1211</v>
      </c>
      <c r="E59">
        <f>IF(Tabla_Activo_Fijo[[#This Row],[Id_anterior]]=1,ROW()-1,SUM(ROW()-1,Tabla_Activo_Fijo[[#This Row],[Id_anterior]]))</f>
        <v>1435</v>
      </c>
      <c r="F5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ACTIVO_FIJO_INFRAESCTRUCTURA_PROCESOS_ACTIVO_FIJO_EDIFICACIONES_CAMBIO_ROL</v>
      </c>
      <c r="G59" s="2" t="str">
        <f>CLEAN(PROPER(Tabla_Activo_Fijo[[#This Row],[Nombre Opción]]))</f>
        <v>Cambio De Rol</v>
      </c>
      <c r="H59" s="2" t="s">
        <v>1735</v>
      </c>
      <c r="I59" s="2" t="str">
        <f>_xlfn.XLOOKUP(Tabla_Activo_Fijo[[#This Row],[id_padre]],Tabla_Activo_Fijo[Id],Tabla_Activo_Fijo[Codigo_Tecnico],"",0,1)</f>
        <v>ACTIVO_FIJO_INFRAESCTRUCTURA_PROCESOS_ACTIVO_FIJO_EDIFICACIONES</v>
      </c>
      <c r="J5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/activo-fijo-infraesctructura/procesos/activo-fijo-edificaciones/cambio-rol</v>
      </c>
      <c r="K5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cambio-rol</v>
      </c>
      <c r="L59" s="6" t="s">
        <v>1349</v>
      </c>
      <c r="M59" s="2" t="s">
        <v>1793</v>
      </c>
      <c r="N59" s="4" t="s">
        <v>360</v>
      </c>
      <c r="O59" s="4" t="s">
        <v>360</v>
      </c>
      <c r="P59" s="4"/>
      <c r="Q59" s="4" t="s">
        <v>360</v>
      </c>
      <c r="R59" s="4" t="s">
        <v>360</v>
      </c>
      <c r="S59" s="4" t="s">
        <v>360</v>
      </c>
      <c r="T59" s="4" t="s">
        <v>360</v>
      </c>
      <c r="U59" s="2" t="str">
        <f>IF(Tabla_Activo_Fijo[[#This Row],[id_padre]]=Tabla_Activo_Fijo[[#This Row],[Id]],"NOK","OK")</f>
        <v>OK</v>
      </c>
    </row>
    <row r="60" spans="1:21" hidden="1" x14ac:dyDescent="0.5">
      <c r="A60" s="2">
        <f>MAX(Tabla_VME[Id])</f>
        <v>1377</v>
      </c>
      <c r="B60">
        <v>1380</v>
      </c>
      <c r="C60" s="5">
        <f>IF(Tabla_Activo_Fijo[[#This Row],[id_padre]]="",0,_xlfn.XLOOKUP(Tabla_Activo_Fijo[[#This Row],[id_padre]],Tabla_Activo_Fijo[Id],Tabla_Activo_Fijo[Nivel],0,0,1)+1)</f>
        <v>2</v>
      </c>
      <c r="D60" s="2" t="s">
        <v>1650</v>
      </c>
      <c r="E60">
        <f>IF(Tabla_Activo_Fijo[[#This Row],[Id_anterior]]=1,ROW()-1,SUM(ROW()-1,Tabla_Activo_Fijo[[#This Row],[Id_anterior]]))</f>
        <v>1436</v>
      </c>
      <c r="F6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ACTIVO_FIJO_INFRAESCTRUCTURA_PROCESOS_ACTUALIZACON_ANUAL_TERRENOS</v>
      </c>
      <c r="G60" s="2" t="str">
        <f>CLEAN(PROPER(Tabla_Activo_Fijo[[#This Row],[Nombre Opción]]))</f>
        <v>Actualizacon Anual Terrenos</v>
      </c>
      <c r="H60" s="2" t="s">
        <v>1735</v>
      </c>
      <c r="I60" s="2" t="str">
        <f>_xlfn.XLOOKUP(Tabla_Activo_Fijo[[#This Row],[id_padre]],Tabla_Activo_Fijo[Id],Tabla_Activo_Fijo[Codigo_Tecnico],"",0,1)</f>
        <v>ACTIVO_FIJO_INFRAESCTRUCTURA_PROCESOS</v>
      </c>
      <c r="J6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/activo-fijo-infraesctructura/procesos/actualizacon-anual-terrenos</v>
      </c>
      <c r="K6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actualizacon-anual-terrenos</v>
      </c>
      <c r="L60" s="6" t="s">
        <v>1372</v>
      </c>
      <c r="M60" s="2" t="s">
        <v>1793</v>
      </c>
      <c r="N60" s="4" t="s">
        <v>360</v>
      </c>
      <c r="O60" s="4"/>
      <c r="P60" s="4"/>
      <c r="Q60" s="4" t="s">
        <v>360</v>
      </c>
      <c r="R60" s="4" t="s">
        <v>360</v>
      </c>
      <c r="S60" s="4" t="s">
        <v>360</v>
      </c>
      <c r="T60" s="4" t="s">
        <v>360</v>
      </c>
      <c r="U60" s="2" t="str">
        <f>IF(Tabla_Activo_Fijo[[#This Row],[id_padre]]=Tabla_Activo_Fijo[[#This Row],[Id]],"NOK","OK")</f>
        <v>OK</v>
      </c>
    </row>
    <row r="61" spans="1:21" hidden="1" x14ac:dyDescent="0.5">
      <c r="A61" s="2">
        <f>MAX(Tabla_VME[Id])</f>
        <v>1377</v>
      </c>
      <c r="B61">
        <v>1436</v>
      </c>
      <c r="C61" s="5">
        <f>IF(Tabla_Activo_Fijo[[#This Row],[id_padre]]="",0,_xlfn.XLOOKUP(Tabla_Activo_Fijo[[#This Row],[id_padre]],Tabla_Activo_Fijo[Id],Tabla_Activo_Fijo[Nivel],0,0,1)+1)</f>
        <v>3</v>
      </c>
      <c r="D61" s="2" t="s">
        <v>1217</v>
      </c>
      <c r="E61">
        <f>IF(Tabla_Activo_Fijo[[#This Row],[Id_anterior]]=1,ROW()-1,SUM(ROW()-1,Tabla_Activo_Fijo[[#This Row],[Id_anterior]]))</f>
        <v>1437</v>
      </c>
      <c r="F6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ACTIVO_FIJO_INFRAESCTRUCTURA_PROCESOS_ACTUALIZACON_ANUAL_TERRENOS_GENERA_CALCULO_ANUAL</v>
      </c>
      <c r="G61" s="2" t="str">
        <f>CLEAN(PROPER(Tabla_Activo_Fijo[[#This Row],[Nombre Opción]]))</f>
        <v>Genera Calculo Anual</v>
      </c>
      <c r="H61" s="2" t="s">
        <v>1735</v>
      </c>
      <c r="I61" s="2" t="str">
        <f>_xlfn.XLOOKUP(Tabla_Activo_Fijo[[#This Row],[id_padre]],Tabla_Activo_Fijo[Id],Tabla_Activo_Fijo[Codigo_Tecnico],"",0,1)</f>
        <v>ACTIVO_FIJO_INFRAESCTRUCTURA_PROCESOS_ACTUALIZACON_ANUAL_TERRENOS</v>
      </c>
      <c r="J6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/activo-fijo-infraesctructura/procesos/actualizacon-anual-terrenos/genera-calculo-anual</v>
      </c>
      <c r="K6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genera-calculo-anual</v>
      </c>
      <c r="L61" s="6" t="s">
        <v>1350</v>
      </c>
      <c r="M61" s="2" t="s">
        <v>1793</v>
      </c>
      <c r="N61" s="4" t="s">
        <v>360</v>
      </c>
      <c r="O61" s="4"/>
      <c r="P61" s="4"/>
      <c r="Q61" s="4" t="s">
        <v>360</v>
      </c>
      <c r="R61" s="4" t="s">
        <v>360</v>
      </c>
      <c r="S61" s="4" t="s">
        <v>360</v>
      </c>
      <c r="T61" s="4" t="s">
        <v>360</v>
      </c>
      <c r="U61" s="2" t="str">
        <f>IF(Tabla_Activo_Fijo[[#This Row],[id_padre]]=Tabla_Activo_Fijo[[#This Row],[Id]],"NOK","OK")</f>
        <v>OK</v>
      </c>
    </row>
    <row r="62" spans="1:21" hidden="1" x14ac:dyDescent="0.5">
      <c r="A62" s="2">
        <f>MAX(Tabla_VME[Id])</f>
        <v>1377</v>
      </c>
      <c r="B62">
        <v>1436</v>
      </c>
      <c r="C62" s="5">
        <f>IF(Tabla_Activo_Fijo[[#This Row],[id_padre]]="",0,_xlfn.XLOOKUP(Tabla_Activo_Fijo[[#This Row],[id_padre]],Tabla_Activo_Fijo[Id],Tabla_Activo_Fijo[Nivel],0,0,1)+1)</f>
        <v>3</v>
      </c>
      <c r="D62" s="2" t="s">
        <v>1218</v>
      </c>
      <c r="E62">
        <f>IF(Tabla_Activo_Fijo[[#This Row],[Id_anterior]]=1,ROW()-1,SUM(ROW()-1,Tabla_Activo_Fijo[[#This Row],[Id_anterior]]))</f>
        <v>1438</v>
      </c>
      <c r="F6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ACTIVO_FIJO_INFRAESCTRUCTURA_PROCESOS_ACTUALIZACON_ANUAL_TERRENOS_ACTUALIZACION_CALCULO_ANUAL</v>
      </c>
      <c r="G62" s="2" t="str">
        <f>CLEAN(PROPER(Tabla_Activo_Fijo[[#This Row],[Nombre Opción]]))</f>
        <v>Actualizacion Calculo Anual</v>
      </c>
      <c r="H62" s="2" t="s">
        <v>1735</v>
      </c>
      <c r="I62" s="2" t="str">
        <f>_xlfn.XLOOKUP(Tabla_Activo_Fijo[[#This Row],[id_padre]],Tabla_Activo_Fijo[Id],Tabla_Activo_Fijo[Codigo_Tecnico],"",0,1)</f>
        <v>ACTIVO_FIJO_INFRAESCTRUCTURA_PROCESOS_ACTUALIZACON_ANUAL_TERRENOS</v>
      </c>
      <c r="J6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/activo-fijo-infraesctructura/procesos/actualizacon-anual-terrenos/actualizacion-calculo-anual</v>
      </c>
      <c r="K6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actualizacion-calculo-anual</v>
      </c>
      <c r="L62" s="6" t="s">
        <v>1420</v>
      </c>
      <c r="M62" s="2" t="s">
        <v>1793</v>
      </c>
      <c r="N62" s="4" t="s">
        <v>360</v>
      </c>
      <c r="O62" s="4"/>
      <c r="P62" s="4"/>
      <c r="Q62" s="4" t="s">
        <v>360</v>
      </c>
      <c r="S62" s="4" t="s">
        <v>360</v>
      </c>
      <c r="T62" s="4" t="s">
        <v>360</v>
      </c>
      <c r="U62" s="2" t="str">
        <f>IF(Tabla_Activo_Fijo[[#This Row],[id_padre]]=Tabla_Activo_Fijo[[#This Row],[Id]],"NOK","OK")</f>
        <v>OK</v>
      </c>
    </row>
    <row r="63" spans="1:21" hidden="1" x14ac:dyDescent="0.5">
      <c r="A63" s="2">
        <f>MAX(Tabla_VME[Id])</f>
        <v>1377</v>
      </c>
      <c r="B63">
        <v>1380</v>
      </c>
      <c r="C63" s="5">
        <f>IF(Tabla_Activo_Fijo[[#This Row],[id_padre]]="",0,_xlfn.XLOOKUP(Tabla_Activo_Fijo[[#This Row],[id_padre]],Tabla_Activo_Fijo[Id],Tabla_Activo_Fijo[Nivel],0,0,1)+1)</f>
        <v>2</v>
      </c>
      <c r="D63" s="2" t="s">
        <v>1651</v>
      </c>
      <c r="E63">
        <f>IF(Tabla_Activo_Fijo[[#This Row],[Id_anterior]]=1,ROW()-1,SUM(ROW()-1,Tabla_Activo_Fijo[[#This Row],[Id_anterior]]))</f>
        <v>1439</v>
      </c>
      <c r="F6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ACTIVO_FIJO_INFRAESCTRUCTURA_PROCESOS_ACTUALIZACON_Y_DEPRECIACION_ANUAL_EDIFICACIONES</v>
      </c>
      <c r="G63" s="2" t="str">
        <f>CLEAN(PROPER(Tabla_Activo_Fijo[[#This Row],[Nombre Opción]]))</f>
        <v>Actualizacon Y Depreciacion Anual Edificaciones</v>
      </c>
      <c r="H63" s="2" t="s">
        <v>1735</v>
      </c>
      <c r="I63" s="2" t="str">
        <f>_xlfn.XLOOKUP(Tabla_Activo_Fijo[[#This Row],[id_padre]],Tabla_Activo_Fijo[Id],Tabla_Activo_Fijo[Codigo_Tecnico],"",0,1)</f>
        <v>ACTIVO_FIJO_INFRAESCTRUCTURA_PROCESOS</v>
      </c>
      <c r="J6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/activo-fijo-infraesctructura/procesos/actualizacon-y-depreciacion-anual-edificaciones</v>
      </c>
      <c r="K6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actualizacon-y-depreciacion-anual-edificaciones</v>
      </c>
      <c r="L63" s="6" t="s">
        <v>1442</v>
      </c>
      <c r="M63" s="2" t="s">
        <v>1793</v>
      </c>
      <c r="N63" s="4" t="s">
        <v>360</v>
      </c>
      <c r="O63" s="4"/>
      <c r="P63" s="4"/>
      <c r="Q63" s="4" t="s">
        <v>360</v>
      </c>
      <c r="R63" s="4" t="s">
        <v>360</v>
      </c>
      <c r="S63" s="4" t="s">
        <v>360</v>
      </c>
      <c r="T63" s="4" t="s">
        <v>360</v>
      </c>
      <c r="U63" s="2" t="str">
        <f>IF(Tabla_Activo_Fijo[[#This Row],[id_padre]]=Tabla_Activo_Fijo[[#This Row],[Id]],"NOK","OK")</f>
        <v>OK</v>
      </c>
    </row>
    <row r="64" spans="1:21" hidden="1" x14ac:dyDescent="0.5">
      <c r="A64" s="2">
        <f>MAX(Tabla_VME[Id])</f>
        <v>1377</v>
      </c>
      <c r="B64">
        <v>1439</v>
      </c>
      <c r="C64" s="5">
        <f>IF(Tabla_Activo_Fijo[[#This Row],[id_padre]]="",0,_xlfn.XLOOKUP(Tabla_Activo_Fijo[[#This Row],[id_padre]],Tabla_Activo_Fijo[Id],Tabla_Activo_Fijo[Nivel],0,0,1)+1)</f>
        <v>3</v>
      </c>
      <c r="D64" s="2" t="s">
        <v>1217</v>
      </c>
      <c r="E64">
        <f>IF(Tabla_Activo_Fijo[[#This Row],[Id_anterior]]=1,ROW()-1,SUM(ROW()-1,Tabla_Activo_Fijo[[#This Row],[Id_anterior]]))</f>
        <v>1440</v>
      </c>
      <c r="F6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ACTIVO_FIJO_INFRAESCTRUCTURA_PROCESOS_ACTUALIZACON_Y_DEPRECIACION_ANUAL_EDIFICACIONES_GENERA_CALCULO_ANUAL</v>
      </c>
      <c r="G64" s="2" t="str">
        <f>CLEAN(PROPER(Tabla_Activo_Fijo[[#This Row],[Nombre Opción]]))</f>
        <v>Genera Calculo Anual</v>
      </c>
      <c r="H64" s="2" t="s">
        <v>1735</v>
      </c>
      <c r="I64" s="2" t="str">
        <f>_xlfn.XLOOKUP(Tabla_Activo_Fijo[[#This Row],[id_padre]],Tabla_Activo_Fijo[Id],Tabla_Activo_Fijo[Codigo_Tecnico],"",0,1)</f>
        <v>ACTIVO_FIJO_INFRAESCTRUCTURA_PROCESOS_ACTUALIZACON_Y_DEPRECIACION_ANUAL_EDIFICACIONES</v>
      </c>
      <c r="J6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/activo-fijo-infraesctructura/procesos/actualizacon-y-depreciacion-anual-edificaciones/genera-calculo-anual</v>
      </c>
      <c r="K6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genera-calculo-anual</v>
      </c>
      <c r="L64" s="6" t="s">
        <v>1350</v>
      </c>
      <c r="M64" s="2" t="s">
        <v>1793</v>
      </c>
      <c r="N64" s="4" t="s">
        <v>360</v>
      </c>
      <c r="O64" s="4"/>
      <c r="P64" s="4"/>
      <c r="Q64" s="4" t="s">
        <v>360</v>
      </c>
      <c r="R64" s="4" t="s">
        <v>360</v>
      </c>
      <c r="S64" s="4" t="s">
        <v>360</v>
      </c>
      <c r="T64" s="4" t="s">
        <v>360</v>
      </c>
      <c r="U64" s="2" t="str">
        <f>IF(Tabla_Activo_Fijo[[#This Row],[id_padre]]=Tabla_Activo_Fijo[[#This Row],[Id]],"NOK","OK")</f>
        <v>OK</v>
      </c>
    </row>
    <row r="65" spans="1:21" hidden="1" x14ac:dyDescent="0.5">
      <c r="A65" s="2">
        <f>MAX(Tabla_VME[Id])</f>
        <v>1377</v>
      </c>
      <c r="B65">
        <v>1439</v>
      </c>
      <c r="C65" s="5">
        <f>IF(Tabla_Activo_Fijo[[#This Row],[id_padre]]="",0,_xlfn.XLOOKUP(Tabla_Activo_Fijo[[#This Row],[id_padre]],Tabla_Activo_Fijo[Id],Tabla_Activo_Fijo[Nivel],0,0,1)+1)</f>
        <v>3</v>
      </c>
      <c r="D65" s="2" t="s">
        <v>1218</v>
      </c>
      <c r="E65">
        <f>IF(Tabla_Activo_Fijo[[#This Row],[Id_anterior]]=1,ROW()-1,SUM(ROW()-1,Tabla_Activo_Fijo[[#This Row],[Id_anterior]]))</f>
        <v>1441</v>
      </c>
      <c r="F6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ACTIVO_FIJO_INFRAESCTRUCTURA_PROCESOS_ACTUALIZACON_Y_DEPRECIACION_ANUAL_EDIFICACIONES_ACTUALIZACION_CALCULO_ANUAL</v>
      </c>
      <c r="G65" s="2" t="str">
        <f>CLEAN(PROPER(Tabla_Activo_Fijo[[#This Row],[Nombre Opción]]))</f>
        <v>Actualizacion Calculo Anual</v>
      </c>
      <c r="H65" s="2" t="s">
        <v>1735</v>
      </c>
      <c r="I65" s="2" t="str">
        <f>_xlfn.XLOOKUP(Tabla_Activo_Fijo[[#This Row],[id_padre]],Tabla_Activo_Fijo[Id],Tabla_Activo_Fijo[Codigo_Tecnico],"",0,1)</f>
        <v>ACTIVO_FIJO_INFRAESCTRUCTURA_PROCESOS_ACTUALIZACON_Y_DEPRECIACION_ANUAL_EDIFICACIONES</v>
      </c>
      <c r="J6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/activo-fijo-infraesctructura/procesos/actualizacon-y-depreciacion-anual-edificaciones/actualizacion-calculo-anual</v>
      </c>
      <c r="K6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actualizacion-calculo-anual</v>
      </c>
      <c r="L65" s="6" t="s">
        <v>1420</v>
      </c>
      <c r="M65" s="2" t="s">
        <v>1793</v>
      </c>
      <c r="N65" s="4" t="s">
        <v>360</v>
      </c>
      <c r="O65" s="4"/>
      <c r="P65" s="4"/>
      <c r="Q65" s="4" t="s">
        <v>360</v>
      </c>
      <c r="S65" s="4" t="s">
        <v>360</v>
      </c>
      <c r="T65" s="4" t="s">
        <v>360</v>
      </c>
      <c r="U65" s="2" t="str">
        <f>IF(Tabla_Activo_Fijo[[#This Row],[id_padre]]=Tabla_Activo_Fijo[[#This Row],[Id]],"NOK","OK")</f>
        <v>OK</v>
      </c>
    </row>
    <row r="66" spans="1:21" hidden="1" x14ac:dyDescent="0.5">
      <c r="A66" s="2">
        <f>MAX(Tabla_VME[Id])</f>
        <v>1377</v>
      </c>
      <c r="B66">
        <v>1381</v>
      </c>
      <c r="C66" s="5">
        <f>IF(Tabla_Activo_Fijo[[#This Row],[id_padre]]="",0,_xlfn.XLOOKUP(Tabla_Activo_Fijo[[#This Row],[id_padre]],Tabla_Activo_Fijo[Id],Tabla_Activo_Fijo[Nivel],0,0,1)+1)</f>
        <v>2</v>
      </c>
      <c r="D66" s="2" t="s">
        <v>1652</v>
      </c>
      <c r="E66">
        <f>IF(Tabla_Activo_Fijo[[#This Row],[Id_anterior]]=1,ROW()-1,SUM(ROW()-1,Tabla_Activo_Fijo[[#This Row],[Id_anterior]]))</f>
        <v>1442</v>
      </c>
      <c r="F6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</v>
      </c>
      <c r="G66" s="2" t="str">
        <f>CLEAN(PROPER(Tabla_Activo_Fijo[[#This Row],[Nombre Opción]]))</f>
        <v>Parametros</v>
      </c>
      <c r="H66" s="2" t="s">
        <v>1735</v>
      </c>
      <c r="I66" s="2" t="str">
        <f>_xlfn.XLOOKUP(Tabla_Activo_Fijo[[#This Row],[id_padre]],Tabla_Activo_Fijo[Id],Tabla_Activo_Fijo[Codigo_Tecnico],"",0,1)</f>
        <v>ACTIVO_FIJO_INFRAESCTRUCTURA_CONSULTAS</v>
      </c>
      <c r="J6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</v>
      </c>
      <c r="K6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66" s="6" t="s">
        <v>1337</v>
      </c>
      <c r="M66" s="2" t="s">
        <v>1793</v>
      </c>
      <c r="N66" s="4" t="s">
        <v>360</v>
      </c>
      <c r="O66" s="4" t="s">
        <v>360</v>
      </c>
      <c r="P66" s="4" t="s">
        <v>360</v>
      </c>
      <c r="Q66" s="4" t="s">
        <v>360</v>
      </c>
      <c r="R66" s="4" t="s">
        <v>360</v>
      </c>
      <c r="S66" s="4" t="s">
        <v>360</v>
      </c>
      <c r="T66" s="4" t="s">
        <v>360</v>
      </c>
      <c r="U66" s="2" t="str">
        <f>IF(Tabla_Activo_Fijo[[#This Row],[id_padre]]=Tabla_Activo_Fijo[[#This Row],[Id]],"NOK","OK")</f>
        <v>OK</v>
      </c>
    </row>
    <row r="67" spans="1:21" hidden="1" x14ac:dyDescent="0.5">
      <c r="A67" s="2">
        <f>MAX(Tabla_VME[Id])</f>
        <v>1377</v>
      </c>
      <c r="B67">
        <v>1442</v>
      </c>
      <c r="C67" s="5">
        <f>IF(Tabla_Activo_Fijo[[#This Row],[id_padre]]="",0,_xlfn.XLOOKUP(Tabla_Activo_Fijo[[#This Row],[id_padre]],Tabla_Activo_Fijo[Id],Tabla_Activo_Fijo[Nivel],0,0,1)+1)</f>
        <v>3</v>
      </c>
      <c r="D67" s="2" t="s">
        <v>1185</v>
      </c>
      <c r="E67">
        <f>IF(Tabla_Activo_Fijo[[#This Row],[Id_anterior]]=1,ROW()-1,SUM(ROW()-1,Tabla_Activo_Fijo[[#This Row],[Id_anterior]]))</f>
        <v>1443</v>
      </c>
      <c r="F6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ACTIVO_FIJO_INFRAESCTRUCTURA_CONSULTAS_PARAMETROS_COMUNAS</v>
      </c>
      <c r="G67" s="2" t="str">
        <f>CLEAN(PROPER(Tabla_Activo_Fijo[[#This Row],[Nombre Opción]]))</f>
        <v>Comunas</v>
      </c>
      <c r="H67" s="2" t="s">
        <v>1735</v>
      </c>
      <c r="I67" s="2" t="str">
        <f>_xlfn.XLOOKUP(Tabla_Activo_Fijo[[#This Row],[id_padre]],Tabla_Activo_Fijo[Id],Tabla_Activo_Fijo[Codigo_Tecnico],"",0,1)</f>
        <v>ACTIVO_FIJO_INFRAESCTRUCTURA_CONSULTAS_PARAMETROS</v>
      </c>
      <c r="J6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/activo-fijo-infraesctructura/consultas/parametros/comunas</v>
      </c>
      <c r="K6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comunas</v>
      </c>
      <c r="L67" s="6" t="s">
        <v>1518</v>
      </c>
      <c r="M67" s="2" t="s">
        <v>1793</v>
      </c>
      <c r="N67" s="4" t="s">
        <v>360</v>
      </c>
      <c r="O67" s="4" t="s">
        <v>360</v>
      </c>
      <c r="P67" s="4" t="s">
        <v>360</v>
      </c>
      <c r="Q67" s="4" t="s">
        <v>360</v>
      </c>
      <c r="R67" s="4" t="s">
        <v>360</v>
      </c>
      <c r="S67" s="4" t="s">
        <v>360</v>
      </c>
      <c r="T67" s="4" t="s">
        <v>360</v>
      </c>
      <c r="U67" s="2" t="str">
        <f>IF(Tabla_Activo_Fijo[[#This Row],[id_padre]]=Tabla_Activo_Fijo[[#This Row],[Id]],"NOK","OK")</f>
        <v>OK</v>
      </c>
    </row>
    <row r="68" spans="1:21" hidden="1" x14ac:dyDescent="0.5">
      <c r="A68" s="2">
        <f>MAX(Tabla_VME[Id])</f>
        <v>1377</v>
      </c>
      <c r="B68">
        <v>1442</v>
      </c>
      <c r="C68" s="5">
        <f>IF(Tabla_Activo_Fijo[[#This Row],[id_padre]]="",0,_xlfn.XLOOKUP(Tabla_Activo_Fijo[[#This Row],[id_padre]],Tabla_Activo_Fijo[Id],Tabla_Activo_Fijo[Nivel],0,0,1)+1)</f>
        <v>3</v>
      </c>
      <c r="D68" s="2" t="s">
        <v>1186</v>
      </c>
      <c r="E68">
        <f>IF(Tabla_Activo_Fijo[[#This Row],[Id_anterior]]=1,ROW()-1,SUM(ROW()-1,Tabla_Activo_Fijo[[#This Row],[Id_anterior]]))</f>
        <v>1444</v>
      </c>
      <c r="F6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ACTIVO_FIJO_INFRAESCTRUCTURA_CONSULTAS_PARAMETROS_CONSERVADORES</v>
      </c>
      <c r="G68" s="2" t="str">
        <f>CLEAN(PROPER(Tabla_Activo_Fijo[[#This Row],[Nombre Opción]]))</f>
        <v>Conservadores</v>
      </c>
      <c r="H68" s="2" t="s">
        <v>1735</v>
      </c>
      <c r="I68" s="2" t="str">
        <f>_xlfn.XLOOKUP(Tabla_Activo_Fijo[[#This Row],[id_padre]],Tabla_Activo_Fijo[Id],Tabla_Activo_Fijo[Codigo_Tecnico],"",0,1)</f>
        <v>ACTIVO_FIJO_INFRAESCTRUCTURA_CONSULTAS_PARAMETROS</v>
      </c>
      <c r="J6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/activo-fijo-infraesctructura/consultas/parametros/conservadores</v>
      </c>
      <c r="K6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conservadores</v>
      </c>
      <c r="L68" s="6" t="s">
        <v>1457</v>
      </c>
      <c r="M68" s="2" t="s">
        <v>1793</v>
      </c>
      <c r="N68" s="4" t="s">
        <v>360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T68" s="4" t="s">
        <v>360</v>
      </c>
      <c r="U68" s="2" t="str">
        <f>IF(Tabla_Activo_Fijo[[#This Row],[id_padre]]=Tabla_Activo_Fijo[[#This Row],[Id]],"NOK","OK")</f>
        <v>OK</v>
      </c>
    </row>
    <row r="69" spans="1:21" hidden="1" x14ac:dyDescent="0.5">
      <c r="A69" s="2">
        <f>MAX(Tabla_VME[Id])</f>
        <v>1377</v>
      </c>
      <c r="B69">
        <v>1442</v>
      </c>
      <c r="C69" s="5">
        <f>IF(Tabla_Activo_Fijo[[#This Row],[id_padre]]="",0,_xlfn.XLOOKUP(Tabla_Activo_Fijo[[#This Row],[id_padre]],Tabla_Activo_Fijo[Id],Tabla_Activo_Fijo[Nivel],0,0,1)+1)</f>
        <v>3</v>
      </c>
      <c r="D69" s="2" t="s">
        <v>1187</v>
      </c>
      <c r="E69">
        <f>IF(Tabla_Activo_Fijo[[#This Row],[Id_anterior]]=1,ROW()-1,SUM(ROW()-1,Tabla_Activo_Fijo[[#This Row],[Id_anterior]]))</f>
        <v>1445</v>
      </c>
      <c r="F6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ACTIVO_FIJO_INFRAESCTRUCTURA_CONSULTAS_PARAMETROS_EMISORES_LEGALIDAD</v>
      </c>
      <c r="G69" s="2" t="str">
        <f>CLEAN(PROPER(Tabla_Activo_Fijo[[#This Row],[Nombre Opción]]))</f>
        <v>Emisores Legalidad</v>
      </c>
      <c r="H69" s="2" t="s">
        <v>1735</v>
      </c>
      <c r="I69" s="2" t="str">
        <f>_xlfn.XLOOKUP(Tabla_Activo_Fijo[[#This Row],[id_padre]],Tabla_Activo_Fijo[Id],Tabla_Activo_Fijo[Codigo_Tecnico],"",0,1)</f>
        <v>ACTIVO_FIJO_INFRAESCTRUCTURA_CONSULTAS_PARAMETROS</v>
      </c>
      <c r="J6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/activo-fijo-infraesctructura/consultas/parametros/emisores-legalidad</v>
      </c>
      <c r="K6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emisores-legalidad</v>
      </c>
      <c r="L69" s="6" t="s">
        <v>1358</v>
      </c>
      <c r="M69" s="2" t="s">
        <v>1793</v>
      </c>
      <c r="N69" s="4" t="s">
        <v>360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T69" s="4" t="s">
        <v>360</v>
      </c>
      <c r="U69" s="2" t="str">
        <f>IF(Tabla_Activo_Fijo[[#This Row],[id_padre]]=Tabla_Activo_Fijo[[#This Row],[Id]],"NOK","OK")</f>
        <v>OK</v>
      </c>
    </row>
    <row r="70" spans="1:21" hidden="1" x14ac:dyDescent="0.5">
      <c r="A70" s="2">
        <f>MAX(Tabla_VME[Id])</f>
        <v>1377</v>
      </c>
      <c r="B70">
        <v>1442</v>
      </c>
      <c r="C70" s="5">
        <f>IF(Tabla_Activo_Fijo[[#This Row],[id_padre]]="",0,_xlfn.XLOOKUP(Tabla_Activo_Fijo[[#This Row],[id_padre]],Tabla_Activo_Fijo[Id],Tabla_Activo_Fijo[Nivel],0,0,1)+1)</f>
        <v>3</v>
      </c>
      <c r="D70" s="2" t="s">
        <v>1188</v>
      </c>
      <c r="E70">
        <f>IF(Tabla_Activo_Fijo[[#This Row],[Id_anterior]]=1,ROW()-1,SUM(ROW()-1,Tabla_Activo_Fijo[[#This Row],[Id_anterior]]))</f>
        <v>1446</v>
      </c>
      <c r="F7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ACTIVO_FIJO_INFRAESCTRUCTURA_CONSULTAS_PARAMETROS_ESTADOS</v>
      </c>
      <c r="G70" s="2" t="str">
        <f>CLEAN(PROPER(Tabla_Activo_Fijo[[#This Row],[Nombre Opción]]))</f>
        <v>Estados</v>
      </c>
      <c r="H70" s="2" t="s">
        <v>1735</v>
      </c>
      <c r="I70" s="2" t="str">
        <f>_xlfn.XLOOKUP(Tabla_Activo_Fijo[[#This Row],[id_padre]],Tabla_Activo_Fijo[Id],Tabla_Activo_Fijo[Codigo_Tecnico],"",0,1)</f>
        <v>ACTIVO_FIJO_INFRAESCTRUCTURA_CONSULTAS_PARAMETROS</v>
      </c>
      <c r="J7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/activo-fijo-infraesctructura/consultas/parametros/estados</v>
      </c>
      <c r="K7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estados</v>
      </c>
      <c r="L70" s="6" t="s">
        <v>1424</v>
      </c>
      <c r="M70" s="2" t="s">
        <v>1793</v>
      </c>
      <c r="N70" s="4" t="s">
        <v>360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T70" s="4" t="s">
        <v>360</v>
      </c>
      <c r="U70" s="2" t="str">
        <f>IF(Tabla_Activo_Fijo[[#This Row],[id_padre]]=Tabla_Activo_Fijo[[#This Row],[Id]],"NOK","OK")</f>
        <v>OK</v>
      </c>
    </row>
    <row r="71" spans="1:21" hidden="1" x14ac:dyDescent="0.5">
      <c r="A71" s="2">
        <f>MAX(Tabla_VME[Id])</f>
        <v>1377</v>
      </c>
      <c r="B71">
        <v>1442</v>
      </c>
      <c r="C71" s="5">
        <f>IF(Tabla_Activo_Fijo[[#This Row],[id_padre]]="",0,_xlfn.XLOOKUP(Tabla_Activo_Fijo[[#This Row],[id_padre]],Tabla_Activo_Fijo[Id],Tabla_Activo_Fijo[Nivel],0,0,1)+1)</f>
        <v>3</v>
      </c>
      <c r="D71" s="2" t="s">
        <v>1189</v>
      </c>
      <c r="E71">
        <f>IF(Tabla_Activo_Fijo[[#This Row],[Id_anterior]]=1,ROW()-1,SUM(ROW()-1,Tabla_Activo_Fijo[[#This Row],[Id_anterior]]))</f>
        <v>1447</v>
      </c>
      <c r="F7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ACTIVO_FIJO_INFRAESCTRUCTURA_CONSULTAS_PARAMETROS_FACTORES_CGR</v>
      </c>
      <c r="G71" s="2" t="str">
        <f>CLEAN(PROPER(Tabla_Activo_Fijo[[#This Row],[Nombre Opción]]))</f>
        <v>Factores C.G.R</v>
      </c>
      <c r="H71" s="2" t="s">
        <v>1735</v>
      </c>
      <c r="I71" s="2" t="str">
        <f>_xlfn.XLOOKUP(Tabla_Activo_Fijo[[#This Row],[id_padre]],Tabla_Activo_Fijo[Id],Tabla_Activo_Fijo[Codigo_Tecnico],"",0,1)</f>
        <v>ACTIVO_FIJO_INFRAESCTRUCTURA_CONSULTAS_PARAMETROS</v>
      </c>
      <c r="J7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/activo-fijo-infraesctructura/consultas/parametros/factores-cgr</v>
      </c>
      <c r="K7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factores-cgr</v>
      </c>
      <c r="L71" s="6" t="s">
        <v>1481</v>
      </c>
      <c r="M71" s="2" t="s">
        <v>1793</v>
      </c>
      <c r="N71" s="4" t="s">
        <v>360</v>
      </c>
      <c r="O71" s="4" t="s">
        <v>360</v>
      </c>
      <c r="P71" s="4" t="s">
        <v>360</v>
      </c>
      <c r="Q71" s="4" t="s">
        <v>360</v>
      </c>
      <c r="R71" s="4" t="s">
        <v>360</v>
      </c>
      <c r="S71" s="4" t="s">
        <v>360</v>
      </c>
      <c r="T71" s="4" t="s">
        <v>360</v>
      </c>
      <c r="U71" s="2" t="str">
        <f>IF(Tabla_Activo_Fijo[[#This Row],[id_padre]]=Tabla_Activo_Fijo[[#This Row],[Id]],"NOK","OK")</f>
        <v>OK</v>
      </c>
    </row>
    <row r="72" spans="1:21" hidden="1" x14ac:dyDescent="0.5">
      <c r="A72" s="2">
        <f>MAX(Tabla_VME[Id])</f>
        <v>1377</v>
      </c>
      <c r="B72">
        <v>1442</v>
      </c>
      <c r="C72" s="5">
        <f>IF(Tabla_Activo_Fijo[[#This Row],[id_padre]]="",0,_xlfn.XLOOKUP(Tabla_Activo_Fijo[[#This Row],[id_padre]],Tabla_Activo_Fijo[Id],Tabla_Activo_Fijo[Nivel],0,0,1)+1)</f>
        <v>3</v>
      </c>
      <c r="D72" s="2" t="s">
        <v>1190</v>
      </c>
      <c r="E72">
        <f>IF(Tabla_Activo_Fijo[[#This Row],[Id_anterior]]=1,ROW()-1,SUM(ROW()-1,Tabla_Activo_Fijo[[#This Row],[Id_anterior]]))</f>
        <v>1448</v>
      </c>
      <c r="F7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ACTIVO_FIJO_INFRAESCTRUCTURA_CONSULTAS_PARAMETROS_JURISDICCION</v>
      </c>
      <c r="G72" s="2" t="str">
        <f>CLEAN(PROPER(Tabla_Activo_Fijo[[#This Row],[Nombre Opción]]))</f>
        <v>Jurisdiccion</v>
      </c>
      <c r="H72" s="2" t="s">
        <v>1735</v>
      </c>
      <c r="I72" s="2" t="str">
        <f>_xlfn.XLOOKUP(Tabla_Activo_Fijo[[#This Row],[id_padre]],Tabla_Activo_Fijo[Id],Tabla_Activo_Fijo[Codigo_Tecnico],"",0,1)</f>
        <v>ACTIVO_FIJO_INFRAESCTRUCTURA_CONSULTAS_PARAMETROS</v>
      </c>
      <c r="J7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/activo-fijo-infraesctructura/consultas/parametros/jurisdiccion</v>
      </c>
      <c r="K7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jurisdiccion</v>
      </c>
      <c r="L72" s="6" t="s">
        <v>1367</v>
      </c>
      <c r="M72" s="2" t="s">
        <v>1793</v>
      </c>
      <c r="N72" s="4" t="s">
        <v>360</v>
      </c>
      <c r="O72" s="4" t="s">
        <v>360</v>
      </c>
      <c r="P72" s="4" t="s">
        <v>360</v>
      </c>
      <c r="Q72" s="4" t="s">
        <v>360</v>
      </c>
      <c r="R72" s="4" t="s">
        <v>360</v>
      </c>
      <c r="S72" s="4" t="s">
        <v>360</v>
      </c>
      <c r="T72" s="4" t="s">
        <v>360</v>
      </c>
      <c r="U72" s="2" t="str">
        <f>IF(Tabla_Activo_Fijo[[#This Row],[id_padre]]=Tabla_Activo_Fijo[[#This Row],[Id]],"NOK","OK")</f>
        <v>OK</v>
      </c>
    </row>
    <row r="73" spans="1:21" hidden="1" x14ac:dyDescent="0.5">
      <c r="A73" s="2">
        <f>MAX(Tabla_VME[Id])</f>
        <v>1377</v>
      </c>
      <c r="B73">
        <v>1442</v>
      </c>
      <c r="C73" s="5">
        <f>IF(Tabla_Activo_Fijo[[#This Row],[id_padre]]="",0,_xlfn.XLOOKUP(Tabla_Activo_Fijo[[#This Row],[id_padre]],Tabla_Activo_Fijo[Id],Tabla_Activo_Fijo[Nivel],0,0,1)+1)</f>
        <v>3</v>
      </c>
      <c r="D73" s="2" t="s">
        <v>1191</v>
      </c>
      <c r="E73">
        <f>IF(Tabla_Activo_Fijo[[#This Row],[Id_anterior]]=1,ROW()-1,SUM(ROW()-1,Tabla_Activo_Fijo[[#This Row],[Id_anterior]]))</f>
        <v>1449</v>
      </c>
      <c r="F7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ACTIVO_FIJO_INFRAESCTRUCTURA_CONSULTAS_PARAMETROS_LEY_ADQUISICION</v>
      </c>
      <c r="G73" s="2" t="str">
        <f>CLEAN(PROPER(Tabla_Activo_Fijo[[#This Row],[Nombre Opción]]))</f>
        <v>Ley De Adquisicion</v>
      </c>
      <c r="H73" s="2" t="s">
        <v>1735</v>
      </c>
      <c r="I73" s="2" t="str">
        <f>_xlfn.XLOOKUP(Tabla_Activo_Fijo[[#This Row],[id_padre]],Tabla_Activo_Fijo[Id],Tabla_Activo_Fijo[Codigo_Tecnico],"",0,1)</f>
        <v>ACTIVO_FIJO_INFRAESCTRUCTURA_CONSULTAS_PARAMETROS</v>
      </c>
      <c r="J7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/activo-fijo-infraesctructura/consultas/parametros/ley-adquisicion</v>
      </c>
      <c r="K7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ley-adquisicion</v>
      </c>
      <c r="L73" s="6" t="s">
        <v>1457</v>
      </c>
      <c r="M73" s="2" t="s">
        <v>1793</v>
      </c>
      <c r="N73" s="4" t="s">
        <v>360</v>
      </c>
      <c r="O73" s="4" t="s">
        <v>360</v>
      </c>
      <c r="P73" s="4" t="s">
        <v>360</v>
      </c>
      <c r="Q73" s="4" t="s">
        <v>360</v>
      </c>
      <c r="R73" s="4" t="s">
        <v>360</v>
      </c>
      <c r="S73" s="4" t="s">
        <v>360</v>
      </c>
      <c r="T73" s="4" t="s">
        <v>360</v>
      </c>
      <c r="U73" s="2" t="str">
        <f>IF(Tabla_Activo_Fijo[[#This Row],[id_padre]]=Tabla_Activo_Fijo[[#This Row],[Id]],"NOK","OK")</f>
        <v>OK</v>
      </c>
    </row>
    <row r="74" spans="1:21" hidden="1" x14ac:dyDescent="0.5">
      <c r="A74" s="2">
        <f>MAX(Tabla_VME[Id])</f>
        <v>1377</v>
      </c>
      <c r="B74">
        <v>1442</v>
      </c>
      <c r="C74" s="5">
        <f>IF(Tabla_Activo_Fijo[[#This Row],[id_padre]]="",0,_xlfn.XLOOKUP(Tabla_Activo_Fijo[[#This Row],[id_padre]],Tabla_Activo_Fijo[Id],Tabla_Activo_Fijo[Nivel],0,0,1)+1)</f>
        <v>3</v>
      </c>
      <c r="D74" s="2" t="s">
        <v>1192</v>
      </c>
      <c r="E74">
        <f>IF(Tabla_Activo_Fijo[[#This Row],[Id_anterior]]=1,ROW()-1,SUM(ROW()-1,Tabla_Activo_Fijo[[#This Row],[Id_anterior]]))</f>
        <v>1450</v>
      </c>
      <c r="F7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ACTIVO_FIJO_INFRAESCTRUCTURA_CONSULTAS_PARAMETROS_PROVINCIAS</v>
      </c>
      <c r="G74" s="2" t="str">
        <f>CLEAN(PROPER(Tabla_Activo_Fijo[[#This Row],[Nombre Opción]]))</f>
        <v>Provincias</v>
      </c>
      <c r="H74" s="2" t="s">
        <v>1735</v>
      </c>
      <c r="I74" s="2" t="str">
        <f>_xlfn.XLOOKUP(Tabla_Activo_Fijo[[#This Row],[id_padre]],Tabla_Activo_Fijo[Id],Tabla_Activo_Fijo[Codigo_Tecnico],"",0,1)</f>
        <v>ACTIVO_FIJO_INFRAESCTRUCTURA_CONSULTAS_PARAMETROS</v>
      </c>
      <c r="J7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/activo-fijo-infraesctructura/consultas/parametros/provincias</v>
      </c>
      <c r="K7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provincias</v>
      </c>
      <c r="L74" s="6" t="s">
        <v>1402</v>
      </c>
      <c r="M74" s="2" t="s">
        <v>1793</v>
      </c>
      <c r="N74" s="4" t="s">
        <v>360</v>
      </c>
      <c r="O74" s="4" t="s">
        <v>360</v>
      </c>
      <c r="P74" s="4" t="s">
        <v>360</v>
      </c>
      <c r="Q74" s="4" t="s">
        <v>360</v>
      </c>
      <c r="R74" s="4" t="s">
        <v>360</v>
      </c>
      <c r="S74" s="4" t="s">
        <v>360</v>
      </c>
      <c r="T74" s="4" t="s">
        <v>360</v>
      </c>
      <c r="U74" s="2" t="str">
        <f>IF(Tabla_Activo_Fijo[[#This Row],[id_padre]]=Tabla_Activo_Fijo[[#This Row],[Id]],"NOK","OK")</f>
        <v>OK</v>
      </c>
    </row>
    <row r="75" spans="1:21" hidden="1" x14ac:dyDescent="0.5">
      <c r="A75" s="2">
        <f>MAX(Tabla_VME[Id])</f>
        <v>1377</v>
      </c>
      <c r="B75">
        <v>1442</v>
      </c>
      <c r="C75" s="5">
        <f>IF(Tabla_Activo_Fijo[[#This Row],[id_padre]]="",0,_xlfn.XLOOKUP(Tabla_Activo_Fijo[[#This Row],[id_padre]],Tabla_Activo_Fijo[Id],Tabla_Activo_Fijo[Nivel],0,0,1)+1)</f>
        <v>3</v>
      </c>
      <c r="D75" s="2" t="s">
        <v>1193</v>
      </c>
      <c r="E75">
        <f>IF(Tabla_Activo_Fijo[[#This Row],[Id_anterior]]=1,ROW()-1,SUM(ROW()-1,Tabla_Activo_Fijo[[#This Row],[Id_anterior]]))</f>
        <v>1451</v>
      </c>
      <c r="F7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ACTIVO_FIJO_INFRAESCTRUCTURA_CONSULTAS_PARAMETROS_REGIONES</v>
      </c>
      <c r="G75" s="2" t="str">
        <f>CLEAN(PROPER(Tabla_Activo_Fijo[[#This Row],[Nombre Opción]]))</f>
        <v>Regiones</v>
      </c>
      <c r="H75" s="2" t="s">
        <v>1735</v>
      </c>
      <c r="I75" s="2" t="str">
        <f>_xlfn.XLOOKUP(Tabla_Activo_Fijo[[#This Row],[id_padre]],Tabla_Activo_Fijo[Id],Tabla_Activo_Fijo[Codigo_Tecnico],"",0,1)</f>
        <v>ACTIVO_FIJO_INFRAESCTRUCTURA_CONSULTAS_PARAMETROS</v>
      </c>
      <c r="J7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/activo-fijo-infraesctructura/consultas/parametros/regiones</v>
      </c>
      <c r="K7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regiones</v>
      </c>
      <c r="L75" s="6" t="s">
        <v>1402</v>
      </c>
      <c r="M75" s="2" t="s">
        <v>1793</v>
      </c>
      <c r="N75" s="4" t="s">
        <v>360</v>
      </c>
      <c r="O75" s="4" t="s">
        <v>360</v>
      </c>
      <c r="P75" s="4" t="s">
        <v>360</v>
      </c>
      <c r="Q75" s="4" t="s">
        <v>360</v>
      </c>
      <c r="R75" s="4" t="s">
        <v>360</v>
      </c>
      <c r="S75" s="4" t="s">
        <v>360</v>
      </c>
      <c r="T75" s="4" t="s">
        <v>360</v>
      </c>
      <c r="U75" s="2" t="str">
        <f>IF(Tabla_Activo_Fijo[[#This Row],[id_padre]]=Tabla_Activo_Fijo[[#This Row],[Id]],"NOK","OK")</f>
        <v>OK</v>
      </c>
    </row>
    <row r="76" spans="1:21" hidden="1" x14ac:dyDescent="0.5">
      <c r="A76" s="2">
        <f>MAX(Tabla_VME[Id])</f>
        <v>1377</v>
      </c>
      <c r="B76">
        <v>1442</v>
      </c>
      <c r="C76" s="5">
        <f>IF(Tabla_Activo_Fijo[[#This Row],[id_padre]]="",0,_xlfn.XLOOKUP(Tabla_Activo_Fijo[[#This Row],[id_padre]],Tabla_Activo_Fijo[Id],Tabla_Activo_Fijo[Nivel],0,0,1)+1)</f>
        <v>3</v>
      </c>
      <c r="D76" s="2" t="s">
        <v>1194</v>
      </c>
      <c r="E76">
        <f>IF(Tabla_Activo_Fijo[[#This Row],[Id_anterior]]=1,ROW()-1,SUM(ROW()-1,Tabla_Activo_Fijo[[#This Row],[Id_anterior]]))</f>
        <v>1452</v>
      </c>
      <c r="F7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ACTIVO_FIJO_INFRAESCTRUCTURA_CONSULTAS_PARAMETROS_UNIDADES_FACH</v>
      </c>
      <c r="G76" s="2" t="str">
        <f>CLEAN(PROPER(Tabla_Activo_Fijo[[#This Row],[Nombre Opción]]))</f>
        <v>Unidades Fach</v>
      </c>
      <c r="H76" s="2" t="s">
        <v>1735</v>
      </c>
      <c r="I76" s="2" t="str">
        <f>_xlfn.XLOOKUP(Tabla_Activo_Fijo[[#This Row],[id_padre]],Tabla_Activo_Fijo[Id],Tabla_Activo_Fijo[Codigo_Tecnico],"",0,1)</f>
        <v>ACTIVO_FIJO_INFRAESCTRUCTURA_CONSULTAS_PARAMETROS</v>
      </c>
      <c r="J7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/activo-fijo-infraesctructura/consultas/parametros/unidades-fach</v>
      </c>
      <c r="K7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unidades-fach</v>
      </c>
      <c r="L76" s="6" t="s">
        <v>1505</v>
      </c>
      <c r="M76" s="2" t="s">
        <v>1793</v>
      </c>
      <c r="N76" s="4" t="s">
        <v>360</v>
      </c>
      <c r="O76" s="4" t="s">
        <v>360</v>
      </c>
      <c r="P76" s="4" t="s">
        <v>360</v>
      </c>
      <c r="Q76" s="4" t="s">
        <v>360</v>
      </c>
      <c r="R76" s="4" t="s">
        <v>360</v>
      </c>
      <c r="S76" s="4" t="s">
        <v>360</v>
      </c>
      <c r="T76" s="4" t="s">
        <v>360</v>
      </c>
      <c r="U76" s="2" t="str">
        <f>IF(Tabla_Activo_Fijo[[#This Row],[id_padre]]=Tabla_Activo_Fijo[[#This Row],[Id]],"NOK","OK")</f>
        <v>OK</v>
      </c>
    </row>
    <row r="77" spans="1:21" hidden="1" x14ac:dyDescent="0.5">
      <c r="A77" s="2">
        <f>MAX(Tabla_VME[Id])</f>
        <v>1377</v>
      </c>
      <c r="B77">
        <v>1442</v>
      </c>
      <c r="C77" s="5">
        <f>IF(Tabla_Activo_Fijo[[#This Row],[id_padre]]="",0,_xlfn.XLOOKUP(Tabla_Activo_Fijo[[#This Row],[id_padre]],Tabla_Activo_Fijo[Id],Tabla_Activo_Fijo[Nivel],0,0,1)+1)</f>
        <v>3</v>
      </c>
      <c r="D77" s="2" t="s">
        <v>1195</v>
      </c>
      <c r="E77">
        <f>IF(Tabla_Activo_Fijo[[#This Row],[Id_anterior]]=1,ROW()-1,SUM(ROW()-1,Tabla_Activo_Fijo[[#This Row],[Id_anterior]]))</f>
        <v>1453</v>
      </c>
      <c r="F7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ACTIVO_FIJO_INFRAESCTRUCTURA_CONSULTAS_PARAMETROS_TIPOS_ADQUISICION_EDIFICACIONES</v>
      </c>
      <c r="G77" s="2" t="str">
        <f>CLEAN(PROPER(Tabla_Activo_Fijo[[#This Row],[Nombre Opción]]))</f>
        <v>Tipos De Adquisicion Edificaciones</v>
      </c>
      <c r="H77" s="2" t="s">
        <v>1735</v>
      </c>
      <c r="I77" s="2" t="str">
        <f>_xlfn.XLOOKUP(Tabla_Activo_Fijo[[#This Row],[id_padre]],Tabla_Activo_Fijo[Id],Tabla_Activo_Fijo[Codigo_Tecnico],"",0,1)</f>
        <v>ACTIVO_FIJO_INFRAESCTRUCTURA_CONSULTAS_PARAMETROS</v>
      </c>
      <c r="J7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/activo-fijo-infraesctructura/consultas/parametros/tipos-adquisicion-edificaciones</v>
      </c>
      <c r="K7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tipos-adquisicion-edificaciones</v>
      </c>
      <c r="L77" s="6" t="s">
        <v>1480</v>
      </c>
      <c r="M77" s="2" t="s">
        <v>1793</v>
      </c>
      <c r="N77" s="4" t="s">
        <v>360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T77" s="4" t="s">
        <v>360</v>
      </c>
      <c r="U77" s="2" t="str">
        <f>IF(Tabla_Activo_Fijo[[#This Row],[id_padre]]=Tabla_Activo_Fijo[[#This Row],[Id]],"NOK","OK")</f>
        <v>OK</v>
      </c>
    </row>
    <row r="78" spans="1:21" hidden="1" x14ac:dyDescent="0.5">
      <c r="A78" s="2">
        <f>MAX(Tabla_VME[Id])</f>
        <v>1377</v>
      </c>
      <c r="B78">
        <v>1442</v>
      </c>
      <c r="C78" s="5">
        <f>IF(Tabla_Activo_Fijo[[#This Row],[id_padre]]="",0,_xlfn.XLOOKUP(Tabla_Activo_Fijo[[#This Row],[id_padre]],Tabla_Activo_Fijo[Id],Tabla_Activo_Fijo[Nivel],0,0,1)+1)</f>
        <v>3</v>
      </c>
      <c r="D78" s="2" t="s">
        <v>1196</v>
      </c>
      <c r="E78">
        <f>IF(Tabla_Activo_Fijo[[#This Row],[Id_anterior]]=1,ROW()-1,SUM(ROW()-1,Tabla_Activo_Fijo[[#This Row],[Id_anterior]]))</f>
        <v>1454</v>
      </c>
      <c r="F7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ACTIVO_FIJO_INFRAESCTRUCTURA_CONSULTAS_PARAMETROS_TIPOS_ADQUISICION_TERRENOS</v>
      </c>
      <c r="G78" s="2" t="str">
        <f>CLEAN(PROPER(Tabla_Activo_Fijo[[#This Row],[Nombre Opción]]))</f>
        <v>Tipos De Adquisicion Terrenos</v>
      </c>
      <c r="H78" s="2" t="s">
        <v>1735</v>
      </c>
      <c r="I78" s="2" t="str">
        <f>_xlfn.XLOOKUP(Tabla_Activo_Fijo[[#This Row],[id_padre]],Tabla_Activo_Fijo[Id],Tabla_Activo_Fijo[Codigo_Tecnico],"",0,1)</f>
        <v>ACTIVO_FIJO_INFRAESCTRUCTURA_CONSULTAS_PARAMETROS</v>
      </c>
      <c r="J7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/activo-fijo-infraesctructura/consultas/parametros/tipos-adquisicion-terrenos</v>
      </c>
      <c r="K7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tipos-adquisicion-terrenos</v>
      </c>
      <c r="L78" s="6" t="s">
        <v>1653</v>
      </c>
      <c r="M78" s="2" t="s">
        <v>1793</v>
      </c>
      <c r="N78" s="4" t="s">
        <v>360</v>
      </c>
      <c r="O78" s="4" t="s">
        <v>360</v>
      </c>
      <c r="P78" s="4" t="s">
        <v>360</v>
      </c>
      <c r="Q78" s="4" t="s">
        <v>360</v>
      </c>
      <c r="R78" s="4" t="s">
        <v>360</v>
      </c>
      <c r="S78" s="4" t="s">
        <v>360</v>
      </c>
      <c r="T78" s="4" t="s">
        <v>360</v>
      </c>
      <c r="U78" s="2" t="str">
        <f>IF(Tabla_Activo_Fijo[[#This Row],[id_padre]]=Tabla_Activo_Fijo[[#This Row],[Id]],"NOK","OK")</f>
        <v>OK</v>
      </c>
    </row>
    <row r="79" spans="1:21" hidden="1" x14ac:dyDescent="0.5">
      <c r="A79" s="2">
        <f>MAX(Tabla_VME[Id])</f>
        <v>1377</v>
      </c>
      <c r="B79">
        <v>1442</v>
      </c>
      <c r="C79" s="5">
        <f>IF(Tabla_Activo_Fijo[[#This Row],[id_padre]]="",0,_xlfn.XLOOKUP(Tabla_Activo_Fijo[[#This Row],[id_padre]],Tabla_Activo_Fijo[Id],Tabla_Activo_Fijo[Nivel],0,0,1)+1)</f>
        <v>3</v>
      </c>
      <c r="D79" s="2" t="s">
        <v>1197</v>
      </c>
      <c r="E79">
        <f>IF(Tabla_Activo_Fijo[[#This Row],[Id_anterior]]=1,ROW()-1,SUM(ROW()-1,Tabla_Activo_Fijo[[#This Row],[Id_anterior]]))</f>
        <v>1455</v>
      </c>
      <c r="F7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ACTIVO_FIJO_INFRAESCTRUCTURA_CONSULTAS_PARAMETROS_TIPOS_BAJAS</v>
      </c>
      <c r="G79" s="2" t="str">
        <f>CLEAN(PROPER(Tabla_Activo_Fijo[[#This Row],[Nombre Opción]]))</f>
        <v>Tipos De Bajas</v>
      </c>
      <c r="H79" s="2" t="s">
        <v>1735</v>
      </c>
      <c r="I79" s="2" t="str">
        <f>_xlfn.XLOOKUP(Tabla_Activo_Fijo[[#This Row],[id_padre]],Tabla_Activo_Fijo[Id],Tabla_Activo_Fijo[Codigo_Tecnico],"",0,1)</f>
        <v>ACTIVO_FIJO_INFRAESCTRUCTURA_CONSULTAS_PARAMETROS</v>
      </c>
      <c r="J7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/activo-fijo-infraesctructura/consultas/parametros/tipos-bajas</v>
      </c>
      <c r="K7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tipos-bajas</v>
      </c>
      <c r="L79" s="6" t="s">
        <v>1442</v>
      </c>
      <c r="M79" s="2" t="s">
        <v>1793</v>
      </c>
      <c r="N79" s="4" t="s">
        <v>360</v>
      </c>
      <c r="O79" s="4" t="s">
        <v>360</v>
      </c>
      <c r="P79" s="4" t="s">
        <v>360</v>
      </c>
      <c r="Q79" s="4" t="s">
        <v>360</v>
      </c>
      <c r="R79" s="4" t="s">
        <v>360</v>
      </c>
      <c r="S79" s="4" t="s">
        <v>360</v>
      </c>
      <c r="T79" s="4" t="s">
        <v>360</v>
      </c>
      <c r="U79" s="2" t="str">
        <f>IF(Tabla_Activo_Fijo[[#This Row],[id_padre]]=Tabla_Activo_Fijo[[#This Row],[Id]],"NOK","OK")</f>
        <v>OK</v>
      </c>
    </row>
    <row r="80" spans="1:21" hidden="1" x14ac:dyDescent="0.5">
      <c r="A80" s="2">
        <f>MAX(Tabla_VME[Id])</f>
        <v>1377</v>
      </c>
      <c r="B80">
        <v>1442</v>
      </c>
      <c r="C80" s="5">
        <f>IF(Tabla_Activo_Fijo[[#This Row],[id_padre]]="",0,_xlfn.XLOOKUP(Tabla_Activo_Fijo[[#This Row],[id_padre]],Tabla_Activo_Fijo[Id],Tabla_Activo_Fijo[Nivel],0,0,1)+1)</f>
        <v>3</v>
      </c>
      <c r="D80" s="2" t="s">
        <v>1198</v>
      </c>
      <c r="E80">
        <f>IF(Tabla_Activo_Fijo[[#This Row],[Id_anterior]]=1,ROW()-1,SUM(ROW()-1,Tabla_Activo_Fijo[[#This Row],[Id_anterior]]))</f>
        <v>1456</v>
      </c>
      <c r="F8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ACTIVO_FIJO_INFRAESCTRUCTURA_CONSULTAS_PARAMETROS_TIPOS_CLASIFICACION_DOCUMENTOS</v>
      </c>
      <c r="G80" s="2" t="str">
        <f>CLEAN(PROPER(Tabla_Activo_Fijo[[#This Row],[Nombre Opción]]))</f>
        <v>Tipos De Clasificacion De Documentos</v>
      </c>
      <c r="H80" s="2" t="s">
        <v>1735</v>
      </c>
      <c r="I80" s="2" t="str">
        <f>_xlfn.XLOOKUP(Tabla_Activo_Fijo[[#This Row],[id_padre]],Tabla_Activo_Fijo[Id],Tabla_Activo_Fijo[Codigo_Tecnico],"",0,1)</f>
        <v>ACTIVO_FIJO_INFRAESCTRUCTURA_CONSULTAS_PARAMETROS</v>
      </c>
      <c r="J8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/activo-fijo-infraesctructura/consultas/parametros/tipos-clasificacion-documentos</v>
      </c>
      <c r="K8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tipos-clasificacion-documentos</v>
      </c>
      <c r="L80" s="6" t="s">
        <v>1654</v>
      </c>
      <c r="M80" s="2" t="s">
        <v>1793</v>
      </c>
      <c r="N80" s="4" t="s">
        <v>360</v>
      </c>
      <c r="O80" s="4" t="s">
        <v>360</v>
      </c>
      <c r="P80" s="4" t="s">
        <v>360</v>
      </c>
      <c r="Q80" s="4" t="s">
        <v>360</v>
      </c>
      <c r="R80" s="4" t="s">
        <v>360</v>
      </c>
      <c r="S80" s="4" t="s">
        <v>360</v>
      </c>
      <c r="T80" s="4" t="s">
        <v>360</v>
      </c>
      <c r="U80" s="2" t="str">
        <f>IF(Tabla_Activo_Fijo[[#This Row],[id_padre]]=Tabla_Activo_Fijo[[#This Row],[Id]],"NOK","OK")</f>
        <v>OK</v>
      </c>
    </row>
    <row r="81" spans="1:21" hidden="1" x14ac:dyDescent="0.5">
      <c r="A81" s="2">
        <f>MAX(Tabla_VME[Id])</f>
        <v>1377</v>
      </c>
      <c r="B81">
        <v>1442</v>
      </c>
      <c r="C81" s="5">
        <f>IF(Tabla_Activo_Fijo[[#This Row],[id_padre]]="",0,_xlfn.XLOOKUP(Tabla_Activo_Fijo[[#This Row],[id_padre]],Tabla_Activo_Fijo[Id],Tabla_Activo_Fijo[Nivel],0,0,1)+1)</f>
        <v>3</v>
      </c>
      <c r="D81" s="2" t="s">
        <v>1199</v>
      </c>
      <c r="E81">
        <f>IF(Tabla_Activo_Fijo[[#This Row],[Id_anterior]]=1,ROW()-1,SUM(ROW()-1,Tabla_Activo_Fijo[[#This Row],[Id_anterior]]))</f>
        <v>1457</v>
      </c>
      <c r="F8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ACTIVO_FIJO_INFRAESCTRUCTURA_CONSULTAS_PARAMETROS_TIPOS_CONJUNTOS</v>
      </c>
      <c r="G81" s="2" t="str">
        <f>CLEAN(PROPER(Tabla_Activo_Fijo[[#This Row],[Nombre Opción]]))</f>
        <v>Tipos De Conjuntos</v>
      </c>
      <c r="H81" s="2" t="s">
        <v>1735</v>
      </c>
      <c r="I81" s="2" t="str">
        <f>_xlfn.XLOOKUP(Tabla_Activo_Fijo[[#This Row],[id_padre]],Tabla_Activo_Fijo[Id],Tabla_Activo_Fijo[Codigo_Tecnico],"",0,1)</f>
        <v>ACTIVO_FIJO_INFRAESCTRUCTURA_CONSULTAS_PARAMETROS</v>
      </c>
      <c r="J8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/activo-fijo-infraesctructura/consultas/parametros/tipos-conjuntos</v>
      </c>
      <c r="K8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tipos-conjuntos</v>
      </c>
      <c r="L81" s="6" t="s">
        <v>1418</v>
      </c>
      <c r="M81" s="2" t="s">
        <v>1793</v>
      </c>
      <c r="N81" s="4" t="s">
        <v>360</v>
      </c>
      <c r="O81" s="4" t="s">
        <v>360</v>
      </c>
      <c r="P81" s="4" t="s">
        <v>360</v>
      </c>
      <c r="Q81" s="4" t="s">
        <v>360</v>
      </c>
      <c r="R81" s="4" t="s">
        <v>360</v>
      </c>
      <c r="S81" s="4" t="s">
        <v>360</v>
      </c>
      <c r="T81" s="4" t="s">
        <v>360</v>
      </c>
      <c r="U81" s="2" t="str">
        <f>IF(Tabla_Activo_Fijo[[#This Row],[id_padre]]=Tabla_Activo_Fijo[[#This Row],[Id]],"NOK","OK")</f>
        <v>OK</v>
      </c>
    </row>
    <row r="82" spans="1:21" hidden="1" x14ac:dyDescent="0.5">
      <c r="A82" s="2">
        <f>MAX(Tabla_VME[Id])</f>
        <v>1377</v>
      </c>
      <c r="B82">
        <v>1442</v>
      </c>
      <c r="C82" s="5">
        <f>IF(Tabla_Activo_Fijo[[#This Row],[id_padre]]="",0,_xlfn.XLOOKUP(Tabla_Activo_Fijo[[#This Row],[id_padre]],Tabla_Activo_Fijo[Id],Tabla_Activo_Fijo[Nivel],0,0,1)+1)</f>
        <v>3</v>
      </c>
      <c r="D82" s="2" t="s">
        <v>454</v>
      </c>
      <c r="E82">
        <f>IF(Tabla_Activo_Fijo[[#This Row],[Id_anterior]]=1,ROW()-1,SUM(ROW()-1,Tabla_Activo_Fijo[[#This Row],[Id_anterior]]))</f>
        <v>1458</v>
      </c>
      <c r="F8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ACTIVO_FIJO_INFRAESCTRUCTURA_CONSULTAS_PARAMETROS_TIPOS_DOCUMENTOS</v>
      </c>
      <c r="G82" s="2" t="str">
        <f>CLEAN(PROPER(Tabla_Activo_Fijo[[#This Row],[Nombre Opción]]))</f>
        <v>Tipos De Documentos</v>
      </c>
      <c r="H82" s="2" t="s">
        <v>1735</v>
      </c>
      <c r="I82" s="2" t="str">
        <f>_xlfn.XLOOKUP(Tabla_Activo_Fijo[[#This Row],[id_padre]],Tabla_Activo_Fijo[Id],Tabla_Activo_Fijo[Codigo_Tecnico],"",0,1)</f>
        <v>ACTIVO_FIJO_INFRAESCTRUCTURA_CONSULTAS_PARAMETROS</v>
      </c>
      <c r="J8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/activo-fijo-infraesctructura/consultas/parametros/tipos-documentos</v>
      </c>
      <c r="K8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tipos-documentos</v>
      </c>
      <c r="L82" s="6" t="s">
        <v>1343</v>
      </c>
      <c r="M82" s="2" t="s">
        <v>1793</v>
      </c>
      <c r="N82" s="4" t="s">
        <v>360</v>
      </c>
      <c r="O82" s="4" t="s">
        <v>360</v>
      </c>
      <c r="P82" s="4" t="s">
        <v>360</v>
      </c>
      <c r="Q82" s="4" t="s">
        <v>360</v>
      </c>
      <c r="R82" s="4" t="s">
        <v>360</v>
      </c>
      <c r="S82" s="4" t="s">
        <v>360</v>
      </c>
      <c r="T82" s="4" t="s">
        <v>360</v>
      </c>
      <c r="U82" s="2" t="str">
        <f>IF(Tabla_Activo_Fijo[[#This Row],[id_padre]]=Tabla_Activo_Fijo[[#This Row],[Id]],"NOK","OK")</f>
        <v>OK</v>
      </c>
    </row>
    <row r="83" spans="1:21" hidden="1" x14ac:dyDescent="0.5">
      <c r="A83" s="2">
        <f>MAX(Tabla_VME[Id])</f>
        <v>1377</v>
      </c>
      <c r="B83">
        <v>1442</v>
      </c>
      <c r="C83" s="5">
        <f>IF(Tabla_Activo_Fijo[[#This Row],[id_padre]]="",0,_xlfn.XLOOKUP(Tabla_Activo_Fijo[[#This Row],[id_padre]],Tabla_Activo_Fijo[Id],Tabla_Activo_Fijo[Nivel],0,0,1)+1)</f>
        <v>3</v>
      </c>
      <c r="D83" s="2" t="s">
        <v>1200</v>
      </c>
      <c r="E83">
        <f>IF(Tabla_Activo_Fijo[[#This Row],[Id_anterior]]=1,ROW()-1,SUM(ROW()-1,Tabla_Activo_Fijo[[#This Row],[Id_anterior]]))</f>
        <v>1459</v>
      </c>
      <c r="F8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ACTIVO_FIJO_INFRAESCTRUCTURA_CONSULTAS_PARAMETROS_TIPOS_EDIFICACION</v>
      </c>
      <c r="G83" s="2" t="str">
        <f>CLEAN(PROPER(Tabla_Activo_Fijo[[#This Row],[Nombre Opción]]))</f>
        <v>Tipos De Edificacion</v>
      </c>
      <c r="H83" s="2" t="s">
        <v>1735</v>
      </c>
      <c r="I83" s="2" t="str">
        <f>_xlfn.XLOOKUP(Tabla_Activo_Fijo[[#This Row],[id_padre]],Tabla_Activo_Fijo[Id],Tabla_Activo_Fijo[Codigo_Tecnico],"",0,1)</f>
        <v>ACTIVO_FIJO_INFRAESCTRUCTURA_CONSULTAS_PARAMETROS</v>
      </c>
      <c r="J8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/activo-fijo-infraesctructura/consultas/parametros/tipos-edificacion</v>
      </c>
      <c r="K8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tipos-edificacion</v>
      </c>
      <c r="L83" s="6" t="s">
        <v>1341</v>
      </c>
      <c r="M83" s="2" t="s">
        <v>1793</v>
      </c>
      <c r="N83" s="4" t="s">
        <v>360</v>
      </c>
      <c r="O83" s="4" t="s">
        <v>360</v>
      </c>
      <c r="P83" s="4" t="s">
        <v>360</v>
      </c>
      <c r="Q83" s="4" t="s">
        <v>360</v>
      </c>
      <c r="R83" s="4" t="s">
        <v>360</v>
      </c>
      <c r="S83" s="4" t="s">
        <v>360</v>
      </c>
      <c r="T83" s="4" t="s">
        <v>360</v>
      </c>
      <c r="U83" s="2" t="str">
        <f>IF(Tabla_Activo_Fijo[[#This Row],[id_padre]]=Tabla_Activo_Fijo[[#This Row],[Id]],"NOK","OK")</f>
        <v>OK</v>
      </c>
    </row>
    <row r="84" spans="1:21" hidden="1" x14ac:dyDescent="0.5">
      <c r="A84" s="2">
        <f>MAX(Tabla_VME[Id])</f>
        <v>1377</v>
      </c>
      <c r="B84">
        <v>1442</v>
      </c>
      <c r="C84" s="5">
        <f>IF(Tabla_Activo_Fijo[[#This Row],[id_padre]]="",0,_xlfn.XLOOKUP(Tabla_Activo_Fijo[[#This Row],[id_padre]],Tabla_Activo_Fijo[Id],Tabla_Activo_Fijo[Nivel],0,0,1)+1)</f>
        <v>3</v>
      </c>
      <c r="D84" s="2" t="s">
        <v>1201</v>
      </c>
      <c r="E84">
        <f>IF(Tabla_Activo_Fijo[[#This Row],[Id_anterior]]=1,ROW()-1,SUM(ROW()-1,Tabla_Activo_Fijo[[#This Row],[Id_anterior]]))</f>
        <v>1460</v>
      </c>
      <c r="F8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ACTIVO_FIJO_INFRAESCTRUCTURA_CONSULTAS_PARAMETROS_TIPOS_EDIFICACION_FINANZAS</v>
      </c>
      <c r="G84" s="2" t="str">
        <f>CLEAN(PROPER(Tabla_Activo_Fijo[[#This Row],[Nombre Opción]]))</f>
        <v>Tipos De Edificacion Finanzas</v>
      </c>
      <c r="H84" s="2" t="s">
        <v>1735</v>
      </c>
      <c r="I84" s="2" t="str">
        <f>_xlfn.XLOOKUP(Tabla_Activo_Fijo[[#This Row],[id_padre]],Tabla_Activo_Fijo[Id],Tabla_Activo_Fijo[Codigo_Tecnico],"",0,1)</f>
        <v>ACTIVO_FIJO_INFRAESCTRUCTURA_CONSULTAS_PARAMETROS</v>
      </c>
      <c r="J8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/activo-fijo-infraesctructura/consultas/parametros/tipos-edificacion-finanzas</v>
      </c>
      <c r="K8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tipos-edificacion-finanzas</v>
      </c>
      <c r="L84" s="6" t="s">
        <v>1344</v>
      </c>
      <c r="M84" s="2" t="s">
        <v>1793</v>
      </c>
      <c r="N84" s="4" t="s">
        <v>360</v>
      </c>
      <c r="O84" s="4" t="s">
        <v>360</v>
      </c>
      <c r="P84" s="4" t="s">
        <v>360</v>
      </c>
      <c r="Q84" s="4" t="s">
        <v>360</v>
      </c>
      <c r="R84" s="4" t="s">
        <v>360</v>
      </c>
      <c r="S84" s="4" t="s">
        <v>360</v>
      </c>
      <c r="T84" s="4" t="s">
        <v>360</v>
      </c>
      <c r="U84" s="2" t="str">
        <f>IF(Tabla_Activo_Fijo[[#This Row],[id_padre]]=Tabla_Activo_Fijo[[#This Row],[Id]],"NOK","OK")</f>
        <v>OK</v>
      </c>
    </row>
    <row r="85" spans="1:21" hidden="1" x14ac:dyDescent="0.5">
      <c r="A85" s="2">
        <f>MAX(Tabla_VME[Id])</f>
        <v>1377</v>
      </c>
      <c r="B85">
        <v>1442</v>
      </c>
      <c r="C85" s="5">
        <f>IF(Tabla_Activo_Fijo[[#This Row],[id_padre]]="",0,_xlfn.XLOOKUP(Tabla_Activo_Fijo[[#This Row],[id_padre]],Tabla_Activo_Fijo[Id],Tabla_Activo_Fijo[Nivel],0,0,1)+1)</f>
        <v>3</v>
      </c>
      <c r="D85" s="2" t="s">
        <v>1202</v>
      </c>
      <c r="E85">
        <f>IF(Tabla_Activo_Fijo[[#This Row],[Id_anterior]]=1,ROW()-1,SUM(ROW()-1,Tabla_Activo_Fijo[[#This Row],[Id_anterior]]))</f>
        <v>1461</v>
      </c>
      <c r="F8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ACTIVO_FIJO_INFRAESCTRUCTURA_CONSULTAS_PARAMETROS_TIPOS_INMUEBLES</v>
      </c>
      <c r="G85" s="2" t="str">
        <f>CLEAN(PROPER(Tabla_Activo_Fijo[[#This Row],[Nombre Opción]]))</f>
        <v>Tipos De Inmuebles</v>
      </c>
      <c r="H85" s="2" t="s">
        <v>1735</v>
      </c>
      <c r="I85" s="2" t="str">
        <f>_xlfn.XLOOKUP(Tabla_Activo_Fijo[[#This Row],[id_padre]],Tabla_Activo_Fijo[Id],Tabla_Activo_Fijo[Codigo_Tecnico],"",0,1)</f>
        <v>ACTIVO_FIJO_INFRAESCTRUCTURA_CONSULTAS_PARAMETROS</v>
      </c>
      <c r="J8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/activo-fijo-infraesctructura/consultas/parametros/tipos-inmuebles</v>
      </c>
      <c r="K8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tipos-inmuebles</v>
      </c>
      <c r="L85" s="6" t="s">
        <v>1655</v>
      </c>
      <c r="M85" s="2" t="s">
        <v>1793</v>
      </c>
      <c r="N85" s="4" t="s">
        <v>360</v>
      </c>
      <c r="O85" s="4" t="s">
        <v>360</v>
      </c>
      <c r="P85" s="4" t="s">
        <v>360</v>
      </c>
      <c r="Q85" s="4" t="s">
        <v>360</v>
      </c>
      <c r="R85" s="4" t="s">
        <v>360</v>
      </c>
      <c r="S85" s="4" t="s">
        <v>360</v>
      </c>
      <c r="T85" s="4" t="s">
        <v>360</v>
      </c>
      <c r="U85" s="2" t="str">
        <f>IF(Tabla_Activo_Fijo[[#This Row],[id_padre]]=Tabla_Activo_Fijo[[#This Row],[Id]],"NOK","OK")</f>
        <v>OK</v>
      </c>
    </row>
    <row r="86" spans="1:21" hidden="1" x14ac:dyDescent="0.5">
      <c r="A86" s="2">
        <f>MAX(Tabla_VME[Id])</f>
        <v>1377</v>
      </c>
      <c r="B86">
        <v>1442</v>
      </c>
      <c r="C86" s="5">
        <f>IF(Tabla_Activo_Fijo[[#This Row],[id_padre]]="",0,_xlfn.XLOOKUP(Tabla_Activo_Fijo[[#This Row],[id_padre]],Tabla_Activo_Fijo[Id],Tabla_Activo_Fijo[Nivel],0,0,1)+1)</f>
        <v>3</v>
      </c>
      <c r="D86" s="2" t="s">
        <v>1203</v>
      </c>
      <c r="E86">
        <f>IF(Tabla_Activo_Fijo[[#This Row],[Id_anterior]]=1,ROW()-1,SUM(ROW()-1,Tabla_Activo_Fijo[[#This Row],[Id_anterior]]))</f>
        <v>1462</v>
      </c>
      <c r="F8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ACTIVO_FIJO_INFRAESCTRUCTURA_CONSULTAS_PARAMETROS_TIPOS_INSTALACIONES</v>
      </c>
      <c r="G86" s="2" t="str">
        <f>CLEAN(PROPER(Tabla_Activo_Fijo[[#This Row],[Nombre Opción]]))</f>
        <v>Tipos De Instalaciones</v>
      </c>
      <c r="H86" s="2" t="s">
        <v>1735</v>
      </c>
      <c r="I86" s="2" t="str">
        <f>_xlfn.XLOOKUP(Tabla_Activo_Fijo[[#This Row],[id_padre]],Tabla_Activo_Fijo[Id],Tabla_Activo_Fijo[Codigo_Tecnico],"",0,1)</f>
        <v>ACTIVO_FIJO_INFRAESCTRUCTURA_CONSULTAS_PARAMETROS</v>
      </c>
      <c r="J8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/activo-fijo-infraesctructura/consultas/parametros/tipos-instalaciones</v>
      </c>
      <c r="K8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tipos-instalaciones</v>
      </c>
      <c r="L86" s="6" t="s">
        <v>1554</v>
      </c>
      <c r="M86" s="2" t="s">
        <v>1793</v>
      </c>
      <c r="N86" s="4" t="s">
        <v>360</v>
      </c>
      <c r="O86" s="4" t="s">
        <v>360</v>
      </c>
      <c r="P86" s="4" t="s">
        <v>360</v>
      </c>
      <c r="Q86" s="4" t="s">
        <v>360</v>
      </c>
      <c r="R86" s="4" t="s">
        <v>360</v>
      </c>
      <c r="S86" s="4" t="s">
        <v>360</v>
      </c>
      <c r="T86" s="4" t="s">
        <v>360</v>
      </c>
      <c r="U86" s="2" t="str">
        <f>IF(Tabla_Activo_Fijo[[#This Row],[id_padre]]=Tabla_Activo_Fijo[[#This Row],[Id]],"NOK","OK")</f>
        <v>OK</v>
      </c>
    </row>
    <row r="87" spans="1:21" hidden="1" x14ac:dyDescent="0.5">
      <c r="A87" s="2">
        <f>MAX(Tabla_VME[Id])</f>
        <v>1377</v>
      </c>
      <c r="B87">
        <v>1442</v>
      </c>
      <c r="C87" s="5">
        <f>IF(Tabla_Activo_Fijo[[#This Row],[id_padre]]="",0,_xlfn.XLOOKUP(Tabla_Activo_Fijo[[#This Row],[id_padre]],Tabla_Activo_Fijo[Id],Tabla_Activo_Fijo[Nivel],0,0,1)+1)</f>
        <v>3</v>
      </c>
      <c r="D87" s="2" t="s">
        <v>1204</v>
      </c>
      <c r="E87">
        <f>IF(Tabla_Activo_Fijo[[#This Row],[Id_anterior]]=1,ROW()-1,SUM(ROW()-1,Tabla_Activo_Fijo[[#This Row],[Id_anterior]]))</f>
        <v>1463</v>
      </c>
      <c r="F8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ACTIVO_FIJO_INFRAESCTRUCTURA_CONSULTAS_PARAMETROS_TIPOS_LEGALIDAD</v>
      </c>
      <c r="G87" s="2" t="str">
        <f>CLEAN(PROPER(Tabla_Activo_Fijo[[#This Row],[Nombre Opción]]))</f>
        <v>Tipos De Legalidad</v>
      </c>
      <c r="H87" s="2" t="s">
        <v>1735</v>
      </c>
      <c r="I87" s="2" t="str">
        <f>_xlfn.XLOOKUP(Tabla_Activo_Fijo[[#This Row],[id_padre]],Tabla_Activo_Fijo[Id],Tabla_Activo_Fijo[Codigo_Tecnico],"",0,1)</f>
        <v>ACTIVO_FIJO_INFRAESCTRUCTURA_CONSULTAS_PARAMETROS</v>
      </c>
      <c r="J8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/activo-fijo-infraesctructura/consultas/parametros/tipos-legalidad</v>
      </c>
      <c r="K8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tipos-legalidad</v>
      </c>
      <c r="L87" s="6" t="s">
        <v>1457</v>
      </c>
      <c r="M87" s="2" t="s">
        <v>1793</v>
      </c>
      <c r="N87" s="4" t="s">
        <v>360</v>
      </c>
      <c r="O87" s="4" t="s">
        <v>360</v>
      </c>
      <c r="P87" s="4" t="s">
        <v>360</v>
      </c>
      <c r="Q87" s="4" t="s">
        <v>360</v>
      </c>
      <c r="R87" s="4" t="s">
        <v>360</v>
      </c>
      <c r="S87" s="4" t="s">
        <v>360</v>
      </c>
      <c r="T87" s="4" t="s">
        <v>360</v>
      </c>
      <c r="U87" s="2" t="str">
        <f>IF(Tabla_Activo_Fijo[[#This Row],[id_padre]]=Tabla_Activo_Fijo[[#This Row],[Id]],"NOK","OK")</f>
        <v>OK</v>
      </c>
    </row>
    <row r="88" spans="1:21" hidden="1" x14ac:dyDescent="0.5">
      <c r="A88" s="2">
        <f>MAX(Tabla_VME[Id])</f>
        <v>1377</v>
      </c>
      <c r="B88">
        <v>1442</v>
      </c>
      <c r="C88" s="5">
        <f>IF(Tabla_Activo_Fijo[[#This Row],[id_padre]]="",0,_xlfn.XLOOKUP(Tabla_Activo_Fijo[[#This Row],[id_padre]],Tabla_Activo_Fijo[Id],Tabla_Activo_Fijo[Nivel],0,0,1)+1)</f>
        <v>3</v>
      </c>
      <c r="D88" s="2" t="s">
        <v>1205</v>
      </c>
      <c r="E88">
        <f>IF(Tabla_Activo_Fijo[[#This Row],[Id_anterior]]=1,ROW()-1,SUM(ROW()-1,Tabla_Activo_Fijo[[#This Row],[Id_anterior]]))</f>
        <v>1464</v>
      </c>
      <c r="F8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ACTIVO_FIJO_INFRAESCTRUCTURA_CONSULTAS_PARAMETROS_TIPOS_MATERIALES</v>
      </c>
      <c r="G88" s="2" t="str">
        <f>CLEAN(PROPER(Tabla_Activo_Fijo[[#This Row],[Nombre Opción]]))</f>
        <v>Tipos De Materiales</v>
      </c>
      <c r="H88" s="2" t="s">
        <v>1735</v>
      </c>
      <c r="I88" s="2" t="str">
        <f>_xlfn.XLOOKUP(Tabla_Activo_Fijo[[#This Row],[id_padre]],Tabla_Activo_Fijo[Id],Tabla_Activo_Fijo[Codigo_Tecnico],"",0,1)</f>
        <v>ACTIVO_FIJO_INFRAESCTRUCTURA_CONSULTAS_PARAMETROS</v>
      </c>
      <c r="J8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/activo-fijo-infraesctructura/consultas/parametros/tipos-materiales</v>
      </c>
      <c r="K8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tipos-materiales</v>
      </c>
      <c r="L88" s="6" t="s">
        <v>1656</v>
      </c>
      <c r="M88" s="2" t="s">
        <v>1793</v>
      </c>
      <c r="N88" s="4" t="s">
        <v>360</v>
      </c>
      <c r="O88" s="4" t="s">
        <v>360</v>
      </c>
      <c r="P88" s="4" t="s">
        <v>360</v>
      </c>
      <c r="Q88" s="4" t="s">
        <v>360</v>
      </c>
      <c r="R88" s="4" t="s">
        <v>360</v>
      </c>
      <c r="S88" s="4" t="s">
        <v>360</v>
      </c>
      <c r="T88" s="4" t="s">
        <v>360</v>
      </c>
      <c r="U88" s="2" t="str">
        <f>IF(Tabla_Activo_Fijo[[#This Row],[id_padre]]=Tabla_Activo_Fijo[[#This Row],[Id]],"NOK","OK")</f>
        <v>OK</v>
      </c>
    </row>
    <row r="89" spans="1:21" hidden="1" x14ac:dyDescent="0.5">
      <c r="A89" s="2">
        <f>MAX(Tabla_VME[Id])</f>
        <v>1377</v>
      </c>
      <c r="B89">
        <v>1442</v>
      </c>
      <c r="C89" s="5">
        <f>IF(Tabla_Activo_Fijo[[#This Row],[id_padre]]="",0,_xlfn.XLOOKUP(Tabla_Activo_Fijo[[#This Row],[id_padre]],Tabla_Activo_Fijo[Id],Tabla_Activo_Fijo[Nivel],0,0,1)+1)</f>
        <v>3</v>
      </c>
      <c r="D89" s="2" t="s">
        <v>1206</v>
      </c>
      <c r="E89">
        <f>IF(Tabla_Activo_Fijo[[#This Row],[Id_anterior]]=1,ROW()-1,SUM(ROW()-1,Tabla_Activo_Fijo[[#This Row],[Id_anterior]]))</f>
        <v>1465</v>
      </c>
      <c r="F8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ACTIVO_FIJO_INFRAESCTRUCTURA_CONSULTAS_PARAMETROS_TIPOS_USO_ESPECIFICO</v>
      </c>
      <c r="G89" s="2" t="str">
        <f>CLEAN(PROPER(Tabla_Activo_Fijo[[#This Row],[Nombre Opción]]))</f>
        <v>Tipos De Uso Especifico</v>
      </c>
      <c r="H89" s="2" t="s">
        <v>1735</v>
      </c>
      <c r="I89" s="2" t="str">
        <f>_xlfn.XLOOKUP(Tabla_Activo_Fijo[[#This Row],[id_padre]],Tabla_Activo_Fijo[Id],Tabla_Activo_Fijo[Codigo_Tecnico],"",0,1)</f>
        <v>ACTIVO_FIJO_INFRAESCTRUCTURA_CONSULTAS_PARAMETROS</v>
      </c>
      <c r="J8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/activo-fijo-infraesctructura/consultas/parametros/tipos-uso-especifico</v>
      </c>
      <c r="K8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tipos-uso-especifico</v>
      </c>
      <c r="L89" s="6" t="s">
        <v>1657</v>
      </c>
      <c r="M89" s="2" t="s">
        <v>1793</v>
      </c>
      <c r="N89" s="4" t="s">
        <v>360</v>
      </c>
      <c r="O89" s="4" t="s">
        <v>360</v>
      </c>
      <c r="P89" s="4" t="s">
        <v>360</v>
      </c>
      <c r="Q89" s="4" t="s">
        <v>360</v>
      </c>
      <c r="R89" s="4" t="s">
        <v>360</v>
      </c>
      <c r="S89" s="4" t="s">
        <v>360</v>
      </c>
      <c r="T89" s="4" t="s">
        <v>360</v>
      </c>
      <c r="U89" s="2" t="str">
        <f>IF(Tabla_Activo_Fijo[[#This Row],[id_padre]]=Tabla_Activo_Fijo[[#This Row],[Id]],"NOK","OK")</f>
        <v>OK</v>
      </c>
    </row>
    <row r="90" spans="1:21" hidden="1" x14ac:dyDescent="0.5">
      <c r="A90" s="2">
        <f>MAX(Tabla_VME[Id])</f>
        <v>1377</v>
      </c>
      <c r="B90">
        <v>1442</v>
      </c>
      <c r="C90" s="5">
        <f>IF(Tabla_Activo_Fijo[[#This Row],[id_padre]]="",0,_xlfn.XLOOKUP(Tabla_Activo_Fijo[[#This Row],[id_padre]],Tabla_Activo_Fijo[Id],Tabla_Activo_Fijo[Nivel],0,0,1)+1)</f>
        <v>3</v>
      </c>
      <c r="D90" s="2" t="s">
        <v>1207</v>
      </c>
      <c r="E90">
        <f>IF(Tabla_Activo_Fijo[[#This Row],[Id_anterior]]=1,ROW()-1,SUM(ROW()-1,Tabla_Activo_Fijo[[#This Row],[Id_anterior]]))</f>
        <v>1466</v>
      </c>
      <c r="F9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ACTIVO_FIJO_INFRAESCTRUCTURA_CONSULTAS_PARAMETROS_TIPOS_USO_GENERAL</v>
      </c>
      <c r="G90" s="2" t="str">
        <f>CLEAN(PROPER(Tabla_Activo_Fijo[[#This Row],[Nombre Opción]]))</f>
        <v>Tipos De Uso General</v>
      </c>
      <c r="H90" s="2" t="s">
        <v>1735</v>
      </c>
      <c r="I90" s="2" t="str">
        <f>_xlfn.XLOOKUP(Tabla_Activo_Fijo[[#This Row],[id_padre]],Tabla_Activo_Fijo[Id],Tabla_Activo_Fijo[Codigo_Tecnico],"",0,1)</f>
        <v>ACTIVO_FIJO_INFRAESCTRUCTURA_CONSULTAS_PARAMETROS</v>
      </c>
      <c r="J9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/activo-fijo-infraesctructura/consultas/parametros/tipos-uso-general</v>
      </c>
      <c r="K9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tipos-uso-general</v>
      </c>
      <c r="L90" s="6" t="s">
        <v>1658</v>
      </c>
      <c r="M90" s="2" t="s">
        <v>1793</v>
      </c>
      <c r="N90" s="4" t="s">
        <v>360</v>
      </c>
      <c r="O90" s="4" t="s">
        <v>360</v>
      </c>
      <c r="P90" s="4" t="s">
        <v>360</v>
      </c>
      <c r="Q90" s="4" t="s">
        <v>360</v>
      </c>
      <c r="R90" s="4" t="s">
        <v>360</v>
      </c>
      <c r="S90" s="4" t="s">
        <v>360</v>
      </c>
      <c r="T90" s="4" t="s">
        <v>360</v>
      </c>
      <c r="U90" s="2" t="str">
        <f>IF(Tabla_Activo_Fijo[[#This Row],[id_padre]]=Tabla_Activo_Fijo[[#This Row],[Id]],"NOK","OK")</f>
        <v>OK</v>
      </c>
    </row>
    <row r="91" spans="1:21" hidden="1" x14ac:dyDescent="0.5">
      <c r="A91" s="2">
        <f>MAX(Tabla_VME[Id])</f>
        <v>1377</v>
      </c>
      <c r="B91">
        <v>1381</v>
      </c>
      <c r="C91" s="5">
        <f>IF(Tabla_Activo_Fijo[[#This Row],[id_padre]]="",0,_xlfn.XLOOKUP(Tabla_Activo_Fijo[[#This Row],[id_padre]],Tabla_Activo_Fijo[Id],Tabla_Activo_Fijo[Nivel],0,0,1)+1)</f>
        <v>2</v>
      </c>
      <c r="D91" s="2" t="s">
        <v>1219</v>
      </c>
      <c r="E91">
        <f>IF(Tabla_Activo_Fijo[[#This Row],[Id_anterior]]=1,ROW()-1,SUM(ROW()-1,Tabla_Activo_Fijo[[#This Row],[Id_anterior]]))</f>
        <v>1467</v>
      </c>
      <c r="F9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ACTIVO_FIJO_INFRAESCTRUCTURA_CONSULTAS_FICHA_TERRENO_ESPECIFICO</v>
      </c>
      <c r="G91" s="2" t="str">
        <f>CLEAN(PROPER(Tabla_Activo_Fijo[[#This Row],[Nombre Opción]]))</f>
        <v>Ficha Terreno Especifico</v>
      </c>
      <c r="H91" s="2" t="s">
        <v>1735</v>
      </c>
      <c r="I91" s="2" t="str">
        <f>_xlfn.XLOOKUP(Tabla_Activo_Fijo[[#This Row],[id_padre]],Tabla_Activo_Fijo[Id],Tabla_Activo_Fijo[Codigo_Tecnico],"",0,1)</f>
        <v>ACTIVO_FIJO_INFRAESCTRUCTURA_CONSULTAS</v>
      </c>
      <c r="J9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/activo-fijo-infraesctructura/consultas/ficha-terreno-especifico</v>
      </c>
      <c r="K9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ficha-terreno-especifico</v>
      </c>
      <c r="L91" s="6" t="s">
        <v>1653</v>
      </c>
      <c r="M91" s="2" t="s">
        <v>1793</v>
      </c>
      <c r="N91" s="4" t="s">
        <v>360</v>
      </c>
      <c r="O91" s="4" t="s">
        <v>360</v>
      </c>
      <c r="P91" s="4" t="s">
        <v>360</v>
      </c>
      <c r="Q91" s="4" t="s">
        <v>360</v>
      </c>
      <c r="R91" s="4" t="s">
        <v>360</v>
      </c>
      <c r="S91" s="4" t="s">
        <v>360</v>
      </c>
      <c r="T91" s="4" t="s">
        <v>360</v>
      </c>
      <c r="U91" s="2" t="str">
        <f>IF(Tabla_Activo_Fijo[[#This Row],[id_padre]]=Tabla_Activo_Fijo[[#This Row],[Id]],"NOK","OK")</f>
        <v>OK</v>
      </c>
    </row>
    <row r="92" spans="1:21" hidden="1" x14ac:dyDescent="0.5">
      <c r="A92" s="2">
        <f>MAX(Tabla_VME[Id])</f>
        <v>1377</v>
      </c>
      <c r="B92">
        <v>1381</v>
      </c>
      <c r="C92" s="5">
        <f>IF(Tabla_Activo_Fijo[[#This Row],[id_padre]]="",0,_xlfn.XLOOKUP(Tabla_Activo_Fijo[[#This Row],[id_padre]],Tabla_Activo_Fijo[Id],Tabla_Activo_Fijo[Nivel],0,0,1)+1)</f>
        <v>2</v>
      </c>
      <c r="D92" s="2" t="s">
        <v>1220</v>
      </c>
      <c r="E92">
        <f>IF(Tabla_Activo_Fijo[[#This Row],[Id_anterior]]=1,ROW()-1,SUM(ROW()-1,Tabla_Activo_Fijo[[#This Row],[Id_anterior]]))</f>
        <v>1468</v>
      </c>
      <c r="F9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ACTIVO_FIJO_INFRAESCTRUCTURA_CONSULTAS_RELACION_TERRENOS_POR_JURISDICCION</v>
      </c>
      <c r="G92" s="2" t="str">
        <f>CLEAN(PROPER(Tabla_Activo_Fijo[[#This Row],[Nombre Opción]]))</f>
        <v>Relacion De Terrenos Por Jurisdiccion</v>
      </c>
      <c r="H92" s="2" t="s">
        <v>1735</v>
      </c>
      <c r="I92" s="2" t="str">
        <f>_xlfn.XLOOKUP(Tabla_Activo_Fijo[[#This Row],[id_padre]],Tabla_Activo_Fijo[Id],Tabla_Activo_Fijo[Codigo_Tecnico],"",0,1)</f>
        <v>ACTIVO_FIJO_INFRAESCTRUCTURA_CONSULTAS</v>
      </c>
      <c r="J9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/activo-fijo-infraesctructura/consultas/relacion-terrenos-por-jurisdiccion</v>
      </c>
      <c r="K9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relacion-terrenos-por-jurisdiccion</v>
      </c>
      <c r="L92" s="6" t="s">
        <v>1367</v>
      </c>
      <c r="M92" s="2" t="s">
        <v>1793</v>
      </c>
      <c r="N92" s="4" t="s">
        <v>360</v>
      </c>
      <c r="O92" s="4" t="s">
        <v>360</v>
      </c>
      <c r="P92" s="4" t="s">
        <v>360</v>
      </c>
      <c r="Q92" s="4" t="s">
        <v>360</v>
      </c>
      <c r="R92" s="4" t="s">
        <v>360</v>
      </c>
      <c r="S92" s="4" t="s">
        <v>360</v>
      </c>
      <c r="T92" s="4" t="s">
        <v>360</v>
      </c>
      <c r="U92" s="2" t="str">
        <f>IF(Tabla_Activo_Fijo[[#This Row],[id_padre]]=Tabla_Activo_Fijo[[#This Row],[Id]],"NOK","OK")</f>
        <v>OK</v>
      </c>
    </row>
    <row r="93" spans="1:21" hidden="1" x14ac:dyDescent="0.5">
      <c r="A93" s="2">
        <f>MAX(Tabla_VME[Id])</f>
        <v>1377</v>
      </c>
      <c r="B93">
        <v>1381</v>
      </c>
      <c r="C93" s="5">
        <f>IF(Tabla_Activo_Fijo[[#This Row],[id_padre]]="",0,_xlfn.XLOOKUP(Tabla_Activo_Fijo[[#This Row],[id_padre]],Tabla_Activo_Fijo[Id],Tabla_Activo_Fijo[Nivel],0,0,1)+1)</f>
        <v>2</v>
      </c>
      <c r="D93" s="2" t="s">
        <v>1221</v>
      </c>
      <c r="E93">
        <f>IF(Tabla_Activo_Fijo[[#This Row],[Id_anterior]]=1,ROW()-1,SUM(ROW()-1,Tabla_Activo_Fijo[[#This Row],[Id_anterior]]))</f>
        <v>1469</v>
      </c>
      <c r="F9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ACTIVO_FIJO_INFRAESCTRUCTURA_CONSULTAS_RELACION_TERRENOS_POR_UNIDAD_CONSOLIDADORA</v>
      </c>
      <c r="G93" s="2" t="str">
        <f>CLEAN(PROPER(Tabla_Activo_Fijo[[#This Row],[Nombre Opción]]))</f>
        <v>Relacion De Terrenos Por Unidad Consolidadora</v>
      </c>
      <c r="H93" s="2" t="s">
        <v>1735</v>
      </c>
      <c r="I93" s="2" t="str">
        <f>_xlfn.XLOOKUP(Tabla_Activo_Fijo[[#This Row],[id_padre]],Tabla_Activo_Fijo[Id],Tabla_Activo_Fijo[Codigo_Tecnico],"",0,1)</f>
        <v>ACTIVO_FIJO_INFRAESCTRUCTURA_CONSULTAS</v>
      </c>
      <c r="J9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/activo-fijo-infraesctructura/consultas/relacion-terrenos-por-unidad-consolidadora</v>
      </c>
      <c r="K9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relacion-terrenos-por-unidad-consolidadora</v>
      </c>
      <c r="L93" s="6" t="s">
        <v>1401</v>
      </c>
      <c r="M93" s="2" t="s">
        <v>1793</v>
      </c>
      <c r="N93" s="4" t="s">
        <v>360</v>
      </c>
      <c r="O93" s="4" t="s">
        <v>360</v>
      </c>
      <c r="P93" s="4" t="s">
        <v>360</v>
      </c>
      <c r="Q93" s="4" t="s">
        <v>360</v>
      </c>
      <c r="R93" s="4" t="s">
        <v>360</v>
      </c>
      <c r="S93" s="4" t="s">
        <v>360</v>
      </c>
      <c r="T93" s="4" t="s">
        <v>360</v>
      </c>
      <c r="U93" s="2" t="str">
        <f>IF(Tabla_Activo_Fijo[[#This Row],[id_padre]]=Tabla_Activo_Fijo[[#This Row],[Id]],"NOK","OK")</f>
        <v>OK</v>
      </c>
    </row>
    <row r="94" spans="1:21" hidden="1" x14ac:dyDescent="0.5">
      <c r="A94" s="2">
        <f>MAX(Tabla_VME[Id])</f>
        <v>1377</v>
      </c>
      <c r="B94">
        <v>1381</v>
      </c>
      <c r="C94" s="5">
        <f>IF(Tabla_Activo_Fijo[[#This Row],[id_padre]]="",0,_xlfn.XLOOKUP(Tabla_Activo_Fijo[[#This Row],[id_padre]],Tabla_Activo_Fijo[Id],Tabla_Activo_Fijo[Nivel],0,0,1)+1)</f>
        <v>2</v>
      </c>
      <c r="D94" s="2" t="s">
        <v>1222</v>
      </c>
      <c r="E94">
        <f>IF(Tabla_Activo_Fijo[[#This Row],[Id_anterior]]=1,ROW()-1,SUM(ROW()-1,Tabla_Activo_Fijo[[#This Row],[Id_anterior]]))</f>
        <v>1470</v>
      </c>
      <c r="F9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ACTIVO_FIJO_INFRAESCTRUCTURA_CONSULTAS_RELACION_TERRENOS_POR_UNIDAD_ORIGEN</v>
      </c>
      <c r="G94" s="2" t="str">
        <f>CLEAN(PROPER(Tabla_Activo_Fijo[[#This Row],[Nombre Opción]]))</f>
        <v>Relacion De Terrenos Por Unidad Origen</v>
      </c>
      <c r="H94" s="2" t="s">
        <v>1735</v>
      </c>
      <c r="I94" s="2" t="str">
        <f>_xlfn.XLOOKUP(Tabla_Activo_Fijo[[#This Row],[id_padre]],Tabla_Activo_Fijo[Id],Tabla_Activo_Fijo[Codigo_Tecnico],"",0,1)</f>
        <v>ACTIVO_FIJO_INFRAESCTRUCTURA_CONSULTAS</v>
      </c>
      <c r="J9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/activo-fijo-infraesctructura/consultas/relacion-terrenos-por-unidad-origen</v>
      </c>
      <c r="K9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relacion-terrenos-por-unidad-origen</v>
      </c>
      <c r="L94" s="6" t="s">
        <v>1341</v>
      </c>
      <c r="M94" s="2" t="s">
        <v>1793</v>
      </c>
      <c r="N94" s="4" t="s">
        <v>360</v>
      </c>
      <c r="O94" s="4" t="s">
        <v>360</v>
      </c>
      <c r="P94" s="4" t="s">
        <v>360</v>
      </c>
      <c r="Q94" s="4" t="s">
        <v>360</v>
      </c>
      <c r="R94" s="4" t="s">
        <v>360</v>
      </c>
      <c r="S94" s="4" t="s">
        <v>360</v>
      </c>
      <c r="T94" s="4" t="s">
        <v>360</v>
      </c>
      <c r="U94" s="2" t="str">
        <f>IF(Tabla_Activo_Fijo[[#This Row],[id_padre]]=Tabla_Activo_Fijo[[#This Row],[Id]],"NOK","OK")</f>
        <v>OK</v>
      </c>
    </row>
    <row r="95" spans="1:21" hidden="1" x14ac:dyDescent="0.5">
      <c r="A95" s="2">
        <f>MAX(Tabla_VME[Id])</f>
        <v>1377</v>
      </c>
      <c r="B95">
        <v>1381</v>
      </c>
      <c r="C95" s="5">
        <f>IF(Tabla_Activo_Fijo[[#This Row],[id_padre]]="",0,_xlfn.XLOOKUP(Tabla_Activo_Fijo[[#This Row],[id_padre]],Tabla_Activo_Fijo[Id],Tabla_Activo_Fijo[Nivel],0,0,1)+1)</f>
        <v>2</v>
      </c>
      <c r="D95" s="2" t="s">
        <v>1223</v>
      </c>
      <c r="E95">
        <f>IF(Tabla_Activo_Fijo[[#This Row],[Id_anterior]]=1,ROW()-1,SUM(ROW()-1,Tabla_Activo_Fijo[[#This Row],[Id_anterior]]))</f>
        <v>1471</v>
      </c>
      <c r="F9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ACTIVO_FIJO_INFRAESCTRUCTURA_CONSULTAS_RELACION_TERRENOS_POR_REGION</v>
      </c>
      <c r="G95" s="2" t="str">
        <f>CLEAN(PROPER(Tabla_Activo_Fijo[[#This Row],[Nombre Opción]]))</f>
        <v>Relacion De Terrenos Por Region</v>
      </c>
      <c r="H95" s="2" t="s">
        <v>1735</v>
      </c>
      <c r="I95" s="2" t="str">
        <f>_xlfn.XLOOKUP(Tabla_Activo_Fijo[[#This Row],[id_padre]],Tabla_Activo_Fijo[Id],Tabla_Activo_Fijo[Codigo_Tecnico],"",0,1)</f>
        <v>ACTIVO_FIJO_INFRAESCTRUCTURA_CONSULTAS</v>
      </c>
      <c r="J9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/activo-fijo-infraesctructura/consultas/relacion-terrenos-por-region</v>
      </c>
      <c r="K9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relacion-terrenos-por-region</v>
      </c>
      <c r="L95" s="6" t="s">
        <v>1402</v>
      </c>
      <c r="M95" s="2" t="s">
        <v>1793</v>
      </c>
      <c r="N95" s="4" t="s">
        <v>360</v>
      </c>
      <c r="O95" s="4" t="s">
        <v>360</v>
      </c>
      <c r="P95" s="4" t="s">
        <v>360</v>
      </c>
      <c r="Q95" s="4" t="s">
        <v>360</v>
      </c>
      <c r="R95" s="4" t="s">
        <v>360</v>
      </c>
      <c r="S95" s="4" t="s">
        <v>360</v>
      </c>
      <c r="T95" s="4" t="s">
        <v>360</v>
      </c>
      <c r="U95" s="2" t="str">
        <f>IF(Tabla_Activo_Fijo[[#This Row],[id_padre]]=Tabla_Activo_Fijo[[#This Row],[Id]],"NOK","OK")</f>
        <v>OK</v>
      </c>
    </row>
    <row r="96" spans="1:21" hidden="1" x14ac:dyDescent="0.5">
      <c r="A96" s="2">
        <f>MAX(Tabla_VME[Id])</f>
        <v>1377</v>
      </c>
      <c r="B96">
        <v>1381</v>
      </c>
      <c r="C96" s="5">
        <f>IF(Tabla_Activo_Fijo[[#This Row],[id_padre]]="",0,_xlfn.XLOOKUP(Tabla_Activo_Fijo[[#This Row],[id_padre]],Tabla_Activo_Fijo[Id],Tabla_Activo_Fijo[Nivel],0,0,1)+1)</f>
        <v>2</v>
      </c>
      <c r="D96" s="2" t="s">
        <v>1224</v>
      </c>
      <c r="E96">
        <f>IF(Tabla_Activo_Fijo[[#This Row],[Id_anterior]]=1,ROW()-1,SUM(ROW()-1,Tabla_Activo_Fijo[[#This Row],[Id_anterior]]))</f>
        <v>1472</v>
      </c>
      <c r="F9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ACTIVO_FIJO_INFRAESCTRUCTURA_CONSULTAS_RELACION_TERRENOS_VALORIZADOS</v>
      </c>
      <c r="G96" s="2" t="str">
        <f>CLEAN(PROPER(Tabla_Activo_Fijo[[#This Row],[Nombre Opción]]))</f>
        <v>Relacion De Terrenos Valorizados</v>
      </c>
      <c r="H96" s="2" t="s">
        <v>1735</v>
      </c>
      <c r="I96" s="2" t="str">
        <f>_xlfn.XLOOKUP(Tabla_Activo_Fijo[[#This Row],[id_padre]],Tabla_Activo_Fijo[Id],Tabla_Activo_Fijo[Codigo_Tecnico],"",0,1)</f>
        <v>ACTIVO_FIJO_INFRAESCTRUCTURA_CONSULTAS</v>
      </c>
      <c r="J9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/activo-fijo-infraesctructura/consultas/relacion-terrenos-valorizados</v>
      </c>
      <c r="K9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relacion-terrenos-valorizados</v>
      </c>
      <c r="L96" s="6" t="s">
        <v>1344</v>
      </c>
      <c r="M96" s="2" t="s">
        <v>1793</v>
      </c>
      <c r="N96" s="4" t="s">
        <v>360</v>
      </c>
      <c r="O96" s="4" t="s">
        <v>360</v>
      </c>
      <c r="P96" s="4" t="s">
        <v>360</v>
      </c>
      <c r="Q96" s="4" t="s">
        <v>360</v>
      </c>
      <c r="R96" s="4" t="s">
        <v>360</v>
      </c>
      <c r="S96" s="4" t="s">
        <v>360</v>
      </c>
      <c r="T96" s="4" t="s">
        <v>360</v>
      </c>
      <c r="U96" s="2" t="str">
        <f>IF(Tabla_Activo_Fijo[[#This Row],[id_padre]]=Tabla_Activo_Fijo[[#This Row],[Id]],"NOK","OK")</f>
        <v>OK</v>
      </c>
    </row>
    <row r="97" spans="1:21" hidden="1" x14ac:dyDescent="0.5">
      <c r="A97" s="2">
        <f>MAX(Tabla_VME[Id])</f>
        <v>1377</v>
      </c>
      <c r="B97">
        <v>1381</v>
      </c>
      <c r="C97" s="5">
        <f>IF(Tabla_Activo_Fijo[[#This Row],[id_padre]]="",0,_xlfn.XLOOKUP(Tabla_Activo_Fijo[[#This Row],[id_padre]],Tabla_Activo_Fijo[Id],Tabla_Activo_Fijo[Nivel],0,0,1)+1)</f>
        <v>2</v>
      </c>
      <c r="D97" s="2" t="s">
        <v>1662</v>
      </c>
      <c r="E97">
        <f>IF(Tabla_Activo_Fijo[[#This Row],[Id_anterior]]=1,ROW()-1,SUM(ROW()-1,Tabla_Activo_Fijo[[#This Row],[Id_anterior]]))</f>
        <v>1473</v>
      </c>
      <c r="F9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ACTIVO_FIJO_INFRAESCTRUCTURA_CONSULTAS_RELACION_ALTA_TERRENOS</v>
      </c>
      <c r="G97" s="2" t="str">
        <f>CLEAN(PROPER(Tabla_Activo_Fijo[[#This Row],[Nombre Opción]]))</f>
        <v>Relacion Alta De Terrenos</v>
      </c>
      <c r="H97" s="2" t="s">
        <v>1735</v>
      </c>
      <c r="I97" s="2" t="str">
        <f>_xlfn.XLOOKUP(Tabla_Activo_Fijo[[#This Row],[id_padre]],Tabla_Activo_Fijo[Id],Tabla_Activo_Fijo[Codigo_Tecnico],"",0,1)</f>
        <v>ACTIVO_FIJO_INFRAESCTRUCTURA_CONSULTAS</v>
      </c>
      <c r="J9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/activo-fijo-infraesctructura/consultas/relacion-alta-terrenos</v>
      </c>
      <c r="K9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relacion-alta-terrenos</v>
      </c>
      <c r="L97" s="6" t="s">
        <v>1659</v>
      </c>
      <c r="M97" s="2" t="s">
        <v>1793</v>
      </c>
      <c r="N97" s="4" t="s">
        <v>360</v>
      </c>
      <c r="O97" s="4" t="s">
        <v>360</v>
      </c>
      <c r="P97" s="4" t="s">
        <v>360</v>
      </c>
      <c r="Q97" s="4" t="s">
        <v>360</v>
      </c>
      <c r="R97" s="4" t="s">
        <v>360</v>
      </c>
      <c r="S97" s="4" t="s">
        <v>360</v>
      </c>
      <c r="T97" s="4" t="s">
        <v>360</v>
      </c>
      <c r="U97" s="2" t="str">
        <f>IF(Tabla_Activo_Fijo[[#This Row],[id_padre]]=Tabla_Activo_Fijo[[#This Row],[Id]],"NOK","OK")</f>
        <v>OK</v>
      </c>
    </row>
    <row r="98" spans="1:21" hidden="1" x14ac:dyDescent="0.5">
      <c r="A98" s="2">
        <f>MAX(Tabla_VME[Id])</f>
        <v>1377</v>
      </c>
      <c r="B98">
        <v>1381</v>
      </c>
      <c r="C98" s="5">
        <f>IF(Tabla_Activo_Fijo[[#This Row],[id_padre]]="",0,_xlfn.XLOOKUP(Tabla_Activo_Fijo[[#This Row],[id_padre]],Tabla_Activo_Fijo[Id],Tabla_Activo_Fijo[Nivel],0,0,1)+1)</f>
        <v>2</v>
      </c>
      <c r="D98" s="2" t="s">
        <v>1225</v>
      </c>
      <c r="E98">
        <f>IF(Tabla_Activo_Fijo[[#This Row],[Id_anterior]]=1,ROW()-1,SUM(ROW()-1,Tabla_Activo_Fijo[[#This Row],[Id_anterior]]))</f>
        <v>1474</v>
      </c>
      <c r="F9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ACTIVO_FIJO_INFRAESCTRUCTURA_CONSULTAS_RELACION_INCORPORACIONES_TERRENOS</v>
      </c>
      <c r="G98" s="2" t="str">
        <f>CLEAN(PROPER(Tabla_Activo_Fijo[[#This Row],[Nombre Opción]]))</f>
        <v>Relacion De Incorporaciones De Terrenos</v>
      </c>
      <c r="H98" s="2" t="s">
        <v>1735</v>
      </c>
      <c r="I98" s="2" t="str">
        <f>_xlfn.XLOOKUP(Tabla_Activo_Fijo[[#This Row],[id_padre]],Tabla_Activo_Fijo[Id],Tabla_Activo_Fijo[Codigo_Tecnico],"",0,1)</f>
        <v>ACTIVO_FIJO_INFRAESCTRUCTURA_CONSULTAS</v>
      </c>
      <c r="J9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/activo-fijo-infraesctructura/consultas/relacion-incorporaciones-terrenos</v>
      </c>
      <c r="K9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relacion-incorporaciones-terrenos</v>
      </c>
      <c r="L98" s="6" t="s">
        <v>1566</v>
      </c>
      <c r="M98" s="2" t="s">
        <v>1793</v>
      </c>
      <c r="N98" s="4" t="s">
        <v>360</v>
      </c>
      <c r="O98" s="4" t="s">
        <v>360</v>
      </c>
      <c r="P98" s="4" t="s">
        <v>360</v>
      </c>
      <c r="Q98" s="4" t="s">
        <v>360</v>
      </c>
      <c r="R98" s="4" t="s">
        <v>360</v>
      </c>
      <c r="S98" s="4" t="s">
        <v>360</v>
      </c>
      <c r="T98" s="4" t="s">
        <v>360</v>
      </c>
      <c r="U98" s="2" t="str">
        <f>IF(Tabla_Activo_Fijo[[#This Row],[id_padre]]=Tabla_Activo_Fijo[[#This Row],[Id]],"NOK","OK")</f>
        <v>OK</v>
      </c>
    </row>
    <row r="99" spans="1:21" hidden="1" x14ac:dyDescent="0.5">
      <c r="A99" s="2">
        <f>MAX(Tabla_VME[Id])</f>
        <v>1377</v>
      </c>
      <c r="B99">
        <v>1381</v>
      </c>
      <c r="C99" s="5">
        <f>IF(Tabla_Activo_Fijo[[#This Row],[id_padre]]="",0,_xlfn.XLOOKUP(Tabla_Activo_Fijo[[#This Row],[id_padre]],Tabla_Activo_Fijo[Id],Tabla_Activo_Fijo[Nivel],0,0,1)+1)</f>
        <v>2</v>
      </c>
      <c r="D99" s="2" t="s">
        <v>1226</v>
      </c>
      <c r="E99">
        <f>IF(Tabla_Activo_Fijo[[#This Row],[Id_anterior]]=1,ROW()-1,SUM(ROW()-1,Tabla_Activo_Fijo[[#This Row],[Id_anterior]]))</f>
        <v>1475</v>
      </c>
      <c r="F9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ACTIVO_FIJO_INFRAESCTRUCTURA_CONSULTAS_RELACION_BAJA_TERRENOS</v>
      </c>
      <c r="G99" s="2" t="str">
        <f>CLEAN(PROPER(Tabla_Activo_Fijo[[#This Row],[Nombre Opción]]))</f>
        <v>Relacion Baja De Terrenos</v>
      </c>
      <c r="H99" s="2" t="s">
        <v>1735</v>
      </c>
      <c r="I99" s="2" t="str">
        <f>_xlfn.XLOOKUP(Tabla_Activo_Fijo[[#This Row],[id_padre]],Tabla_Activo_Fijo[Id],Tabla_Activo_Fijo[Codigo_Tecnico],"",0,1)</f>
        <v>ACTIVO_FIJO_INFRAESCTRUCTURA_CONSULTAS</v>
      </c>
      <c r="J9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/activo-fijo-infraesctructura/consultas/relacion-baja-terrenos</v>
      </c>
      <c r="K9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relacion-baja-terrenos</v>
      </c>
      <c r="L99" s="6" t="s">
        <v>1660</v>
      </c>
      <c r="M99" s="2" t="s">
        <v>1793</v>
      </c>
      <c r="N99" s="4" t="s">
        <v>360</v>
      </c>
      <c r="O99" s="4" t="s">
        <v>360</v>
      </c>
      <c r="P99" s="4" t="s">
        <v>360</v>
      </c>
      <c r="Q99" s="4" t="s">
        <v>360</v>
      </c>
      <c r="R99" s="4" t="s">
        <v>360</v>
      </c>
      <c r="S99" s="4" t="s">
        <v>360</v>
      </c>
      <c r="T99" s="4" t="s">
        <v>360</v>
      </c>
      <c r="U99" s="2" t="str">
        <f>IF(Tabla_Activo_Fijo[[#This Row],[id_padre]]=Tabla_Activo_Fijo[[#This Row],[Id]],"NOK","OK")</f>
        <v>OK</v>
      </c>
    </row>
    <row r="100" spans="1:21" hidden="1" x14ac:dyDescent="0.5">
      <c r="A100" s="2">
        <f>MAX(Tabla_VME[Id])</f>
        <v>1377</v>
      </c>
      <c r="B100">
        <v>1381</v>
      </c>
      <c r="C100" s="5">
        <f>IF(Tabla_Activo_Fijo[[#This Row],[id_padre]]="",0,_xlfn.XLOOKUP(Tabla_Activo_Fijo[[#This Row],[id_padre]],Tabla_Activo_Fijo[Id],Tabla_Activo_Fijo[Nivel],0,0,1)+1)</f>
        <v>2</v>
      </c>
      <c r="D100" s="2" t="s">
        <v>1663</v>
      </c>
      <c r="E100">
        <f>IF(Tabla_Activo_Fijo[[#This Row],[Id_anterior]]=1,ROW()-1,SUM(ROW()-1,Tabla_Activo_Fijo[[#This Row],[Id_anterior]]))</f>
        <v>1476</v>
      </c>
      <c r="F10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ACTIVO_FIJO_INFRAESCTRUCTURA_CONSULTAS_FICHA_EDIFICACION_ESPECIFICA</v>
      </c>
      <c r="G100" s="2" t="str">
        <f>CLEAN(PROPER(Tabla_Activo_Fijo[[#This Row],[Nombre Opción]]))</f>
        <v>Ficha Edificacion Especifica</v>
      </c>
      <c r="H100" s="2" t="s">
        <v>1735</v>
      </c>
      <c r="I100" s="2" t="str">
        <f>_xlfn.XLOOKUP(Tabla_Activo_Fijo[[#This Row],[id_padre]],Tabla_Activo_Fijo[Id],Tabla_Activo_Fijo[Codigo_Tecnico],"",0,1)</f>
        <v>ACTIVO_FIJO_INFRAESCTRUCTURA_CONSULTAS</v>
      </c>
      <c r="J10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/activo-fijo-infraesctructura/consultas/ficha-edificacion-especifica</v>
      </c>
      <c r="K10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ficha-edificacion-especifica</v>
      </c>
      <c r="L100" s="6" t="s">
        <v>1341</v>
      </c>
      <c r="M100" s="2" t="s">
        <v>1793</v>
      </c>
      <c r="N100" s="4" t="s">
        <v>360</v>
      </c>
      <c r="O100" s="4" t="s">
        <v>360</v>
      </c>
      <c r="P100" s="4" t="s">
        <v>360</v>
      </c>
      <c r="Q100" s="4" t="s">
        <v>360</v>
      </c>
      <c r="R100" s="4" t="s">
        <v>360</v>
      </c>
      <c r="S100" s="4" t="s">
        <v>360</v>
      </c>
      <c r="T100" s="4" t="s">
        <v>360</v>
      </c>
      <c r="U100" s="2" t="str">
        <f>IF(Tabla_Activo_Fijo[[#This Row],[id_padre]]=Tabla_Activo_Fijo[[#This Row],[Id]],"NOK","OK")</f>
        <v>OK</v>
      </c>
    </row>
    <row r="101" spans="1:21" hidden="1" x14ac:dyDescent="0.5">
      <c r="A101" s="2">
        <f>MAX(Tabla_VME[Id])</f>
        <v>1377</v>
      </c>
      <c r="B101">
        <v>1381</v>
      </c>
      <c r="C101" s="5">
        <f>IF(Tabla_Activo_Fijo[[#This Row],[id_padre]]="",0,_xlfn.XLOOKUP(Tabla_Activo_Fijo[[#This Row],[id_padre]],Tabla_Activo_Fijo[Id],Tabla_Activo_Fijo[Nivel],0,0,1)+1)</f>
        <v>2</v>
      </c>
      <c r="D101" s="2" t="s">
        <v>1227</v>
      </c>
      <c r="E101">
        <f>IF(Tabla_Activo_Fijo[[#This Row],[Id_anterior]]=1,ROW()-1,SUM(ROW()-1,Tabla_Activo_Fijo[[#This Row],[Id_anterior]]))</f>
        <v>1477</v>
      </c>
      <c r="F10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ACTIVO_FIJO_INFRAESCTRUCTURA_CONSULTAS_RELACION_EDIFICACIONES_POR_JURISDICCION</v>
      </c>
      <c r="G101" s="2" t="str">
        <f>CLEAN(PROPER(Tabla_Activo_Fijo[[#This Row],[Nombre Opción]]))</f>
        <v>Relacion De Edificaciones Por Jurisdiccion</v>
      </c>
      <c r="H101" s="2" t="s">
        <v>1735</v>
      </c>
      <c r="I101" s="2" t="str">
        <f>_xlfn.XLOOKUP(Tabla_Activo_Fijo[[#This Row],[id_padre]],Tabla_Activo_Fijo[Id],Tabla_Activo_Fijo[Codigo_Tecnico],"",0,1)</f>
        <v>ACTIVO_FIJO_INFRAESCTRUCTURA_CONSULTAS</v>
      </c>
      <c r="J10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/activo-fijo-infraesctructura/consultas/relacion-edificaciones-por-jurisdiccion</v>
      </c>
      <c r="K10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relacion-edificaciones-por-jurisdiccion</v>
      </c>
      <c r="L101" s="6" t="s">
        <v>1367</v>
      </c>
      <c r="M101" s="2" t="s">
        <v>1793</v>
      </c>
      <c r="N101" s="4" t="s">
        <v>360</v>
      </c>
      <c r="O101" s="4" t="s">
        <v>360</v>
      </c>
      <c r="P101" s="4" t="s">
        <v>360</v>
      </c>
      <c r="Q101" s="4" t="s">
        <v>360</v>
      </c>
      <c r="R101" s="4" t="s">
        <v>360</v>
      </c>
      <c r="S101" s="4" t="s">
        <v>360</v>
      </c>
      <c r="T101" s="4" t="s">
        <v>360</v>
      </c>
      <c r="U101" s="2" t="str">
        <f>IF(Tabla_Activo_Fijo[[#This Row],[id_padre]]=Tabla_Activo_Fijo[[#This Row],[Id]],"NOK","OK")</f>
        <v>OK</v>
      </c>
    </row>
    <row r="102" spans="1:21" hidden="1" x14ac:dyDescent="0.5">
      <c r="A102" s="2">
        <f>MAX(Tabla_VME[Id])</f>
        <v>1377</v>
      </c>
      <c r="B102">
        <v>1381</v>
      </c>
      <c r="C102" s="5">
        <f>IF(Tabla_Activo_Fijo[[#This Row],[id_padre]]="",0,_xlfn.XLOOKUP(Tabla_Activo_Fijo[[#This Row],[id_padre]],Tabla_Activo_Fijo[Id],Tabla_Activo_Fijo[Nivel],0,0,1)+1)</f>
        <v>2</v>
      </c>
      <c r="D102" s="2" t="s">
        <v>1228</v>
      </c>
      <c r="E102">
        <f>IF(Tabla_Activo_Fijo[[#This Row],[Id_anterior]]=1,ROW()-1,SUM(ROW()-1,Tabla_Activo_Fijo[[#This Row],[Id_anterior]]))</f>
        <v>1478</v>
      </c>
      <c r="F10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ACTIVO_FIJO_INFRAESCTRUCTURA_CONSULTAS_RELACION_EDIFICACIONES_POR_UNIDAD_CONSOLIDAD</v>
      </c>
      <c r="G102" s="2" t="str">
        <f>CLEAN(PROPER(Tabla_Activo_Fijo[[#This Row],[Nombre Opción]]))</f>
        <v>Relacion De Edificaciones Por Unidad Consolidad</v>
      </c>
      <c r="H102" s="2" t="s">
        <v>1735</v>
      </c>
      <c r="I102" s="2" t="str">
        <f>_xlfn.XLOOKUP(Tabla_Activo_Fijo[[#This Row],[id_padre]],Tabla_Activo_Fijo[Id],Tabla_Activo_Fijo[Codigo_Tecnico],"",0,1)</f>
        <v>ACTIVO_FIJO_INFRAESCTRUCTURA_CONSULTAS</v>
      </c>
      <c r="J10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/activo-fijo-infraesctructura/consultas/relacion-edificaciones-por-unidad-consolidad</v>
      </c>
      <c r="K10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relacion-edificaciones-por-unidad-consolidad</v>
      </c>
      <c r="L102" s="6" t="s">
        <v>1401</v>
      </c>
      <c r="M102" s="2" t="s">
        <v>1793</v>
      </c>
      <c r="N102" s="4" t="s">
        <v>360</v>
      </c>
      <c r="O102" s="4" t="s">
        <v>360</v>
      </c>
      <c r="P102" s="4" t="s">
        <v>360</v>
      </c>
      <c r="Q102" s="4" t="s">
        <v>360</v>
      </c>
      <c r="R102" s="4" t="s">
        <v>360</v>
      </c>
      <c r="S102" s="4" t="s">
        <v>360</v>
      </c>
      <c r="T102" s="4" t="s">
        <v>360</v>
      </c>
      <c r="U102" s="2" t="str">
        <f>IF(Tabla_Activo_Fijo[[#This Row],[id_padre]]=Tabla_Activo_Fijo[[#This Row],[Id]],"NOK","OK")</f>
        <v>OK</v>
      </c>
    </row>
    <row r="103" spans="1:21" hidden="1" x14ac:dyDescent="0.5">
      <c r="A103" s="2">
        <f>MAX(Tabla_VME[Id])</f>
        <v>1377</v>
      </c>
      <c r="B103">
        <v>1381</v>
      </c>
      <c r="C103" s="5">
        <f>IF(Tabla_Activo_Fijo[[#This Row],[id_padre]]="",0,_xlfn.XLOOKUP(Tabla_Activo_Fijo[[#This Row],[id_padre]],Tabla_Activo_Fijo[Id],Tabla_Activo_Fijo[Nivel],0,0,1)+1)</f>
        <v>2</v>
      </c>
      <c r="D103" s="2" t="s">
        <v>1229</v>
      </c>
      <c r="E103">
        <f>IF(Tabla_Activo_Fijo[[#This Row],[Id_anterior]]=1,ROW()-1,SUM(ROW()-1,Tabla_Activo_Fijo[[#This Row],[Id_anterior]]))</f>
        <v>1479</v>
      </c>
      <c r="F10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ACTIVO_FIJO_INFRAESCTRUCTURA_CONSULTAS_RELACION_EDIFICACIONES_POR_UNIDAD_ORIGEN</v>
      </c>
      <c r="G103" s="2" t="str">
        <f>CLEAN(PROPER(Tabla_Activo_Fijo[[#This Row],[Nombre Opción]]))</f>
        <v>Relacion De Edificaciones Por Unidad Origen</v>
      </c>
      <c r="H103" s="2" t="s">
        <v>1735</v>
      </c>
      <c r="I103" s="2" t="str">
        <f>_xlfn.XLOOKUP(Tabla_Activo_Fijo[[#This Row],[id_padre]],Tabla_Activo_Fijo[Id],Tabla_Activo_Fijo[Codigo_Tecnico],"",0,1)</f>
        <v>ACTIVO_FIJO_INFRAESCTRUCTURA_CONSULTAS</v>
      </c>
      <c r="J10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/activo-fijo-infraesctructura/consultas/relacion-edificaciones-por-unidad-origen</v>
      </c>
      <c r="K10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relacion-edificaciones-por-unidad-origen</v>
      </c>
      <c r="L103" s="6" t="s">
        <v>1341</v>
      </c>
      <c r="M103" s="2" t="s">
        <v>1793</v>
      </c>
      <c r="N103" s="4" t="s">
        <v>360</v>
      </c>
      <c r="O103" s="4" t="s">
        <v>360</v>
      </c>
      <c r="P103" s="4" t="s">
        <v>360</v>
      </c>
      <c r="Q103" s="4" t="s">
        <v>360</v>
      </c>
      <c r="R103" s="4" t="s">
        <v>360</v>
      </c>
      <c r="S103" s="4" t="s">
        <v>360</v>
      </c>
      <c r="T103" s="4" t="s">
        <v>360</v>
      </c>
      <c r="U103" s="2" t="str">
        <f>IF(Tabla_Activo_Fijo[[#This Row],[id_padre]]=Tabla_Activo_Fijo[[#This Row],[Id]],"NOK","OK")</f>
        <v>OK</v>
      </c>
    </row>
    <row r="104" spans="1:21" hidden="1" x14ac:dyDescent="0.5">
      <c r="A104" s="2">
        <f>MAX(Tabla_VME[Id])</f>
        <v>1377</v>
      </c>
      <c r="B104">
        <v>1381</v>
      </c>
      <c r="C104" s="5">
        <f>IF(Tabla_Activo_Fijo[[#This Row],[id_padre]]="",0,_xlfn.XLOOKUP(Tabla_Activo_Fijo[[#This Row],[id_padre]],Tabla_Activo_Fijo[Id],Tabla_Activo_Fijo[Nivel],0,0,1)+1)</f>
        <v>2</v>
      </c>
      <c r="D104" s="2" t="s">
        <v>1230</v>
      </c>
      <c r="E104">
        <f>IF(Tabla_Activo_Fijo[[#This Row],[Id_anterior]]=1,ROW()-1,SUM(ROW()-1,Tabla_Activo_Fijo[[#This Row],[Id_anterior]]))</f>
        <v>1480</v>
      </c>
      <c r="F10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ACTIVO_FIJO_INFRAESCTRUCTURA_CONSULTAS_RELACION_EDIFICACIONES_POR_REGION</v>
      </c>
      <c r="G104" s="2" t="str">
        <f>CLEAN(PROPER(Tabla_Activo_Fijo[[#This Row],[Nombre Opción]]))</f>
        <v>Relacion De Edificaciones Por Region</v>
      </c>
      <c r="H104" s="2" t="s">
        <v>1735</v>
      </c>
      <c r="I104" s="2" t="str">
        <f>_xlfn.XLOOKUP(Tabla_Activo_Fijo[[#This Row],[id_padre]],Tabla_Activo_Fijo[Id],Tabla_Activo_Fijo[Codigo_Tecnico],"",0,1)</f>
        <v>ACTIVO_FIJO_INFRAESCTRUCTURA_CONSULTAS</v>
      </c>
      <c r="J10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/activo-fijo-infraesctructura/consultas/relacion-edificaciones-por-region</v>
      </c>
      <c r="K10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relacion-edificaciones-por-region</v>
      </c>
      <c r="L104" s="6" t="s">
        <v>1402</v>
      </c>
      <c r="M104" s="2" t="s">
        <v>1793</v>
      </c>
      <c r="N104" s="4" t="s">
        <v>360</v>
      </c>
      <c r="O104" s="4" t="s">
        <v>360</v>
      </c>
      <c r="P104" s="4" t="s">
        <v>360</v>
      </c>
      <c r="Q104" s="4" t="s">
        <v>360</v>
      </c>
      <c r="R104" s="4" t="s">
        <v>360</v>
      </c>
      <c r="S104" s="4" t="s">
        <v>360</v>
      </c>
      <c r="T104" s="4" t="s">
        <v>360</v>
      </c>
      <c r="U104" s="2" t="str">
        <f>IF(Tabla_Activo_Fijo[[#This Row],[id_padre]]=Tabla_Activo_Fijo[[#This Row],[Id]],"NOK","OK")</f>
        <v>OK</v>
      </c>
    </row>
    <row r="105" spans="1:21" hidden="1" x14ac:dyDescent="0.5">
      <c r="A105" s="2">
        <f>MAX(Tabla_VME[Id])</f>
        <v>1377</v>
      </c>
      <c r="B105">
        <v>1381</v>
      </c>
      <c r="C105" s="5">
        <f>IF(Tabla_Activo_Fijo[[#This Row],[id_padre]]="",0,_xlfn.XLOOKUP(Tabla_Activo_Fijo[[#This Row],[id_padre]],Tabla_Activo_Fijo[Id],Tabla_Activo_Fijo[Nivel],0,0,1)+1)</f>
        <v>2</v>
      </c>
      <c r="D105" s="2" t="s">
        <v>1231</v>
      </c>
      <c r="E105">
        <f>IF(Tabla_Activo_Fijo[[#This Row],[Id_anterior]]=1,ROW()-1,SUM(ROW()-1,Tabla_Activo_Fijo[[#This Row],[Id_anterior]]))</f>
        <v>1481</v>
      </c>
      <c r="F10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ACTIVO_FIJO_INFRAESCTRUCTURA_CONSULTAS_RELACION_EDIFICACIONES_POR_TERRENOS</v>
      </c>
      <c r="G105" s="2" t="str">
        <f>CLEAN(PROPER(Tabla_Activo_Fijo[[#This Row],[Nombre Opción]]))</f>
        <v>Relacion De Edificaciones Por Terrenos</v>
      </c>
      <c r="H105" s="2" t="s">
        <v>1735</v>
      </c>
      <c r="I105" s="2" t="str">
        <f>_xlfn.XLOOKUP(Tabla_Activo_Fijo[[#This Row],[id_padre]],Tabla_Activo_Fijo[Id],Tabla_Activo_Fijo[Codigo_Tecnico],"",0,1)</f>
        <v>ACTIVO_FIJO_INFRAESCTRUCTURA_CONSULTAS</v>
      </c>
      <c r="J10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/activo-fijo-infraesctructura/consultas/relacion-edificaciones-por-terrenos</v>
      </c>
      <c r="K10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relacion-edificaciones-por-terrenos</v>
      </c>
      <c r="L105" s="6" t="s">
        <v>1653</v>
      </c>
      <c r="M105" s="2" t="s">
        <v>1793</v>
      </c>
      <c r="N105" s="4" t="s">
        <v>360</v>
      </c>
      <c r="O105" s="4" t="s">
        <v>360</v>
      </c>
      <c r="P105" s="4" t="s">
        <v>360</v>
      </c>
      <c r="Q105" s="4" t="s">
        <v>360</v>
      </c>
      <c r="R105" s="4" t="s">
        <v>360</v>
      </c>
      <c r="S105" s="4" t="s">
        <v>360</v>
      </c>
      <c r="T105" s="4" t="s">
        <v>360</v>
      </c>
      <c r="U105" s="2" t="str">
        <f>IF(Tabla_Activo_Fijo[[#This Row],[id_padre]]=Tabla_Activo_Fijo[[#This Row],[Id]],"NOK","OK")</f>
        <v>OK</v>
      </c>
    </row>
    <row r="106" spans="1:21" hidden="1" x14ac:dyDescent="0.5">
      <c r="A106" s="2">
        <f>MAX(Tabla_VME[Id])</f>
        <v>1377</v>
      </c>
      <c r="B106">
        <v>1381</v>
      </c>
      <c r="C106" s="5">
        <f>IF(Tabla_Activo_Fijo[[#This Row],[id_padre]]="",0,_xlfn.XLOOKUP(Tabla_Activo_Fijo[[#This Row],[id_padre]],Tabla_Activo_Fijo[Id],Tabla_Activo_Fijo[Nivel],0,0,1)+1)</f>
        <v>2</v>
      </c>
      <c r="D106" s="2" t="s">
        <v>1232</v>
      </c>
      <c r="E106">
        <f>IF(Tabla_Activo_Fijo[[#This Row],[Id_anterior]]=1,ROW()-1,SUM(ROW()-1,Tabla_Activo_Fijo[[#This Row],[Id_anterior]]))</f>
        <v>1482</v>
      </c>
      <c r="F10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ACTIVO_FIJO_INFRAESCTRUCTURA_CONSULTAS_RELACION_EDIFICACIONES_VALORIZADAS</v>
      </c>
      <c r="G106" s="2" t="str">
        <f>CLEAN(PROPER(Tabla_Activo_Fijo[[#This Row],[Nombre Opción]]))</f>
        <v>Relacion De Edificaciones Valorizadas</v>
      </c>
      <c r="H106" s="2" t="s">
        <v>1735</v>
      </c>
      <c r="I106" s="2" t="str">
        <f>_xlfn.XLOOKUP(Tabla_Activo_Fijo[[#This Row],[id_padre]],Tabla_Activo_Fijo[Id],Tabla_Activo_Fijo[Codigo_Tecnico],"",0,1)</f>
        <v>ACTIVO_FIJO_INFRAESCTRUCTURA_CONSULTAS</v>
      </c>
      <c r="J10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/activo-fijo-infraesctructura/consultas/relacion-edificaciones-valorizadas</v>
      </c>
      <c r="K10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relacion-edificaciones-valorizadas</v>
      </c>
      <c r="L106" s="6" t="s">
        <v>1415</v>
      </c>
      <c r="M106" s="2" t="s">
        <v>1793</v>
      </c>
      <c r="N106" s="4" t="s">
        <v>360</v>
      </c>
      <c r="O106" s="4" t="s">
        <v>360</v>
      </c>
      <c r="P106" s="4" t="s">
        <v>360</v>
      </c>
      <c r="Q106" s="4" t="s">
        <v>360</v>
      </c>
      <c r="R106" s="4" t="s">
        <v>360</v>
      </c>
      <c r="S106" s="4" t="s">
        <v>360</v>
      </c>
      <c r="T106" s="4" t="s">
        <v>360</v>
      </c>
      <c r="U106" s="2" t="str">
        <f>IF(Tabla_Activo_Fijo[[#This Row],[id_padre]]=Tabla_Activo_Fijo[[#This Row],[Id]],"NOK","OK")</f>
        <v>OK</v>
      </c>
    </row>
    <row r="107" spans="1:21" hidden="1" x14ac:dyDescent="0.5">
      <c r="A107" s="2">
        <f>MAX(Tabla_VME[Id])</f>
        <v>1377</v>
      </c>
      <c r="B107">
        <v>1381</v>
      </c>
      <c r="C107" s="5">
        <f>IF(Tabla_Activo_Fijo[[#This Row],[id_padre]]="",0,_xlfn.XLOOKUP(Tabla_Activo_Fijo[[#This Row],[id_padre]],Tabla_Activo_Fijo[Id],Tabla_Activo_Fijo[Nivel],0,0,1)+1)</f>
        <v>2</v>
      </c>
      <c r="D107" s="2" t="s">
        <v>1233</v>
      </c>
      <c r="E107">
        <f>IF(Tabla_Activo_Fijo[[#This Row],[Id_anterior]]=1,ROW()-1,SUM(ROW()-1,Tabla_Activo_Fijo[[#This Row],[Id_anterior]]))</f>
        <v>1483</v>
      </c>
      <c r="F10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ACTIVO_FIJO_INFRAESCTRUCTURA_CONSULTAS_RELACION_ALTA_EDIFICACIONES</v>
      </c>
      <c r="G107" s="2" t="str">
        <f>CLEAN(PROPER(Tabla_Activo_Fijo[[#This Row],[Nombre Opción]]))</f>
        <v>Relacion Alta De Edificaciones</v>
      </c>
      <c r="H107" s="2" t="s">
        <v>1735</v>
      </c>
      <c r="I107" s="2" t="str">
        <f>_xlfn.XLOOKUP(Tabla_Activo_Fijo[[#This Row],[id_padre]],Tabla_Activo_Fijo[Id],Tabla_Activo_Fijo[Codigo_Tecnico],"",0,1)</f>
        <v>ACTIVO_FIJO_INFRAESCTRUCTURA_CONSULTAS</v>
      </c>
      <c r="J10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/activo-fijo-infraesctructura/consultas/relacion-alta-edificaciones</v>
      </c>
      <c r="K10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relacion-alta-edificaciones</v>
      </c>
      <c r="L107" s="6" t="s">
        <v>1480</v>
      </c>
      <c r="M107" s="2" t="s">
        <v>1793</v>
      </c>
      <c r="N107" s="4" t="s">
        <v>360</v>
      </c>
      <c r="O107" s="4" t="s">
        <v>360</v>
      </c>
      <c r="P107" s="4" t="s">
        <v>360</v>
      </c>
      <c r="Q107" s="4" t="s">
        <v>360</v>
      </c>
      <c r="R107" s="4" t="s">
        <v>360</v>
      </c>
      <c r="S107" s="4" t="s">
        <v>360</v>
      </c>
      <c r="T107" s="4" t="s">
        <v>360</v>
      </c>
      <c r="U107" s="2" t="str">
        <f>IF(Tabla_Activo_Fijo[[#This Row],[id_padre]]=Tabla_Activo_Fijo[[#This Row],[Id]],"NOK","OK")</f>
        <v>OK</v>
      </c>
    </row>
    <row r="108" spans="1:21" hidden="1" x14ac:dyDescent="0.5">
      <c r="A108" s="2">
        <f>MAX(Tabla_VME[Id])</f>
        <v>1377</v>
      </c>
      <c r="B108">
        <v>1381</v>
      </c>
      <c r="C108" s="5">
        <f>IF(Tabla_Activo_Fijo[[#This Row],[id_padre]]="",0,_xlfn.XLOOKUP(Tabla_Activo_Fijo[[#This Row],[id_padre]],Tabla_Activo_Fijo[Id],Tabla_Activo_Fijo[Nivel],0,0,1)+1)</f>
        <v>2</v>
      </c>
      <c r="D108" s="2" t="s">
        <v>1234</v>
      </c>
      <c r="E108">
        <f>IF(Tabla_Activo_Fijo[[#This Row],[Id_anterior]]=1,ROW()-1,SUM(ROW()-1,Tabla_Activo_Fijo[[#This Row],[Id_anterior]]))</f>
        <v>1484</v>
      </c>
      <c r="F10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ACTIVO_FIJO_INFRAESCTRUCTURA_CONSULTAS_RELACION_AJUSTES_EDIFICACIONES</v>
      </c>
      <c r="G108" s="2" t="str">
        <f>CLEAN(PROPER(Tabla_Activo_Fijo[[#This Row],[Nombre Opción]]))</f>
        <v>Relacion De Ajustes De Edificaciones</v>
      </c>
      <c r="H108" s="2" t="s">
        <v>1735</v>
      </c>
      <c r="I108" s="2" t="str">
        <f>_xlfn.XLOOKUP(Tabla_Activo_Fijo[[#This Row],[id_padre]],Tabla_Activo_Fijo[Id],Tabla_Activo_Fijo[Codigo_Tecnico],"",0,1)</f>
        <v>ACTIVO_FIJO_INFRAESCTRUCTURA_CONSULTAS</v>
      </c>
      <c r="J10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/activo-fijo-infraesctructura/consultas/relacion-ajustes-edificaciones</v>
      </c>
      <c r="K10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relacion-ajustes-edificaciones</v>
      </c>
      <c r="L108" s="6" t="s">
        <v>1565</v>
      </c>
      <c r="M108" s="2" t="s">
        <v>1793</v>
      </c>
      <c r="N108" s="4" t="s">
        <v>360</v>
      </c>
      <c r="O108" s="4" t="s">
        <v>360</v>
      </c>
      <c r="P108" s="4" t="s">
        <v>360</v>
      </c>
      <c r="Q108" s="4" t="s">
        <v>360</v>
      </c>
      <c r="R108" s="4" t="s">
        <v>360</v>
      </c>
      <c r="S108" s="4" t="s">
        <v>360</v>
      </c>
      <c r="T108" s="4" t="s">
        <v>360</v>
      </c>
      <c r="U108" s="2" t="str">
        <f>IF(Tabla_Activo_Fijo[[#This Row],[id_padre]]=Tabla_Activo_Fijo[[#This Row],[Id]],"NOK","OK")</f>
        <v>OK</v>
      </c>
    </row>
    <row r="109" spans="1:21" hidden="1" x14ac:dyDescent="0.5">
      <c r="A109" s="2">
        <f>MAX(Tabla_VME[Id])</f>
        <v>1377</v>
      </c>
      <c r="B109">
        <v>1381</v>
      </c>
      <c r="C109" s="5">
        <f>IF(Tabla_Activo_Fijo[[#This Row],[id_padre]]="",0,_xlfn.XLOOKUP(Tabla_Activo_Fijo[[#This Row],[id_padre]],Tabla_Activo_Fijo[Id],Tabla_Activo_Fijo[Nivel],0,0,1)+1)</f>
        <v>2</v>
      </c>
      <c r="D109" s="2" t="s">
        <v>1235</v>
      </c>
      <c r="E109">
        <f>IF(Tabla_Activo_Fijo[[#This Row],[Id_anterior]]=1,ROW()-1,SUM(ROW()-1,Tabla_Activo_Fijo[[#This Row],[Id_anterior]]))</f>
        <v>1485</v>
      </c>
      <c r="F10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ACTIVO_FIJO_INFRAESCTRUCTURA_CONSULTAS_RELACION_INCORPORACIONES_EDIFICACIONES</v>
      </c>
      <c r="G109" s="2" t="str">
        <f>CLEAN(PROPER(Tabla_Activo_Fijo[[#This Row],[Nombre Opción]]))</f>
        <v>Relacion De Incorporaciones De Edificaciones</v>
      </c>
      <c r="H109" s="2" t="s">
        <v>1735</v>
      </c>
      <c r="I109" s="2" t="str">
        <f>_xlfn.XLOOKUP(Tabla_Activo_Fijo[[#This Row],[id_padre]],Tabla_Activo_Fijo[Id],Tabla_Activo_Fijo[Codigo_Tecnico],"",0,1)</f>
        <v>ACTIVO_FIJO_INFRAESCTRUCTURA_CONSULTAS</v>
      </c>
      <c r="J10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/activo-fijo-infraesctructura/consultas/relacion-incorporaciones-edificaciones</v>
      </c>
      <c r="K10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relacion-incorporaciones-edificaciones</v>
      </c>
      <c r="L109" s="6" t="s">
        <v>1566</v>
      </c>
      <c r="M109" s="2" t="s">
        <v>1793</v>
      </c>
      <c r="N109" s="4" t="s">
        <v>360</v>
      </c>
      <c r="O109" s="4" t="s">
        <v>360</v>
      </c>
      <c r="P109" s="4" t="s">
        <v>360</v>
      </c>
      <c r="Q109" s="4" t="s">
        <v>360</v>
      </c>
      <c r="R109" s="4" t="s">
        <v>360</v>
      </c>
      <c r="S109" s="4" t="s">
        <v>360</v>
      </c>
      <c r="T109" s="4" t="s">
        <v>360</v>
      </c>
      <c r="U109" s="2" t="str">
        <f>IF(Tabla_Activo_Fijo[[#This Row],[id_padre]]=Tabla_Activo_Fijo[[#This Row],[Id]],"NOK","OK")</f>
        <v>OK</v>
      </c>
    </row>
    <row r="110" spans="1:21" hidden="1" x14ac:dyDescent="0.5">
      <c r="A110" s="2">
        <f>MAX(Tabla_VME[Id])</f>
        <v>1377</v>
      </c>
      <c r="B110">
        <v>1381</v>
      </c>
      <c r="C110" s="5">
        <f>IF(Tabla_Activo_Fijo[[#This Row],[id_padre]]="",0,_xlfn.XLOOKUP(Tabla_Activo_Fijo[[#This Row],[id_padre]],Tabla_Activo_Fijo[Id],Tabla_Activo_Fijo[Nivel],0,0,1)+1)</f>
        <v>2</v>
      </c>
      <c r="D110" s="2" t="s">
        <v>1664</v>
      </c>
      <c r="E110">
        <f>IF(Tabla_Activo_Fijo[[#This Row],[Id_anterior]]=1,ROW()-1,SUM(ROW()-1,Tabla_Activo_Fijo[[#This Row],[Id_anterior]]))</f>
        <v>1486</v>
      </c>
      <c r="F11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ACTIVO_FIJO_INFRAESCTRUCTURA_CONSULTAS_RELACION_BAJA_EDIFICACIONES</v>
      </c>
      <c r="G110" s="2" t="str">
        <f>CLEAN(PROPER(Tabla_Activo_Fijo[[#This Row],[Nombre Opción]]))</f>
        <v>Relacion Baja De Edificaciones</v>
      </c>
      <c r="H110" s="2" t="s">
        <v>1735</v>
      </c>
      <c r="I110" s="2" t="str">
        <f>_xlfn.XLOOKUP(Tabla_Activo_Fijo[[#This Row],[id_padre]],Tabla_Activo_Fijo[Id],Tabla_Activo_Fijo[Codigo_Tecnico],"",0,1)</f>
        <v>ACTIVO_FIJO_INFRAESCTRUCTURA_CONSULTAS</v>
      </c>
      <c r="J11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/activo-fijo-infraesctructura/consultas/relacion-baja-edificaciones</v>
      </c>
      <c r="K11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relacion-baja-edificaciones</v>
      </c>
      <c r="L110" s="6" t="s">
        <v>1661</v>
      </c>
      <c r="M110" s="2" t="s">
        <v>1793</v>
      </c>
      <c r="N110" s="4" t="s">
        <v>360</v>
      </c>
      <c r="O110" s="4" t="s">
        <v>360</v>
      </c>
      <c r="P110" s="4" t="s">
        <v>360</v>
      </c>
      <c r="Q110" s="4" t="s">
        <v>360</v>
      </c>
      <c r="R110" s="4" t="s">
        <v>360</v>
      </c>
      <c r="S110" s="4" t="s">
        <v>360</v>
      </c>
      <c r="T110" s="4" t="s">
        <v>360</v>
      </c>
      <c r="U110" s="2" t="str">
        <f>IF(Tabla_Activo_Fijo[[#This Row],[id_padre]]=Tabla_Activo_Fijo[[#This Row],[Id]],"NOK","OK")</f>
        <v>OK</v>
      </c>
    </row>
    <row r="111" spans="1:21" hidden="1" x14ac:dyDescent="0.5">
      <c r="A111" s="2">
        <f>MAX(Tabla_VME[Id])</f>
        <v>1377</v>
      </c>
      <c r="B111">
        <v>1381</v>
      </c>
      <c r="C111" s="5">
        <f>IF(Tabla_Activo_Fijo[[#This Row],[id_padre]]="",0,_xlfn.XLOOKUP(Tabla_Activo_Fijo[[#This Row],[id_padre]],Tabla_Activo_Fijo[Id],Tabla_Activo_Fijo[Nivel],0,0,1)+1)</f>
        <v>2</v>
      </c>
      <c r="D111" s="2" t="s">
        <v>1236</v>
      </c>
      <c r="E111">
        <f>IF(Tabla_Activo_Fijo[[#This Row],[Id_anterior]]=1,ROW()-1,SUM(ROW()-1,Tabla_Activo_Fijo[[#This Row],[Id_anterior]]))</f>
        <v>1487</v>
      </c>
      <c r="F11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ACTIVO_FIJO_INFRAESCTRUCTURA_CONSULTAS_ACTUALIZACION_Y_DEPRECIACION_INSTITUCIONAL</v>
      </c>
      <c r="G111" s="2" t="str">
        <f>CLEAN(PROPER(Tabla_Activo_Fijo[[#This Row],[Nombre Opción]]))</f>
        <v>Actualizacion Y Depreciacion Institucional</v>
      </c>
      <c r="H111" s="2" t="s">
        <v>1735</v>
      </c>
      <c r="I111" s="2" t="str">
        <f>_xlfn.XLOOKUP(Tabla_Activo_Fijo[[#This Row],[id_padre]],Tabla_Activo_Fijo[Id],Tabla_Activo_Fijo[Codigo_Tecnico],"",0,1)</f>
        <v>ACTIVO_FIJO_INFRAESCTRUCTURA_CONSULTAS</v>
      </c>
      <c r="J11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/activo-fijo-infraesctructura/consultas/actualizacion-y-depreciacion-institucional</v>
      </c>
      <c r="K11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actualizacion-y-depreciacion-institucional</v>
      </c>
      <c r="L111" s="6" t="s">
        <v>1367</v>
      </c>
      <c r="M111" s="2" t="s">
        <v>1793</v>
      </c>
      <c r="N111" s="4" t="s">
        <v>360</v>
      </c>
      <c r="O111" s="4" t="s">
        <v>360</v>
      </c>
      <c r="P111" s="4" t="s">
        <v>360</v>
      </c>
      <c r="Q111" s="4" t="s">
        <v>360</v>
      </c>
      <c r="R111" s="4" t="s">
        <v>360</v>
      </c>
      <c r="S111" s="4" t="s">
        <v>360</v>
      </c>
      <c r="T111" s="4" t="s">
        <v>360</v>
      </c>
      <c r="U111" s="2" t="str">
        <f>IF(Tabla_Activo_Fijo[[#This Row],[id_padre]]=Tabla_Activo_Fijo[[#This Row],[Id]],"NOK","OK")</f>
        <v>OK</v>
      </c>
    </row>
    <row r="112" spans="1:21" hidden="1" x14ac:dyDescent="0.5">
      <c r="A112" s="2">
        <f>MAX(Tabla_VME[Id])</f>
        <v>1377</v>
      </c>
      <c r="B112">
        <v>1381</v>
      </c>
      <c r="C112" s="5">
        <f>IF(Tabla_Activo_Fijo[[#This Row],[id_padre]]="",0,_xlfn.XLOOKUP(Tabla_Activo_Fijo[[#This Row],[id_padre]],Tabla_Activo_Fijo[Id],Tabla_Activo_Fijo[Nivel],0,0,1)+1)</f>
        <v>2</v>
      </c>
      <c r="D112" s="2" t="s">
        <v>1237</v>
      </c>
      <c r="E112">
        <f>IF(Tabla_Activo_Fijo[[#This Row],[Id_anterior]]=1,ROW()-1,SUM(ROW()-1,Tabla_Activo_Fijo[[#This Row],[Id_anterior]]))</f>
        <v>1488</v>
      </c>
      <c r="F11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ACTIVO_FIJO_INFRAESCTRUCTURA_CONSULTAS_ACTUALIZACION_Y_DEPRECIACION_POR_UNIDAD</v>
      </c>
      <c r="G112" s="2" t="str">
        <f>CLEAN(PROPER(Tabla_Activo_Fijo[[#This Row],[Nombre Opción]]))</f>
        <v>Actualizacion Y Depreciacion Por Unidad</v>
      </c>
      <c r="H112" s="2" t="s">
        <v>1735</v>
      </c>
      <c r="I112" s="2" t="str">
        <f>_xlfn.XLOOKUP(Tabla_Activo_Fijo[[#This Row],[id_padre]],Tabla_Activo_Fijo[Id],Tabla_Activo_Fijo[Codigo_Tecnico],"",0,1)</f>
        <v>ACTIVO_FIJO_INFRAESCTRUCTURA_CONSULTAS</v>
      </c>
      <c r="J11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/activo-fijo-infraesctructura/consultas/actualizacion-y-depreciacion-por-unidad</v>
      </c>
      <c r="K11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actualizacion-y-depreciacion-por-unidad</v>
      </c>
      <c r="L112" s="6" t="s">
        <v>1341</v>
      </c>
      <c r="M112" s="2" t="s">
        <v>1793</v>
      </c>
      <c r="N112" s="4" t="s">
        <v>360</v>
      </c>
      <c r="O112" s="4" t="s">
        <v>360</v>
      </c>
      <c r="P112" s="4" t="s">
        <v>360</v>
      </c>
      <c r="Q112" s="4" t="s">
        <v>360</v>
      </c>
      <c r="R112" s="4" t="s">
        <v>360</v>
      </c>
      <c r="S112" s="4" t="s">
        <v>360</v>
      </c>
      <c r="T112" s="4" t="s">
        <v>360</v>
      </c>
      <c r="U112" s="2" t="str">
        <f>IF(Tabla_Activo_Fijo[[#This Row],[id_padre]]=Tabla_Activo_Fijo[[#This Row],[Id]],"NOK","OK")</f>
        <v>OK</v>
      </c>
    </row>
    <row r="113" spans="1:21" hidden="1" x14ac:dyDescent="0.5">
      <c r="A113" s="2">
        <f>MAX(Tabla_VME[Id])</f>
        <v>1377</v>
      </c>
      <c r="B113">
        <v>1381</v>
      </c>
      <c r="C113" s="5">
        <f>IF(Tabla_Activo_Fijo[[#This Row],[id_padre]]="",0,_xlfn.XLOOKUP(Tabla_Activo_Fijo[[#This Row],[id_padre]],Tabla_Activo_Fijo[Id],Tabla_Activo_Fijo[Nivel],0,0,1)+1)</f>
        <v>2</v>
      </c>
      <c r="D113" s="2" t="s">
        <v>1238</v>
      </c>
      <c r="E113">
        <f>IF(Tabla_Activo_Fijo[[#This Row],[Id_anterior]]=1,ROW()-1,SUM(ROW()-1,Tabla_Activo_Fijo[[#This Row],[Id_anterior]]))</f>
        <v>1489</v>
      </c>
      <c r="F11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ACTIVO_FIJO_INFRAESCTRUCTURA_CONSULTAS_ACTUALIZACION_Y_DEPRECIACION_POR_UNIDAD_INTERNA</v>
      </c>
      <c r="G113" s="2" t="str">
        <f>CLEAN(PROPER(Tabla_Activo_Fijo[[#This Row],[Nombre Opción]]))</f>
        <v>Actualizacion Y Depreciacion Por Unidad Interna</v>
      </c>
      <c r="H113" s="2" t="s">
        <v>1735</v>
      </c>
      <c r="I113" s="2" t="str">
        <f>_xlfn.XLOOKUP(Tabla_Activo_Fijo[[#This Row],[id_padre]],Tabla_Activo_Fijo[Id],Tabla_Activo_Fijo[Codigo_Tecnico],"",0,1)</f>
        <v>ACTIVO_FIJO_INFRAESCTRUCTURA_CONSULTAS</v>
      </c>
      <c r="J11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/activo-fijo-infraesctructura/consultas/actualizacion-y-depreciacion-por-unidad-interna</v>
      </c>
      <c r="K11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actualizacion-y-depreciacion-por-unidad-interna</v>
      </c>
      <c r="L113" s="6" t="s">
        <v>1389</v>
      </c>
      <c r="M113" s="2" t="s">
        <v>1793</v>
      </c>
      <c r="N113" s="4" t="s">
        <v>360</v>
      </c>
      <c r="O113" s="4" t="s">
        <v>360</v>
      </c>
      <c r="P113" s="4" t="s">
        <v>360</v>
      </c>
      <c r="Q113" s="4" t="s">
        <v>360</v>
      </c>
      <c r="R113" s="4" t="s">
        <v>360</v>
      </c>
      <c r="S113" s="4" t="s">
        <v>360</v>
      </c>
      <c r="T113" s="4" t="s">
        <v>360</v>
      </c>
      <c r="U113" s="2" t="str">
        <f>IF(Tabla_Activo_Fijo[[#This Row],[id_padre]]=Tabla_Activo_Fijo[[#This Row],[Id]],"NOK","OK")</f>
        <v>OK</v>
      </c>
    </row>
    <row r="114" spans="1:21" hidden="1" x14ac:dyDescent="0.5">
      <c r="A114" s="2">
        <f>MAX(Tabla_VME[Id])</f>
        <v>1377</v>
      </c>
      <c r="B114">
        <v>1382</v>
      </c>
      <c r="C114" s="5">
        <f>IF(Tabla_Activo_Fijo[[#This Row],[id_padre]]="",0,_xlfn.XLOOKUP(Tabla_Activo_Fijo[[#This Row],[id_padre]],Tabla_Activo_Fijo[Id],Tabla_Activo_Fijo[Nivel],0,0,1)+1)</f>
        <v>2</v>
      </c>
      <c r="D114" s="2" t="s">
        <v>1239</v>
      </c>
      <c r="E114">
        <f>IF(Tabla_Activo_Fijo[[#This Row],[Id_anterior]]=1,ROW()-1,SUM(ROW()-1,Tabla_Activo_Fijo[[#This Row],[Id_anterior]]))</f>
        <v>1490</v>
      </c>
      <c r="F11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ACTIVO_FIJO_INFRAESCTRUCTURA_INFORMES_FICHA_TERRENOS</v>
      </c>
      <c r="G114" s="2" t="str">
        <f>CLEAN(PROPER(Tabla_Activo_Fijo[[#This Row],[Nombre Opción]]))</f>
        <v>Ficha De Terrenos</v>
      </c>
      <c r="H114" s="2" t="s">
        <v>1735</v>
      </c>
      <c r="I114" s="2" t="str">
        <f>_xlfn.XLOOKUP(Tabla_Activo_Fijo[[#This Row],[id_padre]],Tabla_Activo_Fijo[Id],Tabla_Activo_Fijo[Codigo_Tecnico],"",0,1)</f>
        <v>ACTIVO_FIJO_INFRAESCTRUCTURA_INFORMES</v>
      </c>
      <c r="J11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/activo-fijo-infraesctructura/informes/ficha-terrenos</v>
      </c>
      <c r="K11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ficha-terrenos</v>
      </c>
      <c r="L114" s="6" t="s">
        <v>1343</v>
      </c>
      <c r="M114" s="2" t="s">
        <v>1793</v>
      </c>
      <c r="N114" s="4" t="s">
        <v>360</v>
      </c>
      <c r="O114" s="4" t="s">
        <v>360</v>
      </c>
      <c r="P114" s="4" t="s">
        <v>360</v>
      </c>
      <c r="Q114" s="4" t="s">
        <v>360</v>
      </c>
      <c r="R114" s="4" t="s">
        <v>360</v>
      </c>
      <c r="S114" s="4" t="s">
        <v>360</v>
      </c>
      <c r="T114" s="4" t="s">
        <v>360</v>
      </c>
      <c r="U114" s="2" t="str">
        <f>IF(Tabla_Activo_Fijo[[#This Row],[id_padre]]=Tabla_Activo_Fijo[[#This Row],[Id]],"NOK","OK")</f>
        <v>OK</v>
      </c>
    </row>
    <row r="115" spans="1:21" hidden="1" x14ac:dyDescent="0.5">
      <c r="A115" s="2">
        <f>MAX(Tabla_VME[Id])</f>
        <v>1377</v>
      </c>
      <c r="B115">
        <v>1382</v>
      </c>
      <c r="C115" s="5">
        <f>IF(Tabla_Activo_Fijo[[#This Row],[id_padre]]="",0,_xlfn.XLOOKUP(Tabla_Activo_Fijo[[#This Row],[id_padre]],Tabla_Activo_Fijo[Id],Tabla_Activo_Fijo[Nivel],0,0,1)+1)</f>
        <v>2</v>
      </c>
      <c r="D115" s="2" t="s">
        <v>1220</v>
      </c>
      <c r="E115">
        <f>IF(Tabla_Activo_Fijo[[#This Row],[Id_anterior]]=1,ROW()-1,SUM(ROW()-1,Tabla_Activo_Fijo[[#This Row],[Id_anterior]]))</f>
        <v>1491</v>
      </c>
      <c r="F11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ACTIVO_FIJO_INFRAESCTRUCTURA_INFORMES_RELACION_TERRENOS_POR_JURISDICCION</v>
      </c>
      <c r="G115" s="2" t="str">
        <f>CLEAN(PROPER(Tabla_Activo_Fijo[[#This Row],[Nombre Opción]]))</f>
        <v>Relacion De Terrenos Por Jurisdiccion</v>
      </c>
      <c r="H115" s="2" t="s">
        <v>1735</v>
      </c>
      <c r="I115" s="2" t="str">
        <f>_xlfn.XLOOKUP(Tabla_Activo_Fijo[[#This Row],[id_padre]],Tabla_Activo_Fijo[Id],Tabla_Activo_Fijo[Codigo_Tecnico],"",0,1)</f>
        <v>ACTIVO_FIJO_INFRAESCTRUCTURA_INFORMES</v>
      </c>
      <c r="J11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/activo-fijo-infraesctructura/informes/relacion-terrenos-por-jurisdiccion</v>
      </c>
      <c r="K11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relacion-terrenos-por-jurisdiccion</v>
      </c>
      <c r="L115" s="6" t="s">
        <v>1367</v>
      </c>
      <c r="M115" s="2" t="s">
        <v>1793</v>
      </c>
      <c r="N115" s="4" t="s">
        <v>360</v>
      </c>
      <c r="O115" s="4" t="s">
        <v>360</v>
      </c>
      <c r="P115" s="4" t="s">
        <v>360</v>
      </c>
      <c r="Q115" s="4" t="s">
        <v>360</v>
      </c>
      <c r="R115" s="4" t="s">
        <v>360</v>
      </c>
      <c r="S115" s="4" t="s">
        <v>360</v>
      </c>
      <c r="T115" s="4" t="s">
        <v>360</v>
      </c>
      <c r="U115" s="2" t="str">
        <f>IF(Tabla_Activo_Fijo[[#This Row],[id_padre]]=Tabla_Activo_Fijo[[#This Row],[Id]],"NOK","OK")</f>
        <v>OK</v>
      </c>
    </row>
    <row r="116" spans="1:21" hidden="1" x14ac:dyDescent="0.5">
      <c r="A116" s="2">
        <f>MAX(Tabla_VME[Id])</f>
        <v>1377</v>
      </c>
      <c r="B116">
        <v>1382</v>
      </c>
      <c r="C116" s="5">
        <f>IF(Tabla_Activo_Fijo[[#This Row],[id_padre]]="",0,_xlfn.XLOOKUP(Tabla_Activo_Fijo[[#This Row],[id_padre]],Tabla_Activo_Fijo[Id],Tabla_Activo_Fijo[Nivel],0,0,1)+1)</f>
        <v>2</v>
      </c>
      <c r="D116" s="2" t="s">
        <v>1240</v>
      </c>
      <c r="E116">
        <f>IF(Tabla_Activo_Fijo[[#This Row],[Id_anterior]]=1,ROW()-1,SUM(ROW()-1,Tabla_Activo_Fijo[[#This Row],[Id_anterior]]))</f>
        <v>1492</v>
      </c>
      <c r="F11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ACTIVO_FIJO_INFRAESCTRUCTURA_INFORMES_RELACION_TERRENOS_POR_UNIDAD</v>
      </c>
      <c r="G116" s="2" t="str">
        <f>CLEAN(PROPER(Tabla_Activo_Fijo[[#This Row],[Nombre Opción]]))</f>
        <v>Relacion De Terrenos Por Unidad</v>
      </c>
      <c r="H116" s="2" t="s">
        <v>1735</v>
      </c>
      <c r="I116" s="2" t="str">
        <f>_xlfn.XLOOKUP(Tabla_Activo_Fijo[[#This Row],[id_padre]],Tabla_Activo_Fijo[Id],Tabla_Activo_Fijo[Codigo_Tecnico],"",0,1)</f>
        <v>ACTIVO_FIJO_INFRAESCTRUCTURA_INFORMES</v>
      </c>
      <c r="J11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/activo-fijo-infraesctructura/informes/relacion-terrenos-por-unidad</v>
      </c>
      <c r="K11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relacion-terrenos-por-unidad</v>
      </c>
      <c r="L116" s="6" t="s">
        <v>1341</v>
      </c>
      <c r="M116" s="2" t="s">
        <v>1793</v>
      </c>
      <c r="N116" s="4" t="s">
        <v>360</v>
      </c>
      <c r="O116" s="4" t="s">
        <v>360</v>
      </c>
      <c r="P116" s="4" t="s">
        <v>360</v>
      </c>
      <c r="Q116" s="4" t="s">
        <v>360</v>
      </c>
      <c r="R116" s="4" t="s">
        <v>360</v>
      </c>
      <c r="S116" s="4" t="s">
        <v>360</v>
      </c>
      <c r="T116" s="4" t="s">
        <v>360</v>
      </c>
      <c r="U116" s="2" t="str">
        <f>IF(Tabla_Activo_Fijo[[#This Row],[id_padre]]=Tabla_Activo_Fijo[[#This Row],[Id]],"NOK","OK")</f>
        <v>OK</v>
      </c>
    </row>
    <row r="117" spans="1:21" hidden="1" x14ac:dyDescent="0.5">
      <c r="A117" s="2">
        <f>MAX(Tabla_VME[Id])</f>
        <v>1377</v>
      </c>
      <c r="B117">
        <v>1382</v>
      </c>
      <c r="C117" s="5">
        <f>IF(Tabla_Activo_Fijo[[#This Row],[id_padre]]="",0,_xlfn.XLOOKUP(Tabla_Activo_Fijo[[#This Row],[id_padre]],Tabla_Activo_Fijo[Id],Tabla_Activo_Fijo[Nivel],0,0,1)+1)</f>
        <v>2</v>
      </c>
      <c r="D117" s="2" t="s">
        <v>1241</v>
      </c>
      <c r="E117">
        <f>IF(Tabla_Activo_Fijo[[#This Row],[Id_anterior]]=1,ROW()-1,SUM(ROW()-1,Tabla_Activo_Fijo[[#This Row],[Id_anterior]]))</f>
        <v>1493</v>
      </c>
      <c r="F11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ACTIVO_FIJO_INFRAESCTRUCTURA_INFORMES_RELACION_TERRENOS_POR_UNIDAD_INTERNA</v>
      </c>
      <c r="G117" s="2" t="str">
        <f>CLEAN(PROPER(Tabla_Activo_Fijo[[#This Row],[Nombre Opción]]))</f>
        <v>Relacion De Terrenos Por Unidad Interna</v>
      </c>
      <c r="H117" s="2" t="s">
        <v>1735</v>
      </c>
      <c r="I117" s="2" t="str">
        <f>_xlfn.XLOOKUP(Tabla_Activo_Fijo[[#This Row],[id_padre]],Tabla_Activo_Fijo[Id],Tabla_Activo_Fijo[Codigo_Tecnico],"",0,1)</f>
        <v>ACTIVO_FIJO_INFRAESCTRUCTURA_INFORMES</v>
      </c>
      <c r="J11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/activo-fijo-infraesctructura/informes/relacion-terrenos-por-unidad-interna</v>
      </c>
      <c r="K11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relacion-terrenos-por-unidad-interna</v>
      </c>
      <c r="L117" s="6" t="s">
        <v>1389</v>
      </c>
      <c r="M117" s="2" t="s">
        <v>1793</v>
      </c>
      <c r="N117" s="4" t="s">
        <v>360</v>
      </c>
      <c r="O117" s="4" t="s">
        <v>360</v>
      </c>
      <c r="P117" s="4" t="s">
        <v>360</v>
      </c>
      <c r="Q117" s="4" t="s">
        <v>360</v>
      </c>
      <c r="R117" s="4" t="s">
        <v>360</v>
      </c>
      <c r="S117" s="4" t="s">
        <v>360</v>
      </c>
      <c r="T117" s="4" t="s">
        <v>360</v>
      </c>
      <c r="U117" s="2" t="str">
        <f>IF(Tabla_Activo_Fijo[[#This Row],[id_padre]]=Tabla_Activo_Fijo[[#This Row],[Id]],"NOK","OK")</f>
        <v>OK</v>
      </c>
    </row>
    <row r="118" spans="1:21" hidden="1" x14ac:dyDescent="0.5">
      <c r="A118" s="2">
        <f>MAX(Tabla_VME[Id])</f>
        <v>1377</v>
      </c>
      <c r="B118">
        <v>1382</v>
      </c>
      <c r="C118" s="5">
        <f>IF(Tabla_Activo_Fijo[[#This Row],[id_padre]]="",0,_xlfn.XLOOKUP(Tabla_Activo_Fijo[[#This Row],[id_padre]],Tabla_Activo_Fijo[Id],Tabla_Activo_Fijo[Nivel],0,0,1)+1)</f>
        <v>2</v>
      </c>
      <c r="D118" s="2" t="s">
        <v>1242</v>
      </c>
      <c r="E118">
        <f>IF(Tabla_Activo_Fijo[[#This Row],[Id_anterior]]=1,ROW()-1,SUM(ROW()-1,Tabla_Activo_Fijo[[#This Row],[Id_anterior]]))</f>
        <v>1494</v>
      </c>
      <c r="F11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ACTIVO_FIJO_INFRAESCTRUCTURA_INFORMES_RELACION_TERRENOS_CON_INDICADOR_NO_ESTANDARES</v>
      </c>
      <c r="G118" s="2" t="str">
        <f>CLEAN(PROPER(Tabla_Activo_Fijo[[#This Row],[Nombre Opción]]))</f>
        <v>Relacion De Terrenos Con Indicador No Estandares</v>
      </c>
      <c r="H118" s="2" t="s">
        <v>1735</v>
      </c>
      <c r="I118" s="2" t="str">
        <f>_xlfn.XLOOKUP(Tabla_Activo_Fijo[[#This Row],[id_padre]],Tabla_Activo_Fijo[Id],Tabla_Activo_Fijo[Codigo_Tecnico],"",0,1)</f>
        <v>ACTIVO_FIJO_INFRAESCTRUCTURA_INFORMES</v>
      </c>
      <c r="J11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/activo-fijo-infraesctructura/informes/relacion-terrenos-con-indicador-no-estandares</v>
      </c>
      <c r="K11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relacion-terrenos-con-indicador-no-estandares</v>
      </c>
      <c r="L118" s="6" t="s">
        <v>1493</v>
      </c>
      <c r="M118" s="2" t="s">
        <v>1793</v>
      </c>
      <c r="N118" s="4" t="s">
        <v>360</v>
      </c>
      <c r="O118" s="4" t="s">
        <v>360</v>
      </c>
      <c r="P118" s="4" t="s">
        <v>360</v>
      </c>
      <c r="Q118" s="4" t="s">
        <v>360</v>
      </c>
      <c r="R118" s="4" t="s">
        <v>360</v>
      </c>
      <c r="S118" s="4" t="s">
        <v>360</v>
      </c>
      <c r="T118" s="4" t="s">
        <v>360</v>
      </c>
      <c r="U118" s="2" t="str">
        <f>IF(Tabla_Activo_Fijo[[#This Row],[id_padre]]=Tabla_Activo_Fijo[[#This Row],[Id]],"NOK","OK")</f>
        <v>OK</v>
      </c>
    </row>
    <row r="119" spans="1:21" hidden="1" x14ac:dyDescent="0.5">
      <c r="A119" s="2">
        <f>MAX(Tabla_VME[Id])</f>
        <v>1377</v>
      </c>
      <c r="B119">
        <v>1382</v>
      </c>
      <c r="C119" s="5">
        <f>IF(Tabla_Activo_Fijo[[#This Row],[id_padre]]="",0,_xlfn.XLOOKUP(Tabla_Activo_Fijo[[#This Row],[id_padre]],Tabla_Activo_Fijo[Id],Tabla_Activo_Fijo[Nivel],0,0,1)+1)</f>
        <v>2</v>
      </c>
      <c r="D119" s="2" t="s">
        <v>1243</v>
      </c>
      <c r="E119">
        <f>IF(Tabla_Activo_Fijo[[#This Row],[Id_anterior]]=1,ROW()-1,SUM(ROW()-1,Tabla_Activo_Fijo[[#This Row],[Id_anterior]]))</f>
        <v>1495</v>
      </c>
      <c r="F11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ACTIVO_FIJO_INFRAESCTRUCTURA_INFORMES_ALTA_TERRENOS_ANUALES</v>
      </c>
      <c r="G119" s="2" t="str">
        <f>CLEAN(PROPER(Tabla_Activo_Fijo[[#This Row],[Nombre Opción]]))</f>
        <v>Alta De Terrenos Anuales</v>
      </c>
      <c r="H119" s="2" t="s">
        <v>1735</v>
      </c>
      <c r="I119" s="2" t="str">
        <f>_xlfn.XLOOKUP(Tabla_Activo_Fijo[[#This Row],[id_padre]],Tabla_Activo_Fijo[Id],Tabla_Activo_Fijo[Codigo_Tecnico],"",0,1)</f>
        <v>ACTIVO_FIJO_INFRAESCTRUCTURA_INFORMES</v>
      </c>
      <c r="J11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/activo-fijo-infraesctructura/informes/alta-terrenos-anuales</v>
      </c>
      <c r="K11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alta-terrenos-anuales</v>
      </c>
      <c r="L119" s="6" t="s">
        <v>1357</v>
      </c>
      <c r="M119" s="2" t="s">
        <v>1793</v>
      </c>
      <c r="N119" s="4" t="s">
        <v>360</v>
      </c>
      <c r="O119" s="4" t="s">
        <v>360</v>
      </c>
      <c r="P119" s="4" t="s">
        <v>360</v>
      </c>
      <c r="Q119" s="4" t="s">
        <v>360</v>
      </c>
      <c r="R119" s="4" t="s">
        <v>360</v>
      </c>
      <c r="S119" s="4" t="s">
        <v>360</v>
      </c>
      <c r="T119" s="4" t="s">
        <v>360</v>
      </c>
      <c r="U119" s="2" t="str">
        <f>IF(Tabla_Activo_Fijo[[#This Row],[id_padre]]=Tabla_Activo_Fijo[[#This Row],[Id]],"NOK","OK")</f>
        <v>OK</v>
      </c>
    </row>
    <row r="120" spans="1:21" hidden="1" x14ac:dyDescent="0.5">
      <c r="A120" s="2">
        <f>MAX(Tabla_VME[Id])</f>
        <v>1377</v>
      </c>
      <c r="B120">
        <v>1382</v>
      </c>
      <c r="C120" s="5">
        <f>IF(Tabla_Activo_Fijo[[#This Row],[id_padre]]="",0,_xlfn.XLOOKUP(Tabla_Activo_Fijo[[#This Row],[id_padre]],Tabla_Activo_Fijo[Id],Tabla_Activo_Fijo[Nivel],0,0,1)+1)</f>
        <v>2</v>
      </c>
      <c r="D120" s="2" t="s">
        <v>1244</v>
      </c>
      <c r="E120">
        <f>IF(Tabla_Activo_Fijo[[#This Row],[Id_anterior]]=1,ROW()-1,SUM(ROW()-1,Tabla_Activo_Fijo[[#This Row],[Id_anterior]]))</f>
        <v>1496</v>
      </c>
      <c r="F12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ACTIVO_FIJO_INFRAESCTRUCTURA_INFORMES_INCORPORACIONES_TERRENOS_ANUALES</v>
      </c>
      <c r="G120" s="2" t="str">
        <f>CLEAN(PROPER(Tabla_Activo_Fijo[[#This Row],[Nombre Opción]]))</f>
        <v>Incorporaciones De Terrenos Anuales</v>
      </c>
      <c r="H120" s="2" t="s">
        <v>1735</v>
      </c>
      <c r="I120" s="2" t="str">
        <f>_xlfn.XLOOKUP(Tabla_Activo_Fijo[[#This Row],[id_padre]],Tabla_Activo_Fijo[Id],Tabla_Activo_Fijo[Codigo_Tecnico],"",0,1)</f>
        <v>ACTIVO_FIJO_INFRAESCTRUCTURA_INFORMES</v>
      </c>
      <c r="J12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/activo-fijo-infraesctructura/informes/incorporaciones-terrenos-anuales</v>
      </c>
      <c r="K12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incorporaciones-terrenos-anuales</v>
      </c>
      <c r="L120" s="6" t="s">
        <v>1372</v>
      </c>
      <c r="M120" s="2" t="s">
        <v>1793</v>
      </c>
      <c r="N120" s="4" t="s">
        <v>360</v>
      </c>
      <c r="O120" s="4" t="s">
        <v>360</v>
      </c>
      <c r="P120" s="4" t="s">
        <v>360</v>
      </c>
      <c r="Q120" s="4" t="s">
        <v>360</v>
      </c>
      <c r="R120" s="4" t="s">
        <v>360</v>
      </c>
      <c r="S120" s="4" t="s">
        <v>360</v>
      </c>
      <c r="T120" s="4" t="s">
        <v>360</v>
      </c>
      <c r="U120" s="2" t="str">
        <f>IF(Tabla_Activo_Fijo[[#This Row],[id_padre]]=Tabla_Activo_Fijo[[#This Row],[Id]],"NOK","OK")</f>
        <v>OK</v>
      </c>
    </row>
    <row r="121" spans="1:21" hidden="1" x14ac:dyDescent="0.5">
      <c r="A121" s="2">
        <f>MAX(Tabla_VME[Id])</f>
        <v>1377</v>
      </c>
      <c r="B121">
        <v>1382</v>
      </c>
      <c r="C121" s="5">
        <f>IF(Tabla_Activo_Fijo[[#This Row],[id_padre]]="",0,_xlfn.XLOOKUP(Tabla_Activo_Fijo[[#This Row],[id_padre]],Tabla_Activo_Fijo[Id],Tabla_Activo_Fijo[Nivel],0,0,1)+1)</f>
        <v>2</v>
      </c>
      <c r="D121" s="2" t="s">
        <v>1245</v>
      </c>
      <c r="E121">
        <f>IF(Tabla_Activo_Fijo[[#This Row],[Id_anterior]]=1,ROW()-1,SUM(ROW()-1,Tabla_Activo_Fijo[[#This Row],[Id_anterior]]))</f>
        <v>1497</v>
      </c>
      <c r="F12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ACTIVO_FIJO_INFRAESCTRUCTURA_INFORMES_BAJA_TERRENOS_ANUALES</v>
      </c>
      <c r="G121" s="2" t="str">
        <f>CLEAN(PROPER(Tabla_Activo_Fijo[[#This Row],[Nombre Opción]]))</f>
        <v>Baja De Terrenos Anuales</v>
      </c>
      <c r="H121" s="2" t="s">
        <v>1735</v>
      </c>
      <c r="I121" s="2" t="str">
        <f>_xlfn.XLOOKUP(Tabla_Activo_Fijo[[#This Row],[id_padre]],Tabla_Activo_Fijo[Id],Tabla_Activo_Fijo[Codigo_Tecnico],"",0,1)</f>
        <v>ACTIVO_FIJO_INFRAESCTRUCTURA_INFORMES</v>
      </c>
      <c r="J12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/activo-fijo-infraesctructura/informes/baja-terrenos-anuales</v>
      </c>
      <c r="K12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baja-terrenos-anuales</v>
      </c>
      <c r="L121" s="6" t="s">
        <v>1383</v>
      </c>
      <c r="M121" s="2" t="s">
        <v>1793</v>
      </c>
      <c r="N121" s="4" t="s">
        <v>360</v>
      </c>
      <c r="O121" s="4" t="s">
        <v>360</v>
      </c>
      <c r="P121" s="4" t="s">
        <v>360</v>
      </c>
      <c r="Q121" s="4" t="s">
        <v>360</v>
      </c>
      <c r="R121" s="4" t="s">
        <v>360</v>
      </c>
      <c r="S121" s="4" t="s">
        <v>360</v>
      </c>
      <c r="T121" s="4" t="s">
        <v>360</v>
      </c>
      <c r="U121" s="2" t="str">
        <f>IF(Tabla_Activo_Fijo[[#This Row],[id_padre]]=Tabla_Activo_Fijo[[#This Row],[Id]],"NOK","OK")</f>
        <v>OK</v>
      </c>
    </row>
    <row r="122" spans="1:21" hidden="1" x14ac:dyDescent="0.5">
      <c r="A122" s="2">
        <f>MAX(Tabla_VME[Id])</f>
        <v>1377</v>
      </c>
      <c r="B122">
        <v>1382</v>
      </c>
      <c r="C122" s="5">
        <f>IF(Tabla_Activo_Fijo[[#This Row],[id_padre]]="",0,_xlfn.XLOOKUP(Tabla_Activo_Fijo[[#This Row],[id_padre]],Tabla_Activo_Fijo[Id],Tabla_Activo_Fijo[Nivel],0,0,1)+1)</f>
        <v>2</v>
      </c>
      <c r="D122" s="2" t="s">
        <v>1246</v>
      </c>
      <c r="E122">
        <f>IF(Tabla_Activo_Fijo[[#This Row],[Id_anterior]]=1,ROW()-1,SUM(ROW()-1,Tabla_Activo_Fijo[[#This Row],[Id_anterior]]))</f>
        <v>1498</v>
      </c>
      <c r="F12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ACTIVO_FIJO_INFRAESCTRUCTURA_INFORMES_FICHA_EDIFICACIONES</v>
      </c>
      <c r="G122" s="2" t="str">
        <f>CLEAN(PROPER(Tabla_Activo_Fijo[[#This Row],[Nombre Opción]]))</f>
        <v>Ficha De Edificaciones</v>
      </c>
      <c r="H122" s="2" t="s">
        <v>1735</v>
      </c>
      <c r="I122" s="2" t="str">
        <f>_xlfn.XLOOKUP(Tabla_Activo_Fijo[[#This Row],[id_padre]],Tabla_Activo_Fijo[Id],Tabla_Activo_Fijo[Codigo_Tecnico],"",0,1)</f>
        <v>ACTIVO_FIJO_INFRAESCTRUCTURA_INFORMES</v>
      </c>
      <c r="J12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/activo-fijo-infraesctructura/informes/ficha-edificaciones</v>
      </c>
      <c r="K12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ficha-edificaciones</v>
      </c>
      <c r="L122" s="6" t="s">
        <v>1343</v>
      </c>
      <c r="M122" s="2" t="s">
        <v>1793</v>
      </c>
      <c r="N122" s="4" t="s">
        <v>360</v>
      </c>
      <c r="O122" s="4" t="s">
        <v>360</v>
      </c>
      <c r="P122" s="4" t="s">
        <v>360</v>
      </c>
      <c r="Q122" s="4" t="s">
        <v>360</v>
      </c>
      <c r="R122" s="4" t="s">
        <v>360</v>
      </c>
      <c r="S122" s="4" t="s">
        <v>360</v>
      </c>
      <c r="T122" s="4" t="s">
        <v>360</v>
      </c>
      <c r="U122" s="2" t="str">
        <f>IF(Tabla_Activo_Fijo[[#This Row],[id_padre]]=Tabla_Activo_Fijo[[#This Row],[Id]],"NOK","OK")</f>
        <v>OK</v>
      </c>
    </row>
    <row r="123" spans="1:21" hidden="1" x14ac:dyDescent="0.5">
      <c r="A123" s="2">
        <f>MAX(Tabla_VME[Id])</f>
        <v>1377</v>
      </c>
      <c r="B123">
        <v>1382</v>
      </c>
      <c r="C123" s="5">
        <f>IF(Tabla_Activo_Fijo[[#This Row],[id_padre]]="",0,_xlfn.XLOOKUP(Tabla_Activo_Fijo[[#This Row],[id_padre]],Tabla_Activo_Fijo[Id],Tabla_Activo_Fijo[Nivel],0,0,1)+1)</f>
        <v>2</v>
      </c>
      <c r="D123" s="2" t="s">
        <v>1227</v>
      </c>
      <c r="E123">
        <f>IF(Tabla_Activo_Fijo[[#This Row],[Id_anterior]]=1,ROW()-1,SUM(ROW()-1,Tabla_Activo_Fijo[[#This Row],[Id_anterior]]))</f>
        <v>1499</v>
      </c>
      <c r="F12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ACTIVO_FIJO_INFRAESCTRUCTURA_INFORMES_RELACION_EDIFICACIONES_POR_JURISDICCION</v>
      </c>
      <c r="G123" s="2" t="str">
        <f>CLEAN(PROPER(Tabla_Activo_Fijo[[#This Row],[Nombre Opción]]))</f>
        <v>Relacion De Edificaciones Por Jurisdiccion</v>
      </c>
      <c r="H123" s="2" t="s">
        <v>1735</v>
      </c>
      <c r="I123" s="2" t="str">
        <f>_xlfn.XLOOKUP(Tabla_Activo_Fijo[[#This Row],[id_padre]],Tabla_Activo_Fijo[Id],Tabla_Activo_Fijo[Codigo_Tecnico],"",0,1)</f>
        <v>ACTIVO_FIJO_INFRAESCTRUCTURA_INFORMES</v>
      </c>
      <c r="J12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/activo-fijo-infraesctructura/informes/relacion-edificaciones-por-jurisdiccion</v>
      </c>
      <c r="K12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relacion-edificaciones-por-jurisdiccion</v>
      </c>
      <c r="L123" s="6" t="s">
        <v>1367</v>
      </c>
      <c r="M123" s="2" t="s">
        <v>1793</v>
      </c>
      <c r="N123" s="4" t="s">
        <v>360</v>
      </c>
      <c r="O123" s="4" t="s">
        <v>360</v>
      </c>
      <c r="P123" s="4" t="s">
        <v>360</v>
      </c>
      <c r="Q123" s="4" t="s">
        <v>360</v>
      </c>
      <c r="R123" s="4" t="s">
        <v>360</v>
      </c>
      <c r="S123" s="4" t="s">
        <v>360</v>
      </c>
      <c r="T123" s="4" t="s">
        <v>360</v>
      </c>
      <c r="U123" s="2" t="str">
        <f>IF(Tabla_Activo_Fijo[[#This Row],[id_padre]]=Tabla_Activo_Fijo[[#This Row],[Id]],"NOK","OK")</f>
        <v>OK</v>
      </c>
    </row>
    <row r="124" spans="1:21" hidden="1" x14ac:dyDescent="0.5">
      <c r="A124" s="2">
        <f>MAX(Tabla_VME[Id])</f>
        <v>1377</v>
      </c>
      <c r="B124">
        <v>1382</v>
      </c>
      <c r="C124" s="5">
        <f>IF(Tabla_Activo_Fijo[[#This Row],[id_padre]]="",0,_xlfn.XLOOKUP(Tabla_Activo_Fijo[[#This Row],[id_padre]],Tabla_Activo_Fijo[Id],Tabla_Activo_Fijo[Nivel],0,0,1)+1)</f>
        <v>2</v>
      </c>
      <c r="D124" s="2" t="s">
        <v>1247</v>
      </c>
      <c r="E124">
        <f>IF(Tabla_Activo_Fijo[[#This Row],[Id_anterior]]=1,ROW()-1,SUM(ROW()-1,Tabla_Activo_Fijo[[#This Row],[Id_anterior]]))</f>
        <v>1500</v>
      </c>
      <c r="F12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ACTIVO_FIJO_INFRAESCTRUCTURA_INFORMES_RELACION_EDIFICACIONES_POR_UNIDAD</v>
      </c>
      <c r="G124" s="2" t="str">
        <f>CLEAN(PROPER(Tabla_Activo_Fijo[[#This Row],[Nombre Opción]]))</f>
        <v>Relacion De Edificaciones Por Unidad</v>
      </c>
      <c r="H124" s="2" t="s">
        <v>1735</v>
      </c>
      <c r="I124" s="2" t="str">
        <f>_xlfn.XLOOKUP(Tabla_Activo_Fijo[[#This Row],[id_padre]],Tabla_Activo_Fijo[Id],Tabla_Activo_Fijo[Codigo_Tecnico],"",0,1)</f>
        <v>ACTIVO_FIJO_INFRAESCTRUCTURA_INFORMES</v>
      </c>
      <c r="J12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/activo-fijo-infraesctructura/informes/relacion-edificaciones-por-unidad</v>
      </c>
      <c r="K12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relacion-edificaciones-por-unidad</v>
      </c>
      <c r="L124" s="6" t="s">
        <v>1341</v>
      </c>
      <c r="M124" s="2" t="s">
        <v>1793</v>
      </c>
      <c r="N124" s="4" t="s">
        <v>360</v>
      </c>
      <c r="O124" s="4" t="s">
        <v>360</v>
      </c>
      <c r="P124" s="4" t="s">
        <v>360</v>
      </c>
      <c r="Q124" s="4" t="s">
        <v>360</v>
      </c>
      <c r="R124" s="4" t="s">
        <v>360</v>
      </c>
      <c r="S124" s="4" t="s">
        <v>360</v>
      </c>
      <c r="T124" s="4" t="s">
        <v>360</v>
      </c>
      <c r="U124" s="2" t="str">
        <f>IF(Tabla_Activo_Fijo[[#This Row],[id_padre]]=Tabla_Activo_Fijo[[#This Row],[Id]],"NOK","OK")</f>
        <v>OK</v>
      </c>
    </row>
    <row r="125" spans="1:21" hidden="1" x14ac:dyDescent="0.5">
      <c r="A125" s="2">
        <f>MAX(Tabla_VME[Id])</f>
        <v>1377</v>
      </c>
      <c r="B125">
        <v>1382</v>
      </c>
      <c r="C125" s="5">
        <f>IF(Tabla_Activo_Fijo[[#This Row],[id_padre]]="",0,_xlfn.XLOOKUP(Tabla_Activo_Fijo[[#This Row],[id_padre]],Tabla_Activo_Fijo[Id],Tabla_Activo_Fijo[Nivel],0,0,1)+1)</f>
        <v>2</v>
      </c>
      <c r="D125" s="2" t="s">
        <v>1248</v>
      </c>
      <c r="E125">
        <f>IF(Tabla_Activo_Fijo[[#This Row],[Id_anterior]]=1,ROW()-1,SUM(ROW()-1,Tabla_Activo_Fijo[[#This Row],[Id_anterior]]))</f>
        <v>1501</v>
      </c>
      <c r="F12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ACTIVO_FIJO_INFRAESCTRUCTURA_INFORMES_RELACION_EDIFICACIONES_POR_UNIDAD_INTERNA</v>
      </c>
      <c r="G125" s="2" t="str">
        <f>CLEAN(PROPER(Tabla_Activo_Fijo[[#This Row],[Nombre Opción]]))</f>
        <v>Relacion De Edificaciones Por Unidad Interna</v>
      </c>
      <c r="H125" s="2" t="s">
        <v>1735</v>
      </c>
      <c r="I125" s="2" t="str">
        <f>_xlfn.XLOOKUP(Tabla_Activo_Fijo[[#This Row],[id_padre]],Tabla_Activo_Fijo[Id],Tabla_Activo_Fijo[Codigo_Tecnico],"",0,1)</f>
        <v>ACTIVO_FIJO_INFRAESCTRUCTURA_INFORMES</v>
      </c>
      <c r="J12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/activo-fijo-infraesctructura/informes/relacion-edificaciones-por-unidad-interna</v>
      </c>
      <c r="K12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relacion-edificaciones-por-unidad-interna</v>
      </c>
      <c r="L125" s="6" t="s">
        <v>1389</v>
      </c>
      <c r="M125" s="2" t="s">
        <v>1793</v>
      </c>
      <c r="N125" s="4" t="s">
        <v>360</v>
      </c>
      <c r="O125" s="4" t="s">
        <v>360</v>
      </c>
      <c r="P125" s="4" t="s">
        <v>360</v>
      </c>
      <c r="Q125" s="4" t="s">
        <v>360</v>
      </c>
      <c r="R125" s="4" t="s">
        <v>360</v>
      </c>
      <c r="S125" s="4" t="s">
        <v>360</v>
      </c>
      <c r="T125" s="4" t="s">
        <v>360</v>
      </c>
      <c r="U125" s="2" t="str">
        <f>IF(Tabla_Activo_Fijo[[#This Row],[id_padre]]=Tabla_Activo_Fijo[[#This Row],[Id]],"NOK","OK")</f>
        <v>OK</v>
      </c>
    </row>
    <row r="126" spans="1:21" hidden="1" x14ac:dyDescent="0.5">
      <c r="A126" s="2">
        <f>MAX(Tabla_VME[Id])</f>
        <v>1377</v>
      </c>
      <c r="B126">
        <v>1382</v>
      </c>
      <c r="C126" s="5">
        <f>IF(Tabla_Activo_Fijo[[#This Row],[id_padre]]="",0,_xlfn.XLOOKUP(Tabla_Activo_Fijo[[#This Row],[id_padre]],Tabla_Activo_Fijo[Id],Tabla_Activo_Fijo[Nivel],0,0,1)+1)</f>
        <v>2</v>
      </c>
      <c r="D126" s="2" t="s">
        <v>1249</v>
      </c>
      <c r="E126">
        <f>IF(Tabla_Activo_Fijo[[#This Row],[Id_anterior]]=1,ROW()-1,SUM(ROW()-1,Tabla_Activo_Fijo[[#This Row],[Id_anterior]]))</f>
        <v>1502</v>
      </c>
      <c r="F126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ACTIVO_FIJO_INFRAESCTRUCTURA_INFORMES_RELACION_EDIFICACIONES_VALORIZADAS_POR_UNIDAD</v>
      </c>
      <c r="G126" s="2" t="str">
        <f>CLEAN(PROPER(Tabla_Activo_Fijo[[#This Row],[Nombre Opción]]))</f>
        <v>Relacion De Edificaciones Valorizadas Por Unidad</v>
      </c>
      <c r="H126" s="2" t="s">
        <v>1735</v>
      </c>
      <c r="I126" s="2" t="str">
        <f>_xlfn.XLOOKUP(Tabla_Activo_Fijo[[#This Row],[id_padre]],Tabla_Activo_Fijo[Id],Tabla_Activo_Fijo[Codigo_Tecnico],"",0,1)</f>
        <v>ACTIVO_FIJO_INFRAESCTRUCTURA_INFORMES</v>
      </c>
      <c r="J126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/activo-fijo-infraesctructura/informes/relacion-edificaciones-valorizadas-por-unidad</v>
      </c>
      <c r="K126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relacion-edificaciones-valorizadas-por-unidad</v>
      </c>
      <c r="L126" s="6" t="s">
        <v>1415</v>
      </c>
      <c r="M126" s="2" t="s">
        <v>1793</v>
      </c>
      <c r="N126" s="4" t="s">
        <v>360</v>
      </c>
      <c r="O126" s="4" t="s">
        <v>360</v>
      </c>
      <c r="P126" s="4" t="s">
        <v>360</v>
      </c>
      <c r="Q126" s="4" t="s">
        <v>360</v>
      </c>
      <c r="R126" s="4" t="s">
        <v>360</v>
      </c>
      <c r="S126" s="4" t="s">
        <v>360</v>
      </c>
      <c r="T126" s="4" t="s">
        <v>360</v>
      </c>
      <c r="U126" s="2" t="str">
        <f>IF(Tabla_Activo_Fijo[[#This Row],[id_padre]]=Tabla_Activo_Fijo[[#This Row],[Id]],"NOK","OK")</f>
        <v>OK</v>
      </c>
    </row>
    <row r="127" spans="1:21" hidden="1" x14ac:dyDescent="0.5">
      <c r="A127" s="2">
        <f>MAX(Tabla_VME[Id])</f>
        <v>1377</v>
      </c>
      <c r="B127">
        <v>1382</v>
      </c>
      <c r="C127" s="5">
        <f>IF(Tabla_Activo_Fijo[[#This Row],[id_padre]]="",0,_xlfn.XLOOKUP(Tabla_Activo_Fijo[[#This Row],[id_padre]],Tabla_Activo_Fijo[Id],Tabla_Activo_Fijo[Nivel],0,0,1)+1)</f>
        <v>2</v>
      </c>
      <c r="D127" s="2" t="s">
        <v>1250</v>
      </c>
      <c r="E127">
        <f>IF(Tabla_Activo_Fijo[[#This Row],[Id_anterior]]=1,ROW()-1,SUM(ROW()-1,Tabla_Activo_Fijo[[#This Row],[Id_anterior]]))</f>
        <v>1503</v>
      </c>
      <c r="F127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ACTIVO_FIJO_INFRAESCTRUCTURA_INFORMES_RELACION_EDIFICACIONES_VALORIZADAS_POR_TERRENO</v>
      </c>
      <c r="G127" s="2" t="str">
        <f>CLEAN(PROPER(Tabla_Activo_Fijo[[#This Row],[Nombre Opción]]))</f>
        <v>Relacion De Edificaciones Valorizadas Por Terreno</v>
      </c>
      <c r="H127" s="2" t="s">
        <v>1735</v>
      </c>
      <c r="I127" s="2" t="str">
        <f>_xlfn.XLOOKUP(Tabla_Activo_Fijo[[#This Row],[id_padre]],Tabla_Activo_Fijo[Id],Tabla_Activo_Fijo[Codigo_Tecnico],"",0,1)</f>
        <v>ACTIVO_FIJO_INFRAESCTRUCTURA_INFORMES</v>
      </c>
      <c r="J127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/activo-fijo-infraesctructura/informes/relacion-edificaciones-valorizadas-por-terreno</v>
      </c>
      <c r="K127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relacion-edificaciones-valorizadas-por-terreno</v>
      </c>
      <c r="L127" s="6" t="s">
        <v>1653</v>
      </c>
      <c r="M127" s="2" t="s">
        <v>1793</v>
      </c>
      <c r="N127" s="4" t="s">
        <v>360</v>
      </c>
      <c r="O127" s="4" t="s">
        <v>360</v>
      </c>
      <c r="P127" s="4" t="s">
        <v>360</v>
      </c>
      <c r="Q127" s="4" t="s">
        <v>360</v>
      </c>
      <c r="R127" s="4" t="s">
        <v>360</v>
      </c>
      <c r="S127" s="4" t="s">
        <v>360</v>
      </c>
      <c r="T127" s="4" t="s">
        <v>360</v>
      </c>
      <c r="U127" s="2" t="str">
        <f>IF(Tabla_Activo_Fijo[[#This Row],[id_padre]]=Tabla_Activo_Fijo[[#This Row],[Id]],"NOK","OK")</f>
        <v>OK</v>
      </c>
    </row>
    <row r="128" spans="1:21" hidden="1" x14ac:dyDescent="0.5">
      <c r="A128" s="2">
        <f>MAX(Tabla_VME[Id])</f>
        <v>1377</v>
      </c>
      <c r="B128">
        <v>1382</v>
      </c>
      <c r="C128" s="5">
        <f>IF(Tabla_Activo_Fijo[[#This Row],[id_padre]]="",0,_xlfn.XLOOKUP(Tabla_Activo_Fijo[[#This Row],[id_padre]],Tabla_Activo_Fijo[Id],Tabla_Activo_Fijo[Nivel],0,0,1)+1)</f>
        <v>2</v>
      </c>
      <c r="D128" s="2" t="s">
        <v>1251</v>
      </c>
      <c r="E128">
        <f>IF(Tabla_Activo_Fijo[[#This Row],[Id_anterior]]=1,ROW()-1,SUM(ROW()-1,Tabla_Activo_Fijo[[#This Row],[Id_anterior]]))</f>
        <v>1504</v>
      </c>
      <c r="F128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ACTIVO_FIJO_INFRAESCTRUCTURA_INFORMES_RELACION_EDIFICACIONES_CON_INDICADOR_NO_ESTAND</v>
      </c>
      <c r="G128" s="2" t="str">
        <f>CLEAN(PROPER(Tabla_Activo_Fijo[[#This Row],[Nombre Opción]]))</f>
        <v>Relacion De Edificaciones Con Indicador No Estand.</v>
      </c>
      <c r="H128" s="2" t="s">
        <v>1735</v>
      </c>
      <c r="I128" s="2" t="str">
        <f>_xlfn.XLOOKUP(Tabla_Activo_Fijo[[#This Row],[id_padre]],Tabla_Activo_Fijo[Id],Tabla_Activo_Fijo[Codigo_Tecnico],"",0,1)</f>
        <v>ACTIVO_FIJO_INFRAESCTRUCTURA_INFORMES</v>
      </c>
      <c r="J128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/activo-fijo-infraesctructura/informes/relacion-edificaciones-con-indicador-no-estand</v>
      </c>
      <c r="K128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relacion-edificaciones-con-indicador-no-estand</v>
      </c>
      <c r="L128" s="6" t="s">
        <v>1493</v>
      </c>
      <c r="M128" s="2" t="s">
        <v>1793</v>
      </c>
      <c r="N128" s="4" t="s">
        <v>360</v>
      </c>
      <c r="O128" s="4" t="s">
        <v>360</v>
      </c>
      <c r="P128" s="4" t="s">
        <v>360</v>
      </c>
      <c r="Q128" s="4" t="s">
        <v>360</v>
      </c>
      <c r="R128" s="4" t="s">
        <v>360</v>
      </c>
      <c r="S128" s="4" t="s">
        <v>360</v>
      </c>
      <c r="T128" s="4" t="s">
        <v>360</v>
      </c>
      <c r="U128" s="2" t="str">
        <f>IF(Tabla_Activo_Fijo[[#This Row],[id_padre]]=Tabla_Activo_Fijo[[#This Row],[Id]],"NOK","OK")</f>
        <v>OK</v>
      </c>
    </row>
    <row r="129" spans="1:21" hidden="1" x14ac:dyDescent="0.5">
      <c r="A129" s="2">
        <f>MAX(Tabla_VME[Id])</f>
        <v>1377</v>
      </c>
      <c r="B129">
        <v>1382</v>
      </c>
      <c r="C129" s="5">
        <f>IF(Tabla_Activo_Fijo[[#This Row],[id_padre]]="",0,_xlfn.XLOOKUP(Tabla_Activo_Fijo[[#This Row],[id_padre]],Tabla_Activo_Fijo[Id],Tabla_Activo_Fijo[Nivel],0,0,1)+1)</f>
        <v>2</v>
      </c>
      <c r="D129" s="2" t="s">
        <v>1252</v>
      </c>
      <c r="E129">
        <f>IF(Tabla_Activo_Fijo[[#This Row],[Id_anterior]]=1,ROW()-1,SUM(ROW()-1,Tabla_Activo_Fijo[[#This Row],[Id_anterior]]))</f>
        <v>1505</v>
      </c>
      <c r="F129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ACTIVO_FIJO_INFRAESCTRUCTURA_INFORMES_ALTA_EDIFICACIONES_ANUALES</v>
      </c>
      <c r="G129" s="2" t="str">
        <f>CLEAN(PROPER(Tabla_Activo_Fijo[[#This Row],[Nombre Opción]]))</f>
        <v>Alta De Edificaciones Anuales</v>
      </c>
      <c r="H129" s="2" t="s">
        <v>1735</v>
      </c>
      <c r="I129" s="2" t="str">
        <f>_xlfn.XLOOKUP(Tabla_Activo_Fijo[[#This Row],[id_padre]],Tabla_Activo_Fijo[Id],Tabla_Activo_Fijo[Codigo_Tecnico],"",0,1)</f>
        <v>ACTIVO_FIJO_INFRAESCTRUCTURA_INFORMES</v>
      </c>
      <c r="J129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/activo-fijo-infraesctructura/informes/alta-edificaciones-anuales</v>
      </c>
      <c r="K129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alta-edificaciones-anuales</v>
      </c>
      <c r="L129" s="6" t="s">
        <v>1357</v>
      </c>
      <c r="M129" s="2" t="s">
        <v>1793</v>
      </c>
      <c r="N129" s="4" t="s">
        <v>360</v>
      </c>
      <c r="O129" s="4" t="s">
        <v>360</v>
      </c>
      <c r="P129" s="4" t="s">
        <v>360</v>
      </c>
      <c r="Q129" s="4" t="s">
        <v>360</v>
      </c>
      <c r="R129" s="4" t="s">
        <v>360</v>
      </c>
      <c r="S129" s="4" t="s">
        <v>360</v>
      </c>
      <c r="T129" s="4" t="s">
        <v>360</v>
      </c>
      <c r="U129" s="2" t="str">
        <f>IF(Tabla_Activo_Fijo[[#This Row],[id_padre]]=Tabla_Activo_Fijo[[#This Row],[Id]],"NOK","OK")</f>
        <v>OK</v>
      </c>
    </row>
    <row r="130" spans="1:21" hidden="1" x14ac:dyDescent="0.5">
      <c r="A130" s="2">
        <f>MAX(Tabla_VME[Id])</f>
        <v>1377</v>
      </c>
      <c r="B130">
        <v>1382</v>
      </c>
      <c r="C130" s="5">
        <f>IF(Tabla_Activo_Fijo[[#This Row],[id_padre]]="",0,_xlfn.XLOOKUP(Tabla_Activo_Fijo[[#This Row],[id_padre]],Tabla_Activo_Fijo[Id],Tabla_Activo_Fijo[Nivel],0,0,1)+1)</f>
        <v>2</v>
      </c>
      <c r="D130" s="2" t="s">
        <v>1253</v>
      </c>
      <c r="E130">
        <f>IF(Tabla_Activo_Fijo[[#This Row],[Id_anterior]]=1,ROW()-1,SUM(ROW()-1,Tabla_Activo_Fijo[[#This Row],[Id_anterior]]))</f>
        <v>1506</v>
      </c>
      <c r="F130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ACTIVO_FIJO_INFRAESCTRUCTURA_INFORMES_INCORPORACIONES_EDIFICACIONES_ANUALES</v>
      </c>
      <c r="G130" s="2" t="str">
        <f>CLEAN(PROPER(Tabla_Activo_Fijo[[#This Row],[Nombre Opción]]))</f>
        <v>Incorporaciones De Edificaciones Anuales</v>
      </c>
      <c r="H130" s="2" t="s">
        <v>1735</v>
      </c>
      <c r="I130" s="2" t="str">
        <f>_xlfn.XLOOKUP(Tabla_Activo_Fijo[[#This Row],[id_padre]],Tabla_Activo_Fijo[Id],Tabla_Activo_Fijo[Codigo_Tecnico],"",0,1)</f>
        <v>ACTIVO_FIJO_INFRAESCTRUCTURA_INFORMES</v>
      </c>
      <c r="J130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/activo-fijo-infraesctructura/informes/incorporaciones-edificaciones-anuales</v>
      </c>
      <c r="K130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incorporaciones-edificaciones-anuales</v>
      </c>
      <c r="L130" s="6" t="s">
        <v>1372</v>
      </c>
      <c r="M130" s="2" t="s">
        <v>1793</v>
      </c>
      <c r="N130" s="4" t="s">
        <v>360</v>
      </c>
      <c r="O130" s="4" t="s">
        <v>360</v>
      </c>
      <c r="P130" s="4" t="s">
        <v>360</v>
      </c>
      <c r="Q130" s="4" t="s">
        <v>360</v>
      </c>
      <c r="R130" s="4" t="s">
        <v>360</v>
      </c>
      <c r="S130" s="4" t="s">
        <v>360</v>
      </c>
      <c r="T130" s="4" t="s">
        <v>360</v>
      </c>
      <c r="U130" s="2" t="str">
        <f>IF(Tabla_Activo_Fijo[[#This Row],[id_padre]]=Tabla_Activo_Fijo[[#This Row],[Id]],"NOK","OK")</f>
        <v>OK</v>
      </c>
    </row>
    <row r="131" spans="1:21" hidden="1" x14ac:dyDescent="0.5">
      <c r="A131" s="2">
        <f>MAX(Tabla_VME[Id])</f>
        <v>1377</v>
      </c>
      <c r="B131">
        <v>1382</v>
      </c>
      <c r="C131" s="5">
        <f>IF(Tabla_Activo_Fijo[[#This Row],[id_padre]]="",0,_xlfn.XLOOKUP(Tabla_Activo_Fijo[[#This Row],[id_padre]],Tabla_Activo_Fijo[Id],Tabla_Activo_Fijo[Nivel],0,0,1)+1)</f>
        <v>2</v>
      </c>
      <c r="D131" s="2" t="s">
        <v>1254</v>
      </c>
      <c r="E131">
        <f>IF(Tabla_Activo_Fijo[[#This Row],[Id_anterior]]=1,ROW()-1,SUM(ROW()-1,Tabla_Activo_Fijo[[#This Row],[Id_anterior]]))</f>
        <v>1507</v>
      </c>
      <c r="F131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ACTIVO_FIJO_INFRAESCTRUCTURA_INFORMES_BAJA_EDIFICACIONES_ANUALES</v>
      </c>
      <c r="G131" s="2" t="str">
        <f>CLEAN(PROPER(Tabla_Activo_Fijo[[#This Row],[Nombre Opción]]))</f>
        <v>Baja De Edificaciones Anuales</v>
      </c>
      <c r="H131" s="2" t="s">
        <v>1735</v>
      </c>
      <c r="I131" s="2" t="str">
        <f>_xlfn.XLOOKUP(Tabla_Activo_Fijo[[#This Row],[id_padre]],Tabla_Activo_Fijo[Id],Tabla_Activo_Fijo[Codigo_Tecnico],"",0,1)</f>
        <v>ACTIVO_FIJO_INFRAESCTRUCTURA_INFORMES</v>
      </c>
      <c r="J131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/activo-fijo-infraesctructura/informes/baja-edificaciones-anuales</v>
      </c>
      <c r="K131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baja-edificaciones-anuales</v>
      </c>
      <c r="L131" s="6" t="s">
        <v>1383</v>
      </c>
      <c r="M131" s="2" t="s">
        <v>1793</v>
      </c>
      <c r="N131" s="4" t="s">
        <v>360</v>
      </c>
      <c r="O131" s="4" t="s">
        <v>360</v>
      </c>
      <c r="P131" s="4" t="s">
        <v>360</v>
      </c>
      <c r="Q131" s="4" t="s">
        <v>360</v>
      </c>
      <c r="R131" s="4" t="s">
        <v>360</v>
      </c>
      <c r="S131" s="4" t="s">
        <v>360</v>
      </c>
      <c r="T131" s="4" t="s">
        <v>360</v>
      </c>
      <c r="U131" s="2" t="str">
        <f>IF(Tabla_Activo_Fijo[[#This Row],[id_padre]]=Tabla_Activo_Fijo[[#This Row],[Id]],"NOK","OK")</f>
        <v>OK</v>
      </c>
    </row>
    <row r="132" spans="1:21" hidden="1" x14ac:dyDescent="0.5">
      <c r="A132" s="2">
        <f>MAX(Tabla_VME[Id])</f>
        <v>1377</v>
      </c>
      <c r="B132">
        <v>1382</v>
      </c>
      <c r="C132" s="5">
        <f>IF(Tabla_Activo_Fijo[[#This Row],[id_padre]]="",0,_xlfn.XLOOKUP(Tabla_Activo_Fijo[[#This Row],[id_padre]],Tabla_Activo_Fijo[Id],Tabla_Activo_Fijo[Nivel],0,0,1)+1)</f>
        <v>2</v>
      </c>
      <c r="D132" s="2" t="s">
        <v>1236</v>
      </c>
      <c r="E132">
        <f>IF(Tabla_Activo_Fijo[[#This Row],[Id_anterior]]=1,ROW()-1,SUM(ROW()-1,Tabla_Activo_Fijo[[#This Row],[Id_anterior]]))</f>
        <v>1508</v>
      </c>
      <c r="F132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ACTIVO_FIJO_INFRAESCTRUCTURA_INFORMES_ACTUALIZACION_Y_DEPRECIACION_INSTITUCIONAL</v>
      </c>
      <c r="G132" s="2" t="str">
        <f>CLEAN(PROPER(Tabla_Activo_Fijo[[#This Row],[Nombre Opción]]))</f>
        <v>Actualizacion Y Depreciacion Institucional</v>
      </c>
      <c r="H132" s="2" t="s">
        <v>1735</v>
      </c>
      <c r="I132" s="2" t="str">
        <f>_xlfn.XLOOKUP(Tabla_Activo_Fijo[[#This Row],[id_padre]],Tabla_Activo_Fijo[Id],Tabla_Activo_Fijo[Codigo_Tecnico],"",0,1)</f>
        <v>ACTIVO_FIJO_INFRAESCTRUCTURA_INFORMES</v>
      </c>
      <c r="J132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/activo-fijo-infraesctructura/informes/actualizacion-y-depreciacion-institucional</v>
      </c>
      <c r="K132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actualizacion-y-depreciacion-institucional</v>
      </c>
      <c r="L132" s="6" t="s">
        <v>1367</v>
      </c>
      <c r="M132" s="2" t="s">
        <v>1793</v>
      </c>
      <c r="N132" s="4" t="s">
        <v>360</v>
      </c>
      <c r="O132" s="4" t="s">
        <v>360</v>
      </c>
      <c r="P132" s="4" t="s">
        <v>360</v>
      </c>
      <c r="Q132" s="4" t="s">
        <v>360</v>
      </c>
      <c r="R132" s="4" t="s">
        <v>360</v>
      </c>
      <c r="S132" s="4" t="s">
        <v>360</v>
      </c>
      <c r="T132" s="4" t="s">
        <v>360</v>
      </c>
      <c r="U132" s="2" t="str">
        <f>IF(Tabla_Activo_Fijo[[#This Row],[id_padre]]=Tabla_Activo_Fijo[[#This Row],[Id]],"NOK","OK")</f>
        <v>OK</v>
      </c>
    </row>
    <row r="133" spans="1:21" hidden="1" x14ac:dyDescent="0.5">
      <c r="A133" s="2">
        <f>MAX(Tabla_VME[Id])</f>
        <v>1377</v>
      </c>
      <c r="B133">
        <v>1382</v>
      </c>
      <c r="C133" s="5">
        <f>IF(Tabla_Activo_Fijo[[#This Row],[id_padre]]="",0,_xlfn.XLOOKUP(Tabla_Activo_Fijo[[#This Row],[id_padre]],Tabla_Activo_Fijo[Id],Tabla_Activo_Fijo[Nivel],0,0,1)+1)</f>
        <v>2</v>
      </c>
      <c r="D133" s="2" t="s">
        <v>1237</v>
      </c>
      <c r="E133">
        <f>IF(Tabla_Activo_Fijo[[#This Row],[Id_anterior]]=1,ROW()-1,SUM(ROW()-1,Tabla_Activo_Fijo[[#This Row],[Id_anterior]]))</f>
        <v>1509</v>
      </c>
      <c r="F133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ACTIVO_FIJO_INFRAESCTRUCTURA_INFORMES_ACTUALIZACION_Y_DEPRECIACION_POR_UNIDAD</v>
      </c>
      <c r="G133" s="2" t="str">
        <f>CLEAN(PROPER(Tabla_Activo_Fijo[[#This Row],[Nombre Opción]]))</f>
        <v>Actualizacion Y Depreciacion Por Unidad</v>
      </c>
      <c r="H133" s="2" t="s">
        <v>1735</v>
      </c>
      <c r="I133" s="2" t="str">
        <f>_xlfn.XLOOKUP(Tabla_Activo_Fijo[[#This Row],[id_padre]],Tabla_Activo_Fijo[Id],Tabla_Activo_Fijo[Codigo_Tecnico],"",0,1)</f>
        <v>ACTIVO_FIJO_INFRAESCTRUCTURA_INFORMES</v>
      </c>
      <c r="J133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/activo-fijo-infraesctructura/informes/actualizacion-y-depreciacion-por-unidad</v>
      </c>
      <c r="K133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actualizacion-y-depreciacion-por-unidad</v>
      </c>
      <c r="L133" s="6" t="s">
        <v>1341</v>
      </c>
      <c r="M133" s="2" t="s">
        <v>1793</v>
      </c>
      <c r="N133" s="4" t="s">
        <v>360</v>
      </c>
      <c r="O133" s="4" t="s">
        <v>360</v>
      </c>
      <c r="P133" s="4" t="s">
        <v>360</v>
      </c>
      <c r="Q133" s="4" t="s">
        <v>360</v>
      </c>
      <c r="R133" s="4" t="s">
        <v>360</v>
      </c>
      <c r="S133" s="4" t="s">
        <v>360</v>
      </c>
      <c r="T133" s="4" t="s">
        <v>360</v>
      </c>
      <c r="U133" s="2" t="str">
        <f>IF(Tabla_Activo_Fijo[[#This Row],[id_padre]]=Tabla_Activo_Fijo[[#This Row],[Id]],"NOK","OK")</f>
        <v>OK</v>
      </c>
    </row>
    <row r="134" spans="1:21" hidden="1" x14ac:dyDescent="0.5">
      <c r="A134" s="2">
        <f>MAX(Tabla_VME[Id])</f>
        <v>1377</v>
      </c>
      <c r="B134">
        <v>1382</v>
      </c>
      <c r="C134" s="5">
        <f>IF(Tabla_Activo_Fijo[[#This Row],[id_padre]]="",0,_xlfn.XLOOKUP(Tabla_Activo_Fijo[[#This Row],[id_padre]],Tabla_Activo_Fijo[Id],Tabla_Activo_Fijo[Nivel],0,0,1)+1)</f>
        <v>2</v>
      </c>
      <c r="D134" s="2" t="s">
        <v>1238</v>
      </c>
      <c r="E134">
        <f>IF(Tabla_Activo_Fijo[[#This Row],[Id_anterior]]=1,ROW()-1,SUM(ROW()-1,Tabla_Activo_Fijo[[#This Row],[Id_anterior]]))</f>
        <v>1510</v>
      </c>
      <c r="F134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ACTIVO_FIJO_INFRAESCTRUCTURA_INFORMES_ACTUALIZACION_Y_DEPRECIACION_POR_UNIDAD_INTERNA</v>
      </c>
      <c r="G134" s="2" t="str">
        <f>CLEAN(PROPER(Tabla_Activo_Fijo[[#This Row],[Nombre Opción]]))</f>
        <v>Actualizacion Y Depreciacion Por Unidad Interna</v>
      </c>
      <c r="H134" s="2" t="s">
        <v>1735</v>
      </c>
      <c r="I134" s="2" t="str">
        <f>_xlfn.XLOOKUP(Tabla_Activo_Fijo[[#This Row],[id_padre]],Tabla_Activo_Fijo[Id],Tabla_Activo_Fijo[Codigo_Tecnico],"",0,1)</f>
        <v>ACTIVO_FIJO_INFRAESCTRUCTURA_INFORMES</v>
      </c>
      <c r="J134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/activo-fijo-infraesctructura/informes/actualizacion-y-depreciacion-por-unidad-interna</v>
      </c>
      <c r="K134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actualizacion-y-depreciacion-por-unidad-interna</v>
      </c>
      <c r="L134" s="6" t="s">
        <v>1389</v>
      </c>
      <c r="M134" s="2" t="s">
        <v>1793</v>
      </c>
      <c r="N134" s="4" t="s">
        <v>360</v>
      </c>
      <c r="O134" s="4" t="s">
        <v>360</v>
      </c>
      <c r="P134" s="4" t="s">
        <v>360</v>
      </c>
      <c r="Q134" s="4" t="s">
        <v>360</v>
      </c>
      <c r="R134" s="4" t="s">
        <v>360</v>
      </c>
      <c r="S134" s="4" t="s">
        <v>360</v>
      </c>
      <c r="T134" s="4" t="s">
        <v>360</v>
      </c>
      <c r="U134" s="2" t="str">
        <f>IF(Tabla_Activo_Fijo[[#This Row],[id_padre]]=Tabla_Activo_Fijo[[#This Row],[Id]],"NOK","OK")</f>
        <v>OK</v>
      </c>
    </row>
    <row r="135" spans="1:21" hidden="1" x14ac:dyDescent="0.5">
      <c r="A135" s="2">
        <f>MAX(Tabla_VME[Id])</f>
        <v>1377</v>
      </c>
      <c r="B135">
        <v>1382</v>
      </c>
      <c r="C135" s="5">
        <f>IF(Tabla_Activo_Fijo[[#This Row],[id_padre]]="",0,_xlfn.XLOOKUP(Tabla_Activo_Fijo[[#This Row],[id_padre]],Tabla_Activo_Fijo[Id],Tabla_Activo_Fijo[Nivel],0,0,1)+1)</f>
        <v>2</v>
      </c>
      <c r="D135" s="2" t="s">
        <v>1255</v>
      </c>
      <c r="E135">
        <f>IF(Tabla_Activo_Fijo[[#This Row],[Id_anterior]]=1,ROW()-1,SUM(ROW()-1,Tabla_Activo_Fijo[[#This Row],[Id_anterior]]))</f>
        <v>1511</v>
      </c>
      <c r="F135" s="2" t="str">
        <f>IF(Tabla_Activo_Fijo[[#This Row],[id_padre]]="",SUBSTITUTE(UPPER(Tabla_Activo_Fijo[[#This Row],[Slug]]),"-","_"),CONCATENATE(_xlfn.XLOOKUP(Tabla_Activo_Fijo[[#This Row],[id_padre]],Tabla_Activo_Fijo[Id],Tabla_Activo_Fijo[Codigo_Tecnico],"",0,1),"_",SUBSTITUTE(UPPER(Tabla_Activo_Fijo[[#This Row],[Slug]]),"-","_")))</f>
        <v>ACTIVO_FIJO_INFRAESCTRUCTURA_INFORMES_ACTUALIZACION_Y_DEPRECIACION_POR_TIPO_MATERIAL</v>
      </c>
      <c r="G135" s="2" t="str">
        <f>CLEAN(PROPER(Tabla_Activo_Fijo[[#This Row],[Nombre Opción]]))</f>
        <v>Actualizacion Y Depreciacion Por Tipo Material</v>
      </c>
      <c r="H135" s="2" t="s">
        <v>1735</v>
      </c>
      <c r="I135" s="2" t="str">
        <f>_xlfn.XLOOKUP(Tabla_Activo_Fijo[[#This Row],[id_padre]],Tabla_Activo_Fijo[Id],Tabla_Activo_Fijo[Codigo_Tecnico],"",0,1)</f>
        <v>ACTIVO_FIJO_INFRAESCTRUCTURA_INFORMES</v>
      </c>
      <c r="J135" s="6" t="str">
        <f>IF(Tabla_Activo_Fijo[[#This Row],[Nivel]]=0,CONCATENATE("/",Tabla_Activo_Fijo[[#This Row],[Slug]]),CONCATENATE(_xlfn.XLOOKUP(Tabla_Activo_Fijo[[#This Row],[id_padre]],Tabla_Activo_Fijo[Id],Tabla_Activo_Fijo[Ruta_Web],"",0,1),"/",Tabla_Activo_Fijo[[#This Row],[Slug]]))</f>
        <v>/activo-fijo-infraesctructura/informes/actualizacion-y-depreciacion-por-tipo-material</v>
      </c>
      <c r="K135" s="6" t="str">
        <f>SUBSTITUTE(SUBSTITUTE(SUBSTITUTE(SUBSTITUTE(SUBSTITUTE(SUBSTITUTE(SUBSTITUTE(SUBSTITUTE(SUBSTITUTE(SUBSTITUTE(SUBSTITUTE(SUBSTITUTE(SUBSTITUTE(SUBSTITUTE(SUBSTITUTE(SUBSTITUTE(SUBSTITUTE(SUBSTITUTE(SUBSTITUTE(SUBSTITUTE(SUBSTITUTE(LOWER(Tabla_Activo_Fijo[[#This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actualizacion-y-depreciacion-por-tipo-material</v>
      </c>
      <c r="L135" s="6" t="s">
        <v>1656</v>
      </c>
      <c r="M135" s="2" t="s">
        <v>1793</v>
      </c>
      <c r="N135" s="4" t="s">
        <v>360</v>
      </c>
      <c r="O135" s="4" t="s">
        <v>360</v>
      </c>
      <c r="P135" s="4" t="s">
        <v>360</v>
      </c>
      <c r="Q135" s="4" t="s">
        <v>360</v>
      </c>
      <c r="R135" s="4" t="s">
        <v>360</v>
      </c>
      <c r="S135" s="4" t="s">
        <v>360</v>
      </c>
      <c r="T135" s="4" t="s">
        <v>360</v>
      </c>
      <c r="U135" s="2" t="str">
        <f>IF(Tabla_Activo_Fijo[[#This Row],[id_padre]]=Tabla_Activo_Fijo[[#This Row],[Id]],"NOK","OK")</f>
        <v>OK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588428B-3B93-4001-836F-8A9582DDF0A7}">
          <x14:formula1>
            <xm:f>Modulos!$C$2:$C$15</xm:f>
          </x14:formula1>
          <xm:sqref>M2:M135</xm:sqref>
        </x14:dataValidation>
        <x14:dataValidation type="list" allowBlank="1" showInputMessage="1" showErrorMessage="1" xr:uid="{782850D5-CBF1-4B5A-8D8B-295292DE01F1}">
          <x14:formula1>
            <xm:f>Lista!$A$2:$A$3</xm:f>
          </x14:formula1>
          <xm:sqref>N2:T135</xm:sqref>
        </x14:dataValidation>
        <x14:dataValidation type="list" allowBlank="1" showInputMessage="1" showErrorMessage="1" xr:uid="{F3469D09-E8B4-493E-AE50-C4A745AC8DA9}">
          <x14:formula1>
            <xm:f>Equipo!$B$2:$B$7</xm:f>
          </x14:formula1>
          <xm:sqref>V2:V135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DF1B-F812-429E-B397-E00413638334}">
  <sheetPr codeName="Hoja19"/>
  <dimension ref="A1:U137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1" sqref="B1"/>
    </sheetView>
  </sheetViews>
  <sheetFormatPr baseColWidth="10" defaultColWidth="11.41015625" defaultRowHeight="14.35" x14ac:dyDescent="0.5"/>
  <cols>
    <col min="1" max="1" width="5.703125" customWidth="1"/>
    <col min="2" max="3" width="5.703125" style="2" customWidth="1"/>
    <col min="4" max="4" width="10.703125" customWidth="1"/>
    <col min="5" max="5" width="5.703125" customWidth="1"/>
    <col min="6" max="8" width="10.703125" style="4" customWidth="1"/>
    <col min="9" max="9" width="10.703125" customWidth="1"/>
    <col min="10" max="12" width="10.703125" style="2" customWidth="1"/>
    <col min="13" max="13" width="10.703125" style="6" customWidth="1"/>
    <col min="14" max="14" width="5.703125" style="6" customWidth="1"/>
    <col min="15" max="16" width="5.703125" style="2" customWidth="1"/>
    <col min="17" max="17" width="5.703125" style="5" customWidth="1"/>
    <col min="18" max="18" width="5.703125" style="4" customWidth="1"/>
    <col min="19" max="19" width="5.703125" style="2" customWidth="1"/>
    <col min="20" max="16384" width="11.41015625" style="2"/>
  </cols>
  <sheetData>
    <row r="1" spans="1:21" s="3" customFormat="1" ht="95.7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8" t="s">
        <v>1334</v>
      </c>
      <c r="L1" s="3" t="s">
        <v>1328</v>
      </c>
      <c r="M1" s="3" t="s">
        <v>14</v>
      </c>
      <c r="N1" s="3" t="s">
        <v>1257</v>
      </c>
      <c r="O1" s="3" t="s">
        <v>1258</v>
      </c>
      <c r="P1" s="3" t="s">
        <v>1259</v>
      </c>
      <c r="Q1" s="3" t="s">
        <v>1260</v>
      </c>
      <c r="R1" s="3" t="s">
        <v>1261</v>
      </c>
      <c r="S1" s="3" t="s">
        <v>1932</v>
      </c>
      <c r="T1" s="3" t="s">
        <v>2029</v>
      </c>
      <c r="U1" s="3" t="s">
        <v>2030</v>
      </c>
    </row>
    <row r="2" spans="1:21" x14ac:dyDescent="0.5">
      <c r="A2">
        <f>MAX(Tabla_Activo_Fijo[Id])</f>
        <v>1511</v>
      </c>
      <c r="B2" t="s">
        <v>98</v>
      </c>
      <c r="C2" s="5">
        <f>IF(Tabla_Compras_Extranjera[[#This Row],[id_padre]]="",0,_xlfn.XLOOKUP(Tabla_Compras_Extranjera[[#This Row],[id_padre]],Tabla_Compras_Extranjera[Id],Tabla_Compras_Extranjera[Nivel],0,0,1)+1)</f>
        <v>0</v>
      </c>
      <c r="D2" s="2" t="s">
        <v>1256</v>
      </c>
      <c r="E2">
        <f>IF(Tabla_Compras_Extranjera[[#This Row],[Id_anterior]]=1,ROW()-1,SUM(ROW()-1,Tabla_Compras_Extranjera[[#This Row],[Id_anterior]]))</f>
        <v>1512</v>
      </c>
      <c r="F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</v>
      </c>
      <c r="G2" s="2" t="str">
        <f>CLEAN(PROPER(Tabla_Compras_Extranjera[[#This Row],[Nombre Opción]]))</f>
        <v>Compras Extranjera (Comex)</v>
      </c>
      <c r="H2" s="2" t="s">
        <v>1735</v>
      </c>
      <c r="I2" s="2" t="str">
        <f>_xlfn.XLOOKUP(Tabla_Compras_Extranjera[[#This Row],[id_padre]],Tabla_Compras_Extranjera[Id],Tabla_Compras_Extranjera[Codigo_Tecnico],"",0,1)</f>
        <v/>
      </c>
      <c r="J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</v>
      </c>
      <c r="K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compras-extranjera-comex</v>
      </c>
      <c r="L2" s="6" t="s">
        <v>1550</v>
      </c>
      <c r="M2" t="s">
        <v>1796</v>
      </c>
      <c r="N2" s="4" t="s">
        <v>360</v>
      </c>
      <c r="O2" s="4" t="s">
        <v>360</v>
      </c>
      <c r="P2" s="4" t="s">
        <v>360</v>
      </c>
      <c r="Q2" s="4" t="s">
        <v>360</v>
      </c>
      <c r="R2" s="4" t="s">
        <v>360</v>
      </c>
      <c r="S2" s="4" t="s">
        <v>360</v>
      </c>
      <c r="T2" s="2" t="str">
        <f>IF(Tabla_Compras_Extranjera[[#This Row],[id_padre]]=Tabla_Compras_Extranjera[[#This Row],[Id]],"NOK","OK")</f>
        <v>OK</v>
      </c>
    </row>
    <row r="3" spans="1:21" x14ac:dyDescent="0.5">
      <c r="A3">
        <f>MAX(Tabla_Activo_Fijo[Id])</f>
        <v>1511</v>
      </c>
      <c r="B3">
        <v>1512</v>
      </c>
      <c r="C3" s="5">
        <f>IF(Tabla_Compras_Extranjera[[#This Row],[id_padre]]="",0,_xlfn.XLOOKUP(Tabla_Compras_Extranjera[[#This Row],[id_padre]],Tabla_Compras_Extranjera[Id],Tabla_Compras_Extranjera[Nivel],0,0,1)+1)</f>
        <v>1</v>
      </c>
      <c r="D3" s="2" t="s">
        <v>18</v>
      </c>
      <c r="E3">
        <f>IF(Tabla_Compras_Extranjera[[#This Row],[Id_anterior]]=1,ROW()-1,SUM(ROW()-1,Tabla_Compras_Extranjera[[#This Row],[Id_anterior]]))</f>
        <v>1513</v>
      </c>
      <c r="F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</v>
      </c>
      <c r="G3" s="2" t="str">
        <f>CLEAN(PROPER(Tabla_Compras_Extranjera[[#This Row],[Nombre Opción]]))</f>
        <v>Parámetros</v>
      </c>
      <c r="H3" s="2" t="s">
        <v>1735</v>
      </c>
      <c r="I3" s="2" t="str">
        <f>_xlfn.XLOOKUP(Tabla_Compras_Extranjera[[#This Row],[id_padre]],Tabla_Compras_Extranjera[Id],Tabla_Compras_Extranjera[Codigo_Tecnico],"",0,1)</f>
        <v>COMPRAS_EXTRANJERA_COMEX</v>
      </c>
      <c r="J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</v>
      </c>
      <c r="K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6" t="s">
        <v>1337</v>
      </c>
      <c r="M3" t="s">
        <v>1796</v>
      </c>
      <c r="N3" s="4" t="s">
        <v>360</v>
      </c>
      <c r="O3" s="4" t="s">
        <v>360</v>
      </c>
      <c r="P3" s="4" t="s">
        <v>360</v>
      </c>
      <c r="Q3" s="4" t="s">
        <v>360</v>
      </c>
      <c r="S3" s="4" t="s">
        <v>360</v>
      </c>
      <c r="T3" s="2" t="str">
        <f>IF(Tabla_Compras_Extranjera[[#This Row],[id_padre]]=Tabla_Compras_Extranjera[[#This Row],[Id]],"NOK","OK")</f>
        <v>OK</v>
      </c>
    </row>
    <row r="4" spans="1:21" hidden="1" x14ac:dyDescent="0.5">
      <c r="A4">
        <f>MAX(Tabla_Activo_Fijo[Id])</f>
        <v>1511</v>
      </c>
      <c r="B4">
        <v>1512</v>
      </c>
      <c r="C4" s="5">
        <f>IF(Tabla_Compras_Extranjera[[#This Row],[id_padre]]="",0,_xlfn.XLOOKUP(Tabla_Compras_Extranjera[[#This Row],[id_padre]],Tabla_Compras_Extranjera[Id],Tabla_Compras_Extranjera[Nivel],0,0,1)+1)</f>
        <v>1</v>
      </c>
      <c r="D4" s="2" t="s">
        <v>19</v>
      </c>
      <c r="E4">
        <f>IF(Tabla_Compras_Extranjera[[#This Row],[Id_anterior]]=1,ROW()-1,SUM(ROW()-1,Tabla_Compras_Extranjera[[#This Row],[Id_anterior]]))</f>
        <v>1514</v>
      </c>
      <c r="F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</v>
      </c>
      <c r="G4" s="2" t="str">
        <f>CLEAN(PROPER(Tabla_Compras_Extranjera[[#This Row],[Nombre Opción]]))</f>
        <v>Procesos</v>
      </c>
      <c r="H4" s="2" t="s">
        <v>1735</v>
      </c>
      <c r="I4" s="2" t="str">
        <f>_xlfn.XLOOKUP(Tabla_Compras_Extranjera[[#This Row],[id_padre]],Tabla_Compras_Extranjera[Id],Tabla_Compras_Extranjera[Codigo_Tecnico],"",0,1)</f>
        <v>COMPRAS_EXTRANJERA_COMEX</v>
      </c>
      <c r="J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</v>
      </c>
      <c r="K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6" t="s">
        <v>1338</v>
      </c>
      <c r="M4" t="s">
        <v>1796</v>
      </c>
      <c r="N4" s="4" t="s">
        <v>360</v>
      </c>
      <c r="O4" s="4" t="s">
        <v>360</v>
      </c>
      <c r="P4" s="4" t="s">
        <v>360</v>
      </c>
      <c r="Q4" s="4" t="s">
        <v>360</v>
      </c>
      <c r="S4" s="4" t="s">
        <v>360</v>
      </c>
      <c r="T4" s="2" t="str">
        <f>IF(Tabla_Compras_Extranjera[[#This Row],[id_padre]]=Tabla_Compras_Extranjera[[#This Row],[Id]],"NOK","OK")</f>
        <v>OK</v>
      </c>
    </row>
    <row r="5" spans="1:21" hidden="1" x14ac:dyDescent="0.5">
      <c r="A5">
        <f>MAX(Tabla_Activo_Fijo[Id])</f>
        <v>1511</v>
      </c>
      <c r="B5">
        <v>1512</v>
      </c>
      <c r="C5" s="5">
        <f>IF(Tabla_Compras_Extranjera[[#This Row],[id_padre]]="",0,_xlfn.XLOOKUP(Tabla_Compras_Extranjera[[#This Row],[id_padre]],Tabla_Compras_Extranjera[Id],Tabla_Compras_Extranjera[Nivel],0,0,1)+1)</f>
        <v>1</v>
      </c>
      <c r="D5" s="2" t="s">
        <v>20</v>
      </c>
      <c r="E5">
        <f>IF(Tabla_Compras_Extranjera[[#This Row],[Id_anterior]]=1,ROW()-1,SUM(ROW()-1,Tabla_Compras_Extranjera[[#This Row],[Id_anterior]]))</f>
        <v>1515</v>
      </c>
      <c r="F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</v>
      </c>
      <c r="G5" s="2" t="str">
        <f>CLEAN(PROPER(Tabla_Compras_Extranjera[[#This Row],[Nombre Opción]]))</f>
        <v>Consultas</v>
      </c>
      <c r="H5" s="2" t="s">
        <v>1735</v>
      </c>
      <c r="I5" s="2" t="str">
        <f>_xlfn.XLOOKUP(Tabla_Compras_Extranjera[[#This Row],[id_padre]],Tabla_Compras_Extranjera[Id],Tabla_Compras_Extranjera[Codigo_Tecnico],"",0,1)</f>
        <v>COMPRAS_EXTRANJERA_COMEX</v>
      </c>
      <c r="J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</v>
      </c>
      <c r="K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6" t="s">
        <v>1339</v>
      </c>
      <c r="M5" t="s">
        <v>1796</v>
      </c>
      <c r="N5" s="4" t="s">
        <v>360</v>
      </c>
      <c r="O5" s="4" t="s">
        <v>360</v>
      </c>
      <c r="P5" s="4" t="s">
        <v>360</v>
      </c>
      <c r="Q5" s="4" t="s">
        <v>360</v>
      </c>
      <c r="R5" s="4" t="s">
        <v>360</v>
      </c>
      <c r="S5" s="4" t="s">
        <v>360</v>
      </c>
      <c r="T5" s="2" t="str">
        <f>IF(Tabla_Compras_Extranjera[[#This Row],[id_padre]]=Tabla_Compras_Extranjera[[#This Row],[Id]],"NOK","OK")</f>
        <v>OK</v>
      </c>
    </row>
    <row r="6" spans="1:21" hidden="1" x14ac:dyDescent="0.5">
      <c r="A6">
        <f>MAX(Tabla_Activo_Fijo[Id])</f>
        <v>1511</v>
      </c>
      <c r="B6">
        <v>1512</v>
      </c>
      <c r="C6" s="5">
        <f>IF(Tabla_Compras_Extranjera[[#This Row],[id_padre]]="",0,_xlfn.XLOOKUP(Tabla_Compras_Extranjera[[#This Row],[id_padre]],Tabla_Compras_Extranjera[Id],Tabla_Compras_Extranjera[Nivel],0,0,1)+1)</f>
        <v>1</v>
      </c>
      <c r="D6" s="2" t="s">
        <v>21</v>
      </c>
      <c r="E6">
        <f>IF(Tabla_Compras_Extranjera[[#This Row],[Id_anterior]]=1,ROW()-1,SUM(ROW()-1,Tabla_Compras_Extranjera[[#This Row],[Id_anterior]]))</f>
        <v>1516</v>
      </c>
      <c r="F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</v>
      </c>
      <c r="G6" s="2" t="str">
        <f>CLEAN(PROPER(Tabla_Compras_Extranjera[[#This Row],[Nombre Opción]]))</f>
        <v>Informes</v>
      </c>
      <c r="H6" s="2" t="s">
        <v>1735</v>
      </c>
      <c r="I6" s="2" t="str">
        <f>_xlfn.XLOOKUP(Tabla_Compras_Extranjera[[#This Row],[id_padre]],Tabla_Compras_Extranjera[Id],Tabla_Compras_Extranjera[Codigo_Tecnico],"",0,1)</f>
        <v>COMPRAS_EXTRANJERA_COMEX</v>
      </c>
      <c r="J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</v>
      </c>
      <c r="K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6" t="s">
        <v>1340</v>
      </c>
      <c r="M6" t="s">
        <v>1796</v>
      </c>
      <c r="N6" s="4" t="s">
        <v>360</v>
      </c>
      <c r="O6" s="4" t="s">
        <v>360</v>
      </c>
      <c r="P6" s="4" t="s">
        <v>360</v>
      </c>
      <c r="Q6" s="4" t="s">
        <v>360</v>
      </c>
      <c r="R6" s="4" t="s">
        <v>360</v>
      </c>
      <c r="S6" s="4" t="s">
        <v>360</v>
      </c>
      <c r="T6" s="2" t="str">
        <f>IF(Tabla_Compras_Extranjera[[#This Row],[id_padre]]=Tabla_Compras_Extranjera[[#This Row],[Id]],"NOK","OK")</f>
        <v>OK</v>
      </c>
    </row>
    <row r="7" spans="1:21" x14ac:dyDescent="0.5">
      <c r="A7">
        <f>MAX(Tabla_Activo_Fijo[Id])</f>
        <v>1511</v>
      </c>
      <c r="B7">
        <v>1513</v>
      </c>
      <c r="C7" s="5">
        <f>IF(Tabla_Compras_Extranjera[[#This Row],[id_padre]]="",0,_xlfn.XLOOKUP(Tabla_Compras_Extranjera[[#This Row],[id_padre]],Tabla_Compras_Extranjera[Id],Tabla_Compras_Extranjera[Nivel],0,0,1)+1)</f>
        <v>2</v>
      </c>
      <c r="D7" s="2" t="s">
        <v>557</v>
      </c>
      <c r="E7">
        <f>IF(Tabla_Compras_Extranjera[[#This Row],[Id_anterior]]=1,ROW()-1,SUM(ROW()-1,Tabla_Compras_Extranjera[[#This Row],[Id_anterior]]))</f>
        <v>1517</v>
      </c>
      <c r="F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COMPRAS_EXTRANJERA_COMEX_PARAMETROS_MANTENIMIENTO_UNIDAD</v>
      </c>
      <c r="G7" s="2" t="str">
        <f>CLEAN(PROPER(Tabla_Compras_Extranjera[[#This Row],[Nombre Opción]]))</f>
        <v>Mantenimiento Unidad</v>
      </c>
      <c r="H7" s="2" t="s">
        <v>1735</v>
      </c>
      <c r="I7" s="2" t="str">
        <f>_xlfn.XLOOKUP(Tabla_Compras_Extranjera[[#This Row],[id_padre]],Tabla_Compras_Extranjera[Id],Tabla_Compras_Extranjera[Codigo_Tecnico],"",0,1)</f>
        <v>COMPRAS_EXTRANJERA_COMEX_PARAMETROS</v>
      </c>
      <c r="J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/compras-extranjera-comex/parametros/mantenimiento-unidad</v>
      </c>
      <c r="K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mantenimiento-unidad</v>
      </c>
      <c r="L7" s="6" t="s">
        <v>1341</v>
      </c>
      <c r="M7" t="s">
        <v>1796</v>
      </c>
      <c r="N7" s="4" t="s">
        <v>360</v>
      </c>
      <c r="O7" s="4" t="s">
        <v>360</v>
      </c>
      <c r="P7" s="4" t="s">
        <v>360</v>
      </c>
      <c r="Q7" s="4"/>
      <c r="S7" s="4" t="s">
        <v>360</v>
      </c>
      <c r="T7" s="2" t="str">
        <f>IF(Tabla_Compras_Extranjera[[#This Row],[id_padre]]=Tabla_Compras_Extranjera[[#This Row],[Id]],"NOK","OK")</f>
        <v>OK</v>
      </c>
    </row>
    <row r="8" spans="1:21" x14ac:dyDescent="0.5">
      <c r="A8">
        <f>MAX(Tabla_Activo_Fijo[Id])</f>
        <v>1511</v>
      </c>
      <c r="B8">
        <v>1513</v>
      </c>
      <c r="C8" s="5">
        <f>IF(Tabla_Compras_Extranjera[[#This Row],[id_padre]]="",0,_xlfn.XLOOKUP(Tabla_Compras_Extranjera[[#This Row],[id_padre]],Tabla_Compras_Extranjera[Id],Tabla_Compras_Extranjera[Nivel],0,0,1)+1)</f>
        <v>2</v>
      </c>
      <c r="D8" s="2" t="s">
        <v>1262</v>
      </c>
      <c r="E8">
        <f>IF(Tabla_Compras_Extranjera[[#This Row],[Id_anterior]]=1,ROW()-1,SUM(ROW()-1,Tabla_Compras_Extranjera[[#This Row],[Id_anterior]]))</f>
        <v>1518</v>
      </c>
      <c r="F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COMPRAS_EXTRANJERA_COMEX_PARAMETROS_AUTORIZADORES_ADJUDICACION</v>
      </c>
      <c r="G8" s="2" t="str">
        <f>CLEAN(PROPER(Tabla_Compras_Extranjera[[#This Row],[Nombre Opción]]))</f>
        <v>Autorizadores De Adjudicación</v>
      </c>
      <c r="H8" s="2" t="s">
        <v>1735</v>
      </c>
      <c r="I8" s="2" t="str">
        <f>_xlfn.XLOOKUP(Tabla_Compras_Extranjera[[#This Row],[id_padre]],Tabla_Compras_Extranjera[Id],Tabla_Compras_Extranjera[Codigo_Tecnico],"",0,1)</f>
        <v>COMPRAS_EXTRANJERA_COMEX_PARAMETROS</v>
      </c>
      <c r="J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/compras-extranjera-comex/parametros/autorizadores-adjudicacion</v>
      </c>
      <c r="K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autorizadores-adjudicacion</v>
      </c>
      <c r="L8" s="6" t="s">
        <v>1564</v>
      </c>
      <c r="M8" t="s">
        <v>1796</v>
      </c>
      <c r="N8" s="4" t="s">
        <v>360</v>
      </c>
      <c r="O8" s="4" t="s">
        <v>360</v>
      </c>
      <c r="P8" s="4" t="s">
        <v>360</v>
      </c>
      <c r="Q8" s="4"/>
      <c r="S8" s="4" t="s">
        <v>360</v>
      </c>
      <c r="T8" s="2" t="str">
        <f>IF(Tabla_Compras_Extranjera[[#This Row],[id_padre]]=Tabla_Compras_Extranjera[[#This Row],[Id]],"NOK","OK")</f>
        <v>OK</v>
      </c>
    </row>
    <row r="9" spans="1:21" x14ac:dyDescent="0.5">
      <c r="A9">
        <f>MAX(Tabla_Activo_Fijo[Id])</f>
        <v>1511</v>
      </c>
      <c r="B9">
        <v>1513</v>
      </c>
      <c r="C9" s="5">
        <f>IF(Tabla_Compras_Extranjera[[#This Row],[id_padre]]="",0,_xlfn.XLOOKUP(Tabla_Compras_Extranjera[[#This Row],[id_padre]],Tabla_Compras_Extranjera[Id],Tabla_Compras_Extranjera[Nivel],0,0,1)+1)</f>
        <v>2</v>
      </c>
      <c r="D9" s="2" t="s">
        <v>1263</v>
      </c>
      <c r="E9">
        <f>IF(Tabla_Compras_Extranjera[[#This Row],[Id_anterior]]=1,ROW()-1,SUM(ROW()-1,Tabla_Compras_Extranjera[[#This Row],[Id_anterior]]))</f>
        <v>1519</v>
      </c>
      <c r="F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COMPRAS_EXTRANJERA_COMEX_PARAMETROS_RAZON_ADJ_COND_MATERIAL_INTERCON</v>
      </c>
      <c r="G9" s="2" t="str">
        <f>CLEAN(PROPER(Tabla_Compras_Extranjera[[#This Row],[Nombre Opción]]))</f>
        <v>Razon Adj – Cond Material – Intercon</v>
      </c>
      <c r="H9" s="2" t="s">
        <v>1735</v>
      </c>
      <c r="I9" s="2" t="str">
        <f>_xlfn.XLOOKUP(Tabla_Compras_Extranjera[[#This Row],[id_padre]],Tabla_Compras_Extranjera[Id],Tabla_Compras_Extranjera[Codigo_Tecnico],"",0,1)</f>
        <v>COMPRAS_EXTRANJERA_COMEX_PARAMETROS</v>
      </c>
      <c r="J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/compras-extranjera-comex/parametros/razon-adj-cond-material-intercon</v>
      </c>
      <c r="K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razon-adj-cond-material-intercon</v>
      </c>
      <c r="L9" s="6" t="s">
        <v>1424</v>
      </c>
      <c r="M9" t="s">
        <v>1796</v>
      </c>
      <c r="N9" s="4" t="s">
        <v>360</v>
      </c>
      <c r="O9" s="4" t="s">
        <v>360</v>
      </c>
      <c r="P9" s="4" t="s">
        <v>360</v>
      </c>
      <c r="Q9" s="4"/>
      <c r="S9" s="4" t="s">
        <v>360</v>
      </c>
      <c r="T9" s="2" t="str">
        <f>IF(Tabla_Compras_Extranjera[[#This Row],[id_padre]]=Tabla_Compras_Extranjera[[#This Row],[Id]],"NOK","OK")</f>
        <v>OK</v>
      </c>
    </row>
    <row r="10" spans="1:21" x14ac:dyDescent="0.5">
      <c r="A10">
        <f>MAX(Tabla_Activo_Fijo[Id])</f>
        <v>1511</v>
      </c>
      <c r="B10">
        <v>1513</v>
      </c>
      <c r="C10" s="5">
        <f>IF(Tabla_Compras_Extranjera[[#This Row],[id_padre]]="",0,_xlfn.XLOOKUP(Tabla_Compras_Extranjera[[#This Row],[id_padre]],Tabla_Compras_Extranjera[Id],Tabla_Compras_Extranjera[Nivel],0,0,1)+1)</f>
        <v>2</v>
      </c>
      <c r="D10" s="2" t="s">
        <v>1264</v>
      </c>
      <c r="E10">
        <f>IF(Tabla_Compras_Extranjera[[#This Row],[Id_anterior]]=1,ROW()-1,SUM(ROW()-1,Tabla_Compras_Extranjera[[#This Row],[Id_anterior]]))</f>
        <v>1520</v>
      </c>
      <c r="F1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COMPRAS_EXTRANJERA_COMEX_PARAMETROS_UNIDADES_ENTREGA</v>
      </c>
      <c r="G10" s="2" t="str">
        <f>CLEAN(PROPER(Tabla_Compras_Extranjera[[#This Row],[Nombre Opción]]))</f>
        <v>Unidades De Entrega</v>
      </c>
      <c r="H10" s="2" t="s">
        <v>1735</v>
      </c>
      <c r="I10" s="2" t="str">
        <f>_xlfn.XLOOKUP(Tabla_Compras_Extranjera[[#This Row],[id_padre]],Tabla_Compras_Extranjera[Id],Tabla_Compras_Extranjera[Codigo_Tecnico],"",0,1)</f>
        <v>COMPRAS_EXTRANJERA_COMEX_PARAMETROS</v>
      </c>
      <c r="J1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/compras-extranjera-comex/parametros/unidades-entrega</v>
      </c>
      <c r="K1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unidades-entrega</v>
      </c>
      <c r="L10" s="6" t="s">
        <v>1348</v>
      </c>
      <c r="M10" t="s">
        <v>1796</v>
      </c>
      <c r="N10" s="4" t="s">
        <v>360</v>
      </c>
      <c r="O10" s="4" t="s">
        <v>360</v>
      </c>
      <c r="P10" s="4" t="s">
        <v>360</v>
      </c>
      <c r="Q10" s="4"/>
      <c r="S10" s="4" t="s">
        <v>360</v>
      </c>
      <c r="T10" s="2" t="str">
        <f>IF(Tabla_Compras_Extranjera[[#This Row],[id_padre]]=Tabla_Compras_Extranjera[[#This Row],[Id]],"NOK","OK")</f>
        <v>OK</v>
      </c>
    </row>
    <row r="11" spans="1:21" x14ac:dyDescent="0.5">
      <c r="A11">
        <f>MAX(Tabla_Activo_Fijo[Id])</f>
        <v>1511</v>
      </c>
      <c r="B11">
        <v>1513</v>
      </c>
      <c r="C11" s="5">
        <f>IF(Tabla_Compras_Extranjera[[#This Row],[id_padre]]="",0,_xlfn.XLOOKUP(Tabla_Compras_Extranjera[[#This Row],[id_padre]],Tabla_Compras_Extranjera[Id],Tabla_Compras_Extranjera[Nivel],0,0,1)+1)</f>
        <v>2</v>
      </c>
      <c r="D11" s="2" t="s">
        <v>1265</v>
      </c>
      <c r="E11">
        <f>IF(Tabla_Compras_Extranjera[[#This Row],[Id_anterior]]=1,ROW()-1,SUM(ROW()-1,Tabla_Compras_Extranjera[[#This Row],[Id_anterior]]))</f>
        <v>1521</v>
      </c>
      <c r="F1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COMPRAS_EXTRANJERA_COMEX_PARAMETROS_ASOCIA_AOLICABILIDADES_PROVEEDORES</v>
      </c>
      <c r="G11" s="2" t="str">
        <f>CLEAN(PROPER(Tabla_Compras_Extranjera[[#This Row],[Nombre Opción]]))</f>
        <v>Asocia Aolicabilidades A Proveedores</v>
      </c>
      <c r="H11" s="2" t="s">
        <v>1735</v>
      </c>
      <c r="I11" s="2" t="str">
        <f>_xlfn.XLOOKUP(Tabla_Compras_Extranjera[[#This Row],[id_padre]],Tabla_Compras_Extranjera[Id],Tabla_Compras_Extranjera[Codigo_Tecnico],"",0,1)</f>
        <v>COMPRAS_EXTRANJERA_COMEX_PARAMETROS</v>
      </c>
      <c r="J1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/compras-extranjera-comex/parametros/asocia-aolicabilidades-proveedores</v>
      </c>
      <c r="K1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asocia-aolicabilidades-proveedores</v>
      </c>
      <c r="L11" s="6" t="s">
        <v>1555</v>
      </c>
      <c r="M11" t="s">
        <v>1796</v>
      </c>
      <c r="N11" s="4" t="s">
        <v>360</v>
      </c>
      <c r="O11" s="4" t="s">
        <v>360</v>
      </c>
      <c r="P11" s="4" t="s">
        <v>360</v>
      </c>
      <c r="Q11" s="4"/>
      <c r="S11" s="4" t="s">
        <v>360</v>
      </c>
      <c r="T11" s="2" t="str">
        <f>IF(Tabla_Compras_Extranjera[[#This Row],[id_padre]]=Tabla_Compras_Extranjera[[#This Row],[Id]],"NOK","OK")</f>
        <v>OK</v>
      </c>
    </row>
    <row r="12" spans="1:21" x14ac:dyDescent="0.5">
      <c r="A12">
        <f>MAX(Tabla_Activo_Fijo[Id])</f>
        <v>1511</v>
      </c>
      <c r="B12">
        <v>1513</v>
      </c>
      <c r="C12" s="5">
        <f>IF(Tabla_Compras_Extranjera[[#This Row],[id_padre]]="",0,_xlfn.XLOOKUP(Tabla_Compras_Extranjera[[#This Row],[id_padre]],Tabla_Compras_Extranjera[Id],Tabla_Compras_Extranjera[Nivel],0,0,1)+1)</f>
        <v>2</v>
      </c>
      <c r="D12" s="2" t="s">
        <v>1266</v>
      </c>
      <c r="E12">
        <f>IF(Tabla_Compras_Extranjera[[#This Row],[Id_anterior]]=1,ROW()-1,SUM(ROW()-1,Tabla_Compras_Extranjera[[#This Row],[Id_anterior]]))</f>
        <v>1522</v>
      </c>
      <c r="F1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COMPRAS_EXTRANJERA_COMEX_PARAMETROS_MANTENCION_PROVEEDORES</v>
      </c>
      <c r="G12" s="2" t="str">
        <f>CLEAN(PROPER(Tabla_Compras_Extranjera[[#This Row],[Nombre Opción]]))</f>
        <v>Mantención De Proveedores</v>
      </c>
      <c r="H12" s="2" t="s">
        <v>1735</v>
      </c>
      <c r="I12" s="2" t="str">
        <f>_xlfn.XLOOKUP(Tabla_Compras_Extranjera[[#This Row],[id_padre]],Tabla_Compras_Extranjera[Id],Tabla_Compras_Extranjera[Codigo_Tecnico],"",0,1)</f>
        <v>COMPRAS_EXTRANJERA_COMEX_PARAMETROS</v>
      </c>
      <c r="J1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/compras-extranjera-comex/parametros/mantencion-proveedores</v>
      </c>
      <c r="K1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mantencion-proveedores</v>
      </c>
      <c r="L12" s="6" t="s">
        <v>1399</v>
      </c>
      <c r="M12" t="s">
        <v>1796</v>
      </c>
      <c r="N12" s="4" t="s">
        <v>360</v>
      </c>
      <c r="O12" s="4" t="s">
        <v>360</v>
      </c>
      <c r="P12" s="4" t="s">
        <v>360</v>
      </c>
      <c r="Q12" s="4"/>
      <c r="S12" s="4" t="s">
        <v>360</v>
      </c>
      <c r="T12" s="2" t="str">
        <f>IF(Tabla_Compras_Extranjera[[#This Row],[id_padre]]=Tabla_Compras_Extranjera[[#This Row],[Id]],"NOK","OK")</f>
        <v>OK</v>
      </c>
    </row>
    <row r="13" spans="1:21" x14ac:dyDescent="0.5">
      <c r="A13">
        <f>MAX(Tabla_Activo_Fijo[Id])</f>
        <v>1511</v>
      </c>
      <c r="B13">
        <v>1513</v>
      </c>
      <c r="C13" s="5">
        <f>IF(Tabla_Compras_Extranjera[[#This Row],[id_padre]]="",0,_xlfn.XLOOKUP(Tabla_Compras_Extranjera[[#This Row],[id_padre]],Tabla_Compras_Extranjera[Id],Tabla_Compras_Extranjera[Nivel],0,0,1)+1)</f>
        <v>2</v>
      </c>
      <c r="D13" s="2" t="s">
        <v>376</v>
      </c>
      <c r="E13">
        <f>IF(Tabla_Compras_Extranjera[[#This Row],[Id_anterior]]=1,ROW()-1,SUM(ROW()-1,Tabla_Compras_Extranjera[[#This Row],[Id_anterior]]))</f>
        <v>1523</v>
      </c>
      <c r="F1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COMPRAS_EXTRANJERA_COMEX_PARAMETROS_EMPLEADOS_AUTORIZADOS</v>
      </c>
      <c r="G13" s="2" t="str">
        <f>CLEAN(PROPER(Tabla_Compras_Extranjera[[#This Row],[Nombre Opción]]))</f>
        <v>Empleados Autorizados</v>
      </c>
      <c r="H13" s="2" t="s">
        <v>1735</v>
      </c>
      <c r="I13" s="2" t="str">
        <f>_xlfn.XLOOKUP(Tabla_Compras_Extranjera[[#This Row],[id_padre]],Tabla_Compras_Extranjera[Id],Tabla_Compras_Extranjera[Codigo_Tecnico],"",0,1)</f>
        <v>COMPRAS_EXTRANJERA_COMEX_PARAMETROS</v>
      </c>
      <c r="J1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/compras-extranjera-comex/parametros/empleados-autorizados</v>
      </c>
      <c r="K1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empleados-autorizados</v>
      </c>
      <c r="L13" s="6" t="s">
        <v>1515</v>
      </c>
      <c r="M13" t="s">
        <v>1796</v>
      </c>
      <c r="N13" s="4" t="s">
        <v>360</v>
      </c>
      <c r="O13" s="4" t="s">
        <v>360</v>
      </c>
      <c r="P13" s="4" t="s">
        <v>360</v>
      </c>
      <c r="Q13" s="4" t="s">
        <v>360</v>
      </c>
      <c r="S13" s="4" t="s">
        <v>360</v>
      </c>
      <c r="T13" s="2" t="str">
        <f>IF(Tabla_Compras_Extranjera[[#This Row],[id_padre]]=Tabla_Compras_Extranjera[[#This Row],[Id]],"NOK","OK")</f>
        <v>OK</v>
      </c>
    </row>
    <row r="14" spans="1:21" x14ac:dyDescent="0.5">
      <c r="A14">
        <f>MAX(Tabla_Activo_Fijo[Id])</f>
        <v>1511</v>
      </c>
      <c r="B14">
        <v>1513</v>
      </c>
      <c r="C14" s="5">
        <f>IF(Tabla_Compras_Extranjera[[#This Row],[id_padre]]="",0,_xlfn.XLOOKUP(Tabla_Compras_Extranjera[[#This Row],[id_padre]],Tabla_Compras_Extranjera[Id],Tabla_Compras_Extranjera[Nivel],0,0,1)+1)</f>
        <v>2</v>
      </c>
      <c r="D14" s="2" t="s">
        <v>1267</v>
      </c>
      <c r="E14">
        <f>IF(Tabla_Compras_Extranjera[[#This Row],[Id_anterior]]=1,ROW()-1,SUM(ROW()-1,Tabla_Compras_Extranjera[[#This Row],[Id_anterior]]))</f>
        <v>1524</v>
      </c>
      <c r="F1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COMPRAS_EXTRANJERA_COMEX_PARAMETROS_EMBARCADORES</v>
      </c>
      <c r="G14" s="2" t="str">
        <f>CLEAN(PROPER(Tabla_Compras_Extranjera[[#This Row],[Nombre Opción]]))</f>
        <v>Embarcadores</v>
      </c>
      <c r="H14" s="2" t="s">
        <v>1735</v>
      </c>
      <c r="I14" s="2" t="str">
        <f>_xlfn.XLOOKUP(Tabla_Compras_Extranjera[[#This Row],[id_padre]],Tabla_Compras_Extranjera[Id],Tabla_Compras_Extranjera[Codigo_Tecnico],"",0,1)</f>
        <v>COMPRAS_EXTRANJERA_COMEX_PARAMETROS</v>
      </c>
      <c r="J1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/compras-extranjera-comex/parametros/embarcadores</v>
      </c>
      <c r="K1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embarcadores</v>
      </c>
      <c r="L14" s="6" t="s">
        <v>1725</v>
      </c>
      <c r="M14" t="s">
        <v>1796</v>
      </c>
      <c r="N14" s="4" t="s">
        <v>360</v>
      </c>
      <c r="O14" s="4" t="s">
        <v>360</v>
      </c>
      <c r="P14" s="4" t="s">
        <v>360</v>
      </c>
      <c r="Q14" s="4" t="s">
        <v>360</v>
      </c>
      <c r="S14" s="4" t="s">
        <v>360</v>
      </c>
      <c r="T14" s="2" t="str">
        <f>IF(Tabla_Compras_Extranjera[[#This Row],[id_padre]]=Tabla_Compras_Extranjera[[#This Row],[Id]],"NOK","OK")</f>
        <v>OK</v>
      </c>
    </row>
    <row r="15" spans="1:21" x14ac:dyDescent="0.5">
      <c r="A15">
        <f>MAX(Tabla_Activo_Fijo[Id])</f>
        <v>1511</v>
      </c>
      <c r="B15">
        <v>1513</v>
      </c>
      <c r="C15" s="5">
        <f>IF(Tabla_Compras_Extranjera[[#This Row],[id_padre]]="",0,_xlfn.XLOOKUP(Tabla_Compras_Extranjera[[#This Row],[id_padre]],Tabla_Compras_Extranjera[Id],Tabla_Compras_Extranjera[Nivel],0,0,1)+1)</f>
        <v>2</v>
      </c>
      <c r="D15" s="2" t="s">
        <v>558</v>
      </c>
      <c r="E15">
        <f>IF(Tabla_Compras_Extranjera[[#This Row],[Id_anterior]]=1,ROW()-1,SUM(ROW()-1,Tabla_Compras_Extranjera[[#This Row],[Id_anterior]]))</f>
        <v>1525</v>
      </c>
      <c r="F1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COMPRAS_EXTRANJERA_COMEX_PARAMETROS_PRIORIDADES</v>
      </c>
      <c r="G15" s="2" t="str">
        <f>CLEAN(PROPER(Tabla_Compras_Extranjera[[#This Row],[Nombre Opción]]))</f>
        <v>Prioridades</v>
      </c>
      <c r="H15" s="2" t="s">
        <v>1735</v>
      </c>
      <c r="I15" s="2" t="str">
        <f>_xlfn.XLOOKUP(Tabla_Compras_Extranjera[[#This Row],[id_padre]],Tabla_Compras_Extranjera[Id],Tabla_Compras_Extranjera[Codigo_Tecnico],"",0,1)</f>
        <v>COMPRAS_EXTRANJERA_COMEX_PARAMETROS</v>
      </c>
      <c r="J1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/compras-extranjera-comex/parametros/prioridades</v>
      </c>
      <c r="K1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prioridades</v>
      </c>
      <c r="L15" s="6" t="s">
        <v>1530</v>
      </c>
      <c r="M15" t="s">
        <v>1796</v>
      </c>
      <c r="N15" s="4" t="s">
        <v>360</v>
      </c>
      <c r="O15" s="4" t="s">
        <v>360</v>
      </c>
      <c r="P15" s="4" t="s">
        <v>360</v>
      </c>
      <c r="Q15" s="4" t="s">
        <v>360</v>
      </c>
      <c r="S15" s="4" t="s">
        <v>360</v>
      </c>
      <c r="T15" s="2" t="str">
        <f>IF(Tabla_Compras_Extranjera[[#This Row],[id_padre]]=Tabla_Compras_Extranjera[[#This Row],[Id]],"NOK","OK")</f>
        <v>OK</v>
      </c>
    </row>
    <row r="16" spans="1:21" hidden="1" x14ac:dyDescent="0.5">
      <c r="A16">
        <f>MAX(Tabla_Activo_Fijo[Id])</f>
        <v>1511</v>
      </c>
      <c r="B16">
        <v>1514</v>
      </c>
      <c r="C16" s="5">
        <f>IF(Tabla_Compras_Extranjera[[#This Row],[id_padre]]="",0,_xlfn.XLOOKUP(Tabla_Compras_Extranjera[[#This Row],[id_padre]],Tabla_Compras_Extranjera[Id],Tabla_Compras_Extranjera[Nivel],0,0,1)+1)</f>
        <v>2</v>
      </c>
      <c r="D16" s="2" t="s">
        <v>568</v>
      </c>
      <c r="E16">
        <f>IF(Tabla_Compras_Extranjera[[#This Row],[Id_anterior]]=1,ROW()-1,SUM(ROW()-1,Tabla_Compras_Extranjera[[#This Row],[Id_anterior]]))</f>
        <v>1526</v>
      </c>
      <c r="F1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</v>
      </c>
      <c r="G16" s="2" t="str">
        <f>CLEAN(PROPER(Tabla_Compras_Extranjera[[#This Row],[Nombre Opción]]))</f>
        <v>Solicitudes De Bienes Y Servicios</v>
      </c>
      <c r="H16" s="2" t="s">
        <v>1735</v>
      </c>
      <c r="I16" s="2" t="str">
        <f>_xlfn.XLOOKUP(Tabla_Compras_Extranjera[[#This Row],[id_padre]],Tabla_Compras_Extranjera[Id],Tabla_Compras_Extranjera[Codigo_Tecnico],"",0,1)</f>
        <v>COMPRAS_EXTRANJERA_COMEX_PROCESOS</v>
      </c>
      <c r="J1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</v>
      </c>
      <c r="K1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solicitudes-bienes-y-servicios</v>
      </c>
      <c r="L16" s="6" t="s">
        <v>1446</v>
      </c>
      <c r="M16" t="s">
        <v>1796</v>
      </c>
      <c r="N16" s="4" t="s">
        <v>360</v>
      </c>
      <c r="O16" s="4" t="s">
        <v>360</v>
      </c>
      <c r="P16" s="4" t="s">
        <v>360</v>
      </c>
      <c r="Q16" s="4" t="s">
        <v>360</v>
      </c>
      <c r="S16" s="4" t="s">
        <v>360</v>
      </c>
      <c r="T16" s="2" t="str">
        <f>IF(Tabla_Compras_Extranjera[[#This Row],[id_padre]]=Tabla_Compras_Extranjera[[#This Row],[Id]],"NOK","OK")</f>
        <v>OK</v>
      </c>
    </row>
    <row r="17" spans="1:20" hidden="1" x14ac:dyDescent="0.5">
      <c r="A17">
        <f>MAX(Tabla_Activo_Fijo[Id])</f>
        <v>1511</v>
      </c>
      <c r="B17">
        <v>1526</v>
      </c>
      <c r="C17" s="5">
        <f>IF(Tabla_Compras_Extranjera[[#This Row],[id_padre]]="",0,_xlfn.XLOOKUP(Tabla_Compras_Extranjera[[#This Row],[id_padre]],Tabla_Compras_Extranjera[Id],Tabla_Compras_Extranjera[Nivel],0,0,1)+1)</f>
        <v>3</v>
      </c>
      <c r="D17" s="2" t="s">
        <v>1719</v>
      </c>
      <c r="E17">
        <f>IF(Tabla_Compras_Extranjera[[#This Row],[Id_anterior]]=1,ROW()-1,SUM(ROW()-1,Tabla_Compras_Extranjera[[#This Row],[Id_anterior]]))</f>
        <v>1527</v>
      </c>
      <c r="F1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COMPRAS_EXTRANJERA_COMEX_PROCESOS_SOLICITUDES_BIENES_Y_SERVICIOS_INGRESO_SOLICITUDES</v>
      </c>
      <c r="G17" s="2" t="str">
        <f>CLEAN(PROPER(Tabla_Compras_Extranjera[[#This Row],[Nombre Opción]]))</f>
        <v>Ingreso Solicitudes</v>
      </c>
      <c r="H17" s="2" t="s">
        <v>1735</v>
      </c>
      <c r="I17" s="2" t="str">
        <f>_xlfn.XLOOKUP(Tabla_Compras_Extranjera[[#This Row],[id_padre]],Tabla_Compras_Extranjera[Id],Tabla_Compras_Extranjera[Codigo_Tecnico],"",0,1)</f>
        <v>COMPRAS_EXTRANJERA_COMEX_PROCESOS_SOLICITUDES_BIENES_Y_SERVICIOS</v>
      </c>
      <c r="J1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/compras-extranjera-comex/procesos/solicitudes-bienes-y-servicios/ingreso-solicitudes</v>
      </c>
      <c r="K1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ingreso-solicitudes</v>
      </c>
      <c r="L17" s="6" t="s">
        <v>1536</v>
      </c>
      <c r="M17" t="s">
        <v>1796</v>
      </c>
      <c r="N17" s="4" t="s">
        <v>360</v>
      </c>
      <c r="O17" s="4" t="s">
        <v>360</v>
      </c>
      <c r="P17" s="4" t="s">
        <v>360</v>
      </c>
      <c r="Q17" s="4" t="s">
        <v>360</v>
      </c>
      <c r="S17" s="4" t="s">
        <v>360</v>
      </c>
      <c r="T17" s="2" t="str">
        <f>IF(Tabla_Compras_Extranjera[[#This Row],[id_padre]]=Tabla_Compras_Extranjera[[#This Row],[Id]],"NOK","OK")</f>
        <v>OK</v>
      </c>
    </row>
    <row r="18" spans="1:20" hidden="1" x14ac:dyDescent="0.5">
      <c r="A18">
        <f>MAX(Tabla_Activo_Fijo[Id])</f>
        <v>1511</v>
      </c>
      <c r="B18">
        <v>1526</v>
      </c>
      <c r="C18" s="5">
        <f>IF(Tabla_Compras_Extranjera[[#This Row],[id_padre]]="",0,_xlfn.XLOOKUP(Tabla_Compras_Extranjera[[#This Row],[id_padre]],Tabla_Compras_Extranjera[Id],Tabla_Compras_Extranjera[Nivel],0,0,1)+1)</f>
        <v>3</v>
      </c>
      <c r="D18" s="2" t="s">
        <v>1720</v>
      </c>
      <c r="E18">
        <f>IF(Tabla_Compras_Extranjera[[#This Row],[Id_anterior]]=1,ROW()-1,SUM(ROW()-1,Tabla_Compras_Extranjera[[#This Row],[Id_anterior]]))</f>
        <v>1528</v>
      </c>
      <c r="F1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COMPRAS_EXTRANJERA_COMEX_PROCESOS_SOLICITUDES_BIENES_Y_SERVICIOS_EMISION_SOLICITUDES</v>
      </c>
      <c r="G18" s="2" t="str">
        <f>CLEAN(PROPER(Tabla_Compras_Extranjera[[#This Row],[Nombre Opción]]))</f>
        <v>Emisión De Solicitudes</v>
      </c>
      <c r="H18" s="2" t="s">
        <v>1735</v>
      </c>
      <c r="I18" s="2" t="str">
        <f>_xlfn.XLOOKUP(Tabla_Compras_Extranjera[[#This Row],[id_padre]],Tabla_Compras_Extranjera[Id],Tabla_Compras_Extranjera[Codigo_Tecnico],"",0,1)</f>
        <v>COMPRAS_EXTRANJERA_COMEX_PROCESOS_SOLICITUDES_BIENES_Y_SERVICIOS</v>
      </c>
      <c r="J1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/compras-extranjera-comex/procesos/solicitudes-bienes-y-servicios/emision-solicitudes</v>
      </c>
      <c r="K1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emision-solicitudes</v>
      </c>
      <c r="L18" s="6" t="s">
        <v>1396</v>
      </c>
      <c r="M18" t="s">
        <v>1796</v>
      </c>
      <c r="N18" s="4" t="s">
        <v>360</v>
      </c>
      <c r="O18" s="4" t="s">
        <v>360</v>
      </c>
      <c r="P18" s="4" t="s">
        <v>360</v>
      </c>
      <c r="Q18" s="4" t="s">
        <v>360</v>
      </c>
      <c r="S18" s="4" t="s">
        <v>360</v>
      </c>
      <c r="T18" s="2" t="str">
        <f>IF(Tabla_Compras_Extranjera[[#This Row],[id_padre]]=Tabla_Compras_Extranjera[[#This Row],[Id]],"NOK","OK")</f>
        <v>OK</v>
      </c>
    </row>
    <row r="19" spans="1:20" hidden="1" x14ac:dyDescent="0.5">
      <c r="A19">
        <f>MAX(Tabla_Activo_Fijo[Id])</f>
        <v>1511</v>
      </c>
      <c r="B19">
        <v>1526</v>
      </c>
      <c r="C19" s="5">
        <f>IF(Tabla_Compras_Extranjera[[#This Row],[id_padre]]="",0,_xlfn.XLOOKUP(Tabla_Compras_Extranjera[[#This Row],[id_padre]],Tabla_Compras_Extranjera[Id],Tabla_Compras_Extranjera[Nivel],0,0,1)+1)</f>
        <v>3</v>
      </c>
      <c r="D19" s="2" t="s">
        <v>1268</v>
      </c>
      <c r="E19">
        <f>IF(Tabla_Compras_Extranjera[[#This Row],[Id_anterior]]=1,ROW()-1,SUM(ROW()-1,Tabla_Compras_Extranjera[[#This Row],[Id_anterior]]))</f>
        <v>1529</v>
      </c>
      <c r="F1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COMPRAS_EXTRANJERA_COMEX_PROCESOS_SOLICITUDES_BIENES_Y_SERVICIOS_ESTADOS_INTERNOS_SOLICITUDES</v>
      </c>
      <c r="G19" s="2" t="str">
        <f>CLEAN(PROPER(Tabla_Compras_Extranjera[[#This Row],[Nombre Opción]]))</f>
        <v>Estados Internos Solicitudes</v>
      </c>
      <c r="H19" s="2" t="s">
        <v>1735</v>
      </c>
      <c r="I19" s="2" t="str">
        <f>_xlfn.XLOOKUP(Tabla_Compras_Extranjera[[#This Row],[id_padre]],Tabla_Compras_Extranjera[Id],Tabla_Compras_Extranjera[Codigo_Tecnico],"",0,1)</f>
        <v>COMPRAS_EXTRANJERA_COMEX_PROCESOS_SOLICITUDES_BIENES_Y_SERVICIOS</v>
      </c>
      <c r="J1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/compras-extranjera-comex/procesos/solicitudes-bienes-y-servicios/estados-internos-solicitudes</v>
      </c>
      <c r="K1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estados-internos-solicitudes</v>
      </c>
      <c r="L19" s="6" t="s">
        <v>1507</v>
      </c>
      <c r="M19" t="s">
        <v>1796</v>
      </c>
      <c r="N19" s="4" t="s">
        <v>360</v>
      </c>
      <c r="O19" s="4" t="s">
        <v>360</v>
      </c>
      <c r="P19" s="4" t="s">
        <v>360</v>
      </c>
      <c r="Q19" s="4" t="s">
        <v>360</v>
      </c>
      <c r="S19" s="4" t="s">
        <v>360</v>
      </c>
      <c r="T19" s="2" t="str">
        <f>IF(Tabla_Compras_Extranjera[[#This Row],[id_padre]]=Tabla_Compras_Extranjera[[#This Row],[Id]],"NOK","OK")</f>
        <v>OK</v>
      </c>
    </row>
    <row r="20" spans="1:20" hidden="1" x14ac:dyDescent="0.5">
      <c r="A20">
        <f>MAX(Tabla_Activo_Fijo[Id])</f>
        <v>1511</v>
      </c>
      <c r="B20">
        <v>1526</v>
      </c>
      <c r="C20" s="5">
        <f>IF(Tabla_Compras_Extranjera[[#This Row],[id_padre]]="",0,_xlfn.XLOOKUP(Tabla_Compras_Extranjera[[#This Row],[id_padre]],Tabla_Compras_Extranjera[Id],Tabla_Compras_Extranjera[Nivel],0,0,1)+1)</f>
        <v>3</v>
      </c>
      <c r="D20" s="2" t="s">
        <v>1269</v>
      </c>
      <c r="E20">
        <f>IF(Tabla_Compras_Extranjera[[#This Row],[Id_anterior]]=1,ROW()-1,SUM(ROW()-1,Tabla_Compras_Extranjera[[#This Row],[Id_anterior]]))</f>
        <v>1530</v>
      </c>
      <c r="F2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COMPRAS_EXTRANJERA_COMEX_PROCESOS_SOLICITUDES_BIENES_Y_SERVICIOS_RECEPCION_SOLICITUDES</v>
      </c>
      <c r="G20" s="2" t="str">
        <f>CLEAN(PROPER(Tabla_Compras_Extranjera[[#This Row],[Nombre Opción]]))</f>
        <v>Recepción De Solicitudes</v>
      </c>
      <c r="H20" s="2" t="s">
        <v>1735</v>
      </c>
      <c r="I20" s="2" t="str">
        <f>_xlfn.XLOOKUP(Tabla_Compras_Extranjera[[#This Row],[id_padre]],Tabla_Compras_Extranjera[Id],Tabla_Compras_Extranjera[Codigo_Tecnico],"",0,1)</f>
        <v>COMPRAS_EXTRANJERA_COMEX_PROCESOS_SOLICITUDES_BIENES_Y_SERVICIOS</v>
      </c>
      <c r="J2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/compras-extranjera-comex/procesos/solicitudes-bienes-y-servicios/recepcion-solicitudes</v>
      </c>
      <c r="K2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recepcion-solicitudes</v>
      </c>
      <c r="L20" s="6" t="s">
        <v>1375</v>
      </c>
      <c r="M20" t="s">
        <v>1796</v>
      </c>
      <c r="N20" s="4" t="s">
        <v>360</v>
      </c>
      <c r="O20" s="4" t="s">
        <v>360</v>
      </c>
      <c r="P20" s="4" t="s">
        <v>360</v>
      </c>
      <c r="Q20" s="4" t="s">
        <v>360</v>
      </c>
      <c r="S20" s="4" t="s">
        <v>360</v>
      </c>
      <c r="T20" s="2" t="str">
        <f>IF(Tabla_Compras_Extranjera[[#This Row],[id_padre]]=Tabla_Compras_Extranjera[[#This Row],[Id]],"NOK","OK")</f>
        <v>OK</v>
      </c>
    </row>
    <row r="21" spans="1:20" hidden="1" x14ac:dyDescent="0.5">
      <c r="A21">
        <f>MAX(Tabla_Activo_Fijo[Id])</f>
        <v>1511</v>
      </c>
      <c r="B21">
        <v>1526</v>
      </c>
      <c r="C21" s="5">
        <f>IF(Tabla_Compras_Extranjera[[#This Row],[id_padre]]="",0,_xlfn.XLOOKUP(Tabla_Compras_Extranjera[[#This Row],[id_padre]],Tabla_Compras_Extranjera[Id],Tabla_Compras_Extranjera[Nivel],0,0,1)+1)</f>
        <v>3</v>
      </c>
      <c r="D21" s="2" t="s">
        <v>1270</v>
      </c>
      <c r="E21">
        <f>IF(Tabla_Compras_Extranjera[[#This Row],[Id_anterior]]=1,ROW()-1,SUM(ROW()-1,Tabla_Compras_Extranjera[[#This Row],[Id_anterior]]))</f>
        <v>1531</v>
      </c>
      <c r="F2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COMPRAS_EXTRANJERA_COMEX_PROCESOS_SOLICITUDES_BIENES_Y_SERVICIOS_ASIGNACION_SOLICITUDES</v>
      </c>
      <c r="G21" s="2" t="str">
        <f>CLEAN(PROPER(Tabla_Compras_Extranjera[[#This Row],[Nombre Opción]]))</f>
        <v>Asignación De Solicitudes</v>
      </c>
      <c r="H21" s="2" t="s">
        <v>1735</v>
      </c>
      <c r="I21" s="2" t="str">
        <f>_xlfn.XLOOKUP(Tabla_Compras_Extranjera[[#This Row],[id_padre]],Tabla_Compras_Extranjera[Id],Tabla_Compras_Extranjera[Codigo_Tecnico],"",0,1)</f>
        <v>COMPRAS_EXTRANJERA_COMEX_PROCESOS_SOLICITUDES_BIENES_Y_SERVICIOS</v>
      </c>
      <c r="J2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/compras-extranjera-comex/procesos/solicitudes-bienes-y-servicios/asignacion-solicitudes</v>
      </c>
      <c r="K2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asignacion-solicitudes</v>
      </c>
      <c r="L21" s="6" t="s">
        <v>1355</v>
      </c>
      <c r="M21" t="s">
        <v>1796</v>
      </c>
      <c r="N21" s="4" t="s">
        <v>360</v>
      </c>
      <c r="O21" s="4" t="s">
        <v>360</v>
      </c>
      <c r="P21" s="4" t="s">
        <v>360</v>
      </c>
      <c r="Q21" s="4" t="s">
        <v>360</v>
      </c>
      <c r="S21" s="4" t="s">
        <v>360</v>
      </c>
      <c r="T21" s="2" t="str">
        <f>IF(Tabla_Compras_Extranjera[[#This Row],[id_padre]]=Tabla_Compras_Extranjera[[#This Row],[Id]],"NOK","OK")</f>
        <v>OK</v>
      </c>
    </row>
    <row r="22" spans="1:20" hidden="1" x14ac:dyDescent="0.5">
      <c r="A22">
        <f>MAX(Tabla_Activo_Fijo[Id])</f>
        <v>1511</v>
      </c>
      <c r="B22">
        <v>1526</v>
      </c>
      <c r="C22" s="5">
        <f>IF(Tabla_Compras_Extranjera[[#This Row],[id_padre]]="",0,_xlfn.XLOOKUP(Tabla_Compras_Extranjera[[#This Row],[id_padre]],Tabla_Compras_Extranjera[Id],Tabla_Compras_Extranjera[Nivel],0,0,1)+1)</f>
        <v>3</v>
      </c>
      <c r="D22" s="2" t="s">
        <v>1271</v>
      </c>
      <c r="E22">
        <f>IF(Tabla_Compras_Extranjera[[#This Row],[Id_anterior]]=1,ROW()-1,SUM(ROW()-1,Tabla_Compras_Extranjera[[#This Row],[Id_anterior]]))</f>
        <v>1532</v>
      </c>
      <c r="F2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COMPRAS_EXTRANJERA_COMEX_PROCESOS_SOLICITUDES_BIENES_Y_SERVICIOS_INGRESO_SOLICITUDES_SIN_O_C_PREOBLIGA_OBLIGA</v>
      </c>
      <c r="G22" s="2" t="str">
        <f>CLEAN(PROPER(Tabla_Compras_Extranjera[[#This Row],[Nombre Opción]]))</f>
        <v>Ingreso De Solicitudes Sin O/C (Preobliga / Obliga)</v>
      </c>
      <c r="H22" s="2" t="s">
        <v>1735</v>
      </c>
      <c r="I22" s="2" t="str">
        <f>_xlfn.XLOOKUP(Tabla_Compras_Extranjera[[#This Row],[id_padre]],Tabla_Compras_Extranjera[Id],Tabla_Compras_Extranjera[Codigo_Tecnico],"",0,1)</f>
        <v>COMPRAS_EXTRANJERA_COMEX_PROCESOS_SOLICITUDES_BIENES_Y_SERVICIOS</v>
      </c>
      <c r="J2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/compras-extranjera-comex/procesos/solicitudes-bienes-y-servicios/ingreso-solicitudes-sin-o-c-preobliga-obliga</v>
      </c>
      <c r="K2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ingreso-solicitudes-sin-o-c-preobliga-obliga</v>
      </c>
      <c r="L22" s="6" t="s">
        <v>1486</v>
      </c>
      <c r="M22" t="s">
        <v>1796</v>
      </c>
      <c r="N22" s="4" t="s">
        <v>360</v>
      </c>
      <c r="O22" s="4" t="s">
        <v>360</v>
      </c>
      <c r="P22" s="4" t="s">
        <v>360</v>
      </c>
      <c r="Q22" s="4" t="s">
        <v>360</v>
      </c>
      <c r="S22" s="4" t="s">
        <v>360</v>
      </c>
      <c r="T22" s="2" t="str">
        <f>IF(Tabla_Compras_Extranjera[[#This Row],[id_padre]]=Tabla_Compras_Extranjera[[#This Row],[Id]],"NOK","OK")</f>
        <v>OK</v>
      </c>
    </row>
    <row r="23" spans="1:20" hidden="1" x14ac:dyDescent="0.5">
      <c r="A23">
        <f>MAX(Tabla_Activo_Fijo[Id])</f>
        <v>1511</v>
      </c>
      <c r="B23">
        <v>1526</v>
      </c>
      <c r="C23" s="5">
        <f>IF(Tabla_Compras_Extranjera[[#This Row],[id_padre]]="",0,_xlfn.XLOOKUP(Tabla_Compras_Extranjera[[#This Row],[id_padre]],Tabla_Compras_Extranjera[Id],Tabla_Compras_Extranjera[Nivel],0,0,1)+1)</f>
        <v>3</v>
      </c>
      <c r="D23" s="2" t="s">
        <v>1272</v>
      </c>
      <c r="E23">
        <f>IF(Tabla_Compras_Extranjera[[#This Row],[Id_anterior]]=1,ROW()-1,SUM(ROW()-1,Tabla_Compras_Extranjera[[#This Row],[Id_anterior]]))</f>
        <v>1533</v>
      </c>
      <c r="F2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COMPRAS_EXTRANJERA_COMEX_PROCESOS_SOLICITUDES_BIENES_Y_SERVICIOS_INGRESO_SOLICITUDES_REGULARIZA_SDOS_CASOS_FMS</v>
      </c>
      <c r="G23" s="2" t="str">
        <f>CLEAN(PROPER(Tabla_Compras_Extranjera[[#This Row],[Nombre Opción]]))</f>
        <v>Ingreso De Solicitudes Regulariza Sdos. Casos Fms</v>
      </c>
      <c r="H23" s="2" t="s">
        <v>1735</v>
      </c>
      <c r="I23" s="2" t="str">
        <f>_xlfn.XLOOKUP(Tabla_Compras_Extranjera[[#This Row],[id_padre]],Tabla_Compras_Extranjera[Id],Tabla_Compras_Extranjera[Codigo_Tecnico],"",0,1)</f>
        <v>COMPRAS_EXTRANJERA_COMEX_PROCESOS_SOLICITUDES_BIENES_Y_SERVICIOS</v>
      </c>
      <c r="J2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/compras-extranjera-comex/procesos/solicitudes-bienes-y-servicios/ingreso-solicitudes-regulariza-sdos-casos-fms</v>
      </c>
      <c r="K2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ingreso-solicitudes-regulariza-sdos-casos-fms</v>
      </c>
      <c r="L23" s="6" t="s">
        <v>1549</v>
      </c>
      <c r="M23" t="s">
        <v>1796</v>
      </c>
      <c r="N23" s="4" t="s">
        <v>360</v>
      </c>
      <c r="O23" s="4" t="s">
        <v>360</v>
      </c>
      <c r="P23" s="4" t="s">
        <v>360</v>
      </c>
      <c r="Q23" s="4" t="s">
        <v>360</v>
      </c>
      <c r="S23" s="4" t="s">
        <v>360</v>
      </c>
      <c r="T23" s="2" t="str">
        <f>IF(Tabla_Compras_Extranjera[[#This Row],[id_padre]]=Tabla_Compras_Extranjera[[#This Row],[Id]],"NOK","OK")</f>
        <v>OK</v>
      </c>
    </row>
    <row r="24" spans="1:20" hidden="1" x14ac:dyDescent="0.5">
      <c r="A24">
        <f>MAX(Tabla_Activo_Fijo[Id])</f>
        <v>1511</v>
      </c>
      <c r="B24">
        <v>1526</v>
      </c>
      <c r="C24" s="5">
        <f>IF(Tabla_Compras_Extranjera[[#This Row],[id_padre]]="",0,_xlfn.XLOOKUP(Tabla_Compras_Extranjera[[#This Row],[id_padre]],Tabla_Compras_Extranjera[Id],Tabla_Compras_Extranjera[Nivel],0,0,1)+1)</f>
        <v>3</v>
      </c>
      <c r="D24" s="2" t="s">
        <v>1273</v>
      </c>
      <c r="E24">
        <f>IF(Tabla_Compras_Extranjera[[#This Row],[Id_anterior]]=1,ROW()-1,SUM(ROW()-1,Tabla_Compras_Extranjera[[#This Row],[Id_anterior]]))</f>
        <v>1534</v>
      </c>
      <c r="F2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COMPRAS_EXTRANJERA_COMEX_PROCESOS_SOLICITUDES_BIENES_Y_SERVICIOS_OBLIGA_SOLICITUD_COMPRAS</v>
      </c>
      <c r="G24" s="2" t="str">
        <f>CLEAN(PROPER(Tabla_Compras_Extranjera[[#This Row],[Nombre Opción]]))</f>
        <v>Obliga Solicitud De Compras</v>
      </c>
      <c r="H24" s="2" t="s">
        <v>1735</v>
      </c>
      <c r="I24" s="2" t="str">
        <f>_xlfn.XLOOKUP(Tabla_Compras_Extranjera[[#This Row],[id_padre]],Tabla_Compras_Extranjera[Id],Tabla_Compras_Extranjera[Codigo_Tecnico],"",0,1)</f>
        <v>COMPRAS_EXTRANJERA_COMEX_PROCESOS_SOLICITUDES_BIENES_Y_SERVICIOS</v>
      </c>
      <c r="J2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/compras-extranjera-comex/procesos/solicitudes-bienes-y-servicios/obliga-solicitud-compras</v>
      </c>
      <c r="K2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obliga-solicitud-compras</v>
      </c>
      <c r="L24" s="6" t="s">
        <v>1457</v>
      </c>
      <c r="M24" t="s">
        <v>1796</v>
      </c>
      <c r="N24" s="4" t="s">
        <v>360</v>
      </c>
      <c r="O24" s="4" t="s">
        <v>360</v>
      </c>
      <c r="P24" s="4" t="s">
        <v>360</v>
      </c>
      <c r="Q24" s="4" t="s">
        <v>360</v>
      </c>
      <c r="S24" s="4" t="s">
        <v>360</v>
      </c>
      <c r="T24" s="2" t="str">
        <f>IF(Tabla_Compras_Extranjera[[#This Row],[id_padre]]=Tabla_Compras_Extranjera[[#This Row],[Id]],"NOK","OK")</f>
        <v>OK</v>
      </c>
    </row>
    <row r="25" spans="1:20" hidden="1" x14ac:dyDescent="0.5">
      <c r="A25">
        <f>MAX(Tabla_Activo_Fijo[Id])</f>
        <v>1511</v>
      </c>
      <c r="B25">
        <v>1514</v>
      </c>
      <c r="C25" s="5">
        <f>IF(Tabla_Compras_Extranjera[[#This Row],[id_padre]]="",0,_xlfn.XLOOKUP(Tabla_Compras_Extranjera[[#This Row],[id_padre]],Tabla_Compras_Extranjera[Id],Tabla_Compras_Extranjera[Nivel],0,0,1)+1)</f>
        <v>2</v>
      </c>
      <c r="D25" s="2" t="s">
        <v>1675</v>
      </c>
      <c r="E25">
        <f>IF(Tabla_Compras_Extranjera[[#This Row],[Id_anterior]]=1,ROW()-1,SUM(ROW()-1,Tabla_Compras_Extranjera[[#This Row],[Id_anterior]]))</f>
        <v>1535</v>
      </c>
      <c r="F2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COMPRAS_EXTRANJERA_COMEX_PROCESOS_REQUERIMIENTOS</v>
      </c>
      <c r="G25" s="2" t="str">
        <f>CLEAN(PROPER(Tabla_Compras_Extranjera[[#This Row],[Nombre Opción]]))</f>
        <v>Requerimientos</v>
      </c>
      <c r="H25" s="2" t="s">
        <v>1735</v>
      </c>
      <c r="I25" s="2" t="str">
        <f>_xlfn.XLOOKUP(Tabla_Compras_Extranjera[[#This Row],[id_padre]],Tabla_Compras_Extranjera[Id],Tabla_Compras_Extranjera[Codigo_Tecnico],"",0,1)</f>
        <v>COMPRAS_EXTRANJERA_COMEX_PROCESOS</v>
      </c>
      <c r="J2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/compras-extranjera-comex/procesos/requerimientos</v>
      </c>
      <c r="K2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requerimientos</v>
      </c>
      <c r="L25" s="6" t="s">
        <v>1726</v>
      </c>
      <c r="M25" t="s">
        <v>1796</v>
      </c>
      <c r="N25" s="4" t="s">
        <v>360</v>
      </c>
      <c r="O25" s="4" t="s">
        <v>360</v>
      </c>
      <c r="P25" s="4" t="s">
        <v>360</v>
      </c>
      <c r="Q25" s="4" t="s">
        <v>360</v>
      </c>
      <c r="S25" s="4" t="s">
        <v>360</v>
      </c>
      <c r="T25" s="2" t="str">
        <f>IF(Tabla_Compras_Extranjera[[#This Row],[id_padre]]=Tabla_Compras_Extranjera[[#This Row],[Id]],"NOK","OK")</f>
        <v>OK</v>
      </c>
    </row>
    <row r="26" spans="1:20" hidden="1" x14ac:dyDescent="0.5">
      <c r="A26">
        <f>MAX(Tabla_Activo_Fijo[Id])</f>
        <v>1511</v>
      </c>
      <c r="B26">
        <v>1535</v>
      </c>
      <c r="C26" s="5">
        <f>IF(Tabla_Compras_Extranjera[[#This Row],[id_padre]]="",0,_xlfn.XLOOKUP(Tabla_Compras_Extranjera[[#This Row],[id_padre]],Tabla_Compras_Extranjera[Id],Tabla_Compras_Extranjera[Nivel],0,0,1)+1)</f>
        <v>3</v>
      </c>
      <c r="D26" s="2" t="s">
        <v>1274</v>
      </c>
      <c r="E26">
        <f>IF(Tabla_Compras_Extranjera[[#This Row],[Id_anterior]]=1,ROW()-1,SUM(ROW()-1,Tabla_Compras_Extranjera[[#This Row],[Id_anterior]]))</f>
        <v>1536</v>
      </c>
      <c r="F2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COMPRAS_EXTRANJERA_COMEX_PROCESOS_REQUERIMIENTOS_INGRESO_REQUERIMIENTOS</v>
      </c>
      <c r="G26" s="2" t="str">
        <f>CLEAN(PROPER(Tabla_Compras_Extranjera[[#This Row],[Nombre Opción]]))</f>
        <v>Ingreso De Requerimientos</v>
      </c>
      <c r="H26" s="2" t="s">
        <v>1735</v>
      </c>
      <c r="I26" s="2" t="str">
        <f>_xlfn.XLOOKUP(Tabla_Compras_Extranjera[[#This Row],[id_padre]],Tabla_Compras_Extranjera[Id],Tabla_Compras_Extranjera[Codigo_Tecnico],"",0,1)</f>
        <v>COMPRAS_EXTRANJERA_COMEX_PROCESOS_REQUERIMIENTOS</v>
      </c>
      <c r="J2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/compras-extranjera-comex/procesos/requerimientos/ingreso-requerimientos</v>
      </c>
      <c r="K2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ingreso-requerimientos</v>
      </c>
      <c r="L26" s="6" t="s">
        <v>1482</v>
      </c>
      <c r="M26" t="s">
        <v>1796</v>
      </c>
      <c r="N26" s="4" t="s">
        <v>360</v>
      </c>
      <c r="O26" s="4" t="s">
        <v>360</v>
      </c>
      <c r="P26" s="4" t="s">
        <v>360</v>
      </c>
      <c r="Q26" s="4" t="s">
        <v>360</v>
      </c>
      <c r="S26" s="4" t="s">
        <v>360</v>
      </c>
      <c r="T26" s="2" t="str">
        <f>IF(Tabla_Compras_Extranjera[[#This Row],[id_padre]]=Tabla_Compras_Extranjera[[#This Row],[Id]],"NOK","OK")</f>
        <v>OK</v>
      </c>
    </row>
    <row r="27" spans="1:20" hidden="1" x14ac:dyDescent="0.5">
      <c r="A27">
        <f>MAX(Tabla_Activo_Fijo[Id])</f>
        <v>1511</v>
      </c>
      <c r="B27">
        <v>1535</v>
      </c>
      <c r="C27" s="5">
        <f>IF(Tabla_Compras_Extranjera[[#This Row],[id_padre]]="",0,_xlfn.XLOOKUP(Tabla_Compras_Extranjera[[#This Row],[id_padre]],Tabla_Compras_Extranjera[Id],Tabla_Compras_Extranjera[Nivel],0,0,1)+1)</f>
        <v>3</v>
      </c>
      <c r="D27" s="2" t="s">
        <v>1275</v>
      </c>
      <c r="E27">
        <f>IF(Tabla_Compras_Extranjera[[#This Row],[Id_anterior]]=1,ROW()-1,SUM(ROW()-1,Tabla_Compras_Extranjera[[#This Row],[Id_anterior]]))</f>
        <v>1537</v>
      </c>
      <c r="F2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COMPRAS_EXTRANJERA_COMEX_PROCESOS_REQUERIMIENTOS_MANTENCION_REUERIMIENTOS</v>
      </c>
      <c r="G27" s="2" t="str">
        <f>CLEAN(PROPER(Tabla_Compras_Extranjera[[#This Row],[Nombre Opción]]))</f>
        <v>Mantención Reuerimientos</v>
      </c>
      <c r="H27" s="2" t="s">
        <v>1735</v>
      </c>
      <c r="I27" s="2" t="str">
        <f>_xlfn.XLOOKUP(Tabla_Compras_Extranjera[[#This Row],[id_padre]],Tabla_Compras_Extranjera[Id],Tabla_Compras_Extranjera[Codigo_Tecnico],"",0,1)</f>
        <v>COMPRAS_EXTRANJERA_COMEX_PROCESOS_REQUERIMIENTOS</v>
      </c>
      <c r="J2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/compras-extranjera-comex/procesos/requerimientos/mantencion-reuerimientos</v>
      </c>
      <c r="K2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mantencion-reuerimientos</v>
      </c>
      <c r="L27" s="6" t="s">
        <v>1472</v>
      </c>
      <c r="M27" t="s">
        <v>1796</v>
      </c>
      <c r="N27" s="4" t="s">
        <v>360</v>
      </c>
      <c r="O27" s="4" t="s">
        <v>360</v>
      </c>
      <c r="P27" s="4" t="s">
        <v>360</v>
      </c>
      <c r="Q27" s="4" t="s">
        <v>360</v>
      </c>
      <c r="S27" s="4" t="s">
        <v>360</v>
      </c>
      <c r="T27" s="2" t="str">
        <f>IF(Tabla_Compras_Extranjera[[#This Row],[id_padre]]=Tabla_Compras_Extranjera[[#This Row],[Id]],"NOK","OK")</f>
        <v>OK</v>
      </c>
    </row>
    <row r="28" spans="1:20" hidden="1" x14ac:dyDescent="0.5">
      <c r="A28">
        <f>MAX(Tabla_Activo_Fijo[Id])</f>
        <v>1511</v>
      </c>
      <c r="B28">
        <v>1535</v>
      </c>
      <c r="C28" s="5">
        <f>IF(Tabla_Compras_Extranjera[[#This Row],[id_padre]]="",0,_xlfn.XLOOKUP(Tabla_Compras_Extranjera[[#This Row],[id_padre]],Tabla_Compras_Extranjera[Id],Tabla_Compras_Extranjera[Nivel],0,0,1)+1)</f>
        <v>3</v>
      </c>
      <c r="D28" s="2" t="s">
        <v>1276</v>
      </c>
      <c r="E28">
        <f>IF(Tabla_Compras_Extranjera[[#This Row],[Id_anterior]]=1,ROW()-1,SUM(ROW()-1,Tabla_Compras_Extranjera[[#This Row],[Id_anterior]]))</f>
        <v>1538</v>
      </c>
      <c r="F2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COMPRAS_EXTRANJERA_COMEX_PROCESOS_REQUERIMIENTOS_INGRESA_GARANTIA_O_LIBRE_CARGO</v>
      </c>
      <c r="G28" s="2" t="str">
        <f>CLEAN(PROPER(Tabla_Compras_Extranjera[[#This Row],[Nombre Opción]]))</f>
        <v>Ingresa Garantia O Libre De Cargo</v>
      </c>
      <c r="H28" s="2" t="s">
        <v>1735</v>
      </c>
      <c r="I28" s="2" t="str">
        <f>_xlfn.XLOOKUP(Tabla_Compras_Extranjera[[#This Row],[id_padre]],Tabla_Compras_Extranjera[Id],Tabla_Compras_Extranjera[Codigo_Tecnico],"",0,1)</f>
        <v>COMPRAS_EXTRANJERA_COMEX_PROCESOS_REQUERIMIENTOS</v>
      </c>
      <c r="J2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/compras-extranjera-comex/procesos/requerimientos/ingresa-garantia-o-libre-cargo</v>
      </c>
      <c r="K2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ingresa-garantia-o-libre-cargo</v>
      </c>
      <c r="L28" s="6" t="s">
        <v>1410</v>
      </c>
      <c r="M28" t="s">
        <v>1796</v>
      </c>
      <c r="N28" s="4" t="s">
        <v>360</v>
      </c>
      <c r="O28" s="4" t="s">
        <v>360</v>
      </c>
      <c r="P28" s="4" t="s">
        <v>360</v>
      </c>
      <c r="Q28" s="4" t="s">
        <v>360</v>
      </c>
      <c r="S28" s="4" t="s">
        <v>360</v>
      </c>
      <c r="T28" s="2" t="str">
        <f>IF(Tabla_Compras_Extranjera[[#This Row],[id_padre]]=Tabla_Compras_Extranjera[[#This Row],[Id]],"NOK","OK")</f>
        <v>OK</v>
      </c>
    </row>
    <row r="29" spans="1:20" hidden="1" x14ac:dyDescent="0.5">
      <c r="A29">
        <f>MAX(Tabla_Activo_Fijo[Id])</f>
        <v>1511</v>
      </c>
      <c r="B29">
        <v>1514</v>
      </c>
      <c r="C29" s="5">
        <f>IF(Tabla_Compras_Extranjera[[#This Row],[id_padre]]="",0,_xlfn.XLOOKUP(Tabla_Compras_Extranjera[[#This Row],[id_padre]],Tabla_Compras_Extranjera[Id],Tabla_Compras_Extranjera[Nivel],0,0,1)+1)</f>
        <v>2</v>
      </c>
      <c r="D29" s="2" t="s">
        <v>572</v>
      </c>
      <c r="E29">
        <f>IF(Tabla_Compras_Extranjera[[#This Row],[Id_anterior]]=1,ROW()-1,SUM(ROW()-1,Tabla_Compras_Extranjera[[#This Row],[Id_anterior]]))</f>
        <v>1539</v>
      </c>
      <c r="F2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COMPRAS_EXTRANJERA_COMEX_PROCESOS_COTIZACIONES</v>
      </c>
      <c r="G29" s="2" t="str">
        <f>CLEAN(PROPER(Tabla_Compras_Extranjera[[#This Row],[Nombre Opción]]))</f>
        <v>Cotizaciones</v>
      </c>
      <c r="H29" s="2" t="s">
        <v>1735</v>
      </c>
      <c r="I29" s="2" t="str">
        <f>_xlfn.XLOOKUP(Tabla_Compras_Extranjera[[#This Row],[id_padre]],Tabla_Compras_Extranjera[Id],Tabla_Compras_Extranjera[Codigo_Tecnico],"",0,1)</f>
        <v>COMPRAS_EXTRANJERA_COMEX_PROCESOS</v>
      </c>
      <c r="J2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/compras-extranjera-comex/procesos/cotizaciones</v>
      </c>
      <c r="K2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cotizaciones</v>
      </c>
      <c r="L29" s="6" t="s">
        <v>1415</v>
      </c>
      <c r="M29" t="s">
        <v>1796</v>
      </c>
      <c r="N29" s="4" t="s">
        <v>360</v>
      </c>
      <c r="O29" s="4" t="s">
        <v>360</v>
      </c>
      <c r="P29" s="4" t="s">
        <v>360</v>
      </c>
      <c r="Q29" s="4" t="s">
        <v>360</v>
      </c>
      <c r="S29" s="4" t="s">
        <v>360</v>
      </c>
      <c r="T29" s="2" t="str">
        <f>IF(Tabla_Compras_Extranjera[[#This Row],[id_padre]]=Tabla_Compras_Extranjera[[#This Row],[Id]],"NOK","OK")</f>
        <v>OK</v>
      </c>
    </row>
    <row r="30" spans="1:20" hidden="1" x14ac:dyDescent="0.5">
      <c r="A30">
        <f>MAX(Tabla_Activo_Fijo[Id])</f>
        <v>1511</v>
      </c>
      <c r="B30">
        <v>1539</v>
      </c>
      <c r="C30" s="5">
        <f>IF(Tabla_Compras_Extranjera[[#This Row],[id_padre]]="",0,_xlfn.XLOOKUP(Tabla_Compras_Extranjera[[#This Row],[id_padre]],Tabla_Compras_Extranjera[Id],Tabla_Compras_Extranjera[Nivel],0,0,1)+1)</f>
        <v>3</v>
      </c>
      <c r="D30" s="2" t="s">
        <v>1277</v>
      </c>
      <c r="E30">
        <f>IF(Tabla_Compras_Extranjera[[#This Row],[Id_anterior]]=1,ROW()-1,SUM(ROW()-1,Tabla_Compras_Extranjera[[#This Row],[Id_anterior]]))</f>
        <v>1540</v>
      </c>
      <c r="F3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COMPRAS_EXTRANJERA_COMEX_PROCESOS_COTIZACIONES_EMISION_COTIZACION</v>
      </c>
      <c r="G30" s="2" t="str">
        <f>CLEAN(PROPER(Tabla_Compras_Extranjera[[#This Row],[Nombre Opción]]))</f>
        <v>Emisión De Cotización</v>
      </c>
      <c r="H30" s="2" t="s">
        <v>1735</v>
      </c>
      <c r="I30" s="2" t="str">
        <f>_xlfn.XLOOKUP(Tabla_Compras_Extranjera[[#This Row],[id_padre]],Tabla_Compras_Extranjera[Id],Tabla_Compras_Extranjera[Codigo_Tecnico],"",0,1)</f>
        <v>COMPRAS_EXTRANJERA_COMEX_PROCESOS_COTIZACIONES</v>
      </c>
      <c r="J3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/compras-extranjera-comex/procesos/cotizaciones/emision-cotizacion</v>
      </c>
      <c r="K3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emision-cotizacion</v>
      </c>
      <c r="L30" s="6" t="s">
        <v>1396</v>
      </c>
      <c r="M30" t="s">
        <v>1796</v>
      </c>
      <c r="N30" s="4" t="s">
        <v>360</v>
      </c>
      <c r="O30" s="4" t="s">
        <v>360</v>
      </c>
      <c r="P30" s="4" t="s">
        <v>360</v>
      </c>
      <c r="Q30" s="4" t="s">
        <v>360</v>
      </c>
      <c r="S30" s="4" t="s">
        <v>360</v>
      </c>
      <c r="T30" s="2" t="str">
        <f>IF(Tabla_Compras_Extranjera[[#This Row],[id_padre]]=Tabla_Compras_Extranjera[[#This Row],[Id]],"NOK","OK")</f>
        <v>OK</v>
      </c>
    </row>
    <row r="31" spans="1:20" hidden="1" x14ac:dyDescent="0.5">
      <c r="A31">
        <f>MAX(Tabla_Activo_Fijo[Id])</f>
        <v>1511</v>
      </c>
      <c r="B31">
        <v>1539</v>
      </c>
      <c r="C31" s="5">
        <f>IF(Tabla_Compras_Extranjera[[#This Row],[id_padre]]="",0,_xlfn.XLOOKUP(Tabla_Compras_Extranjera[[#This Row],[id_padre]],Tabla_Compras_Extranjera[Id],Tabla_Compras_Extranjera[Nivel],0,0,1)+1)</f>
        <v>3</v>
      </c>
      <c r="D31" s="2" t="s">
        <v>578</v>
      </c>
      <c r="E31">
        <f>IF(Tabla_Compras_Extranjera[[#This Row],[Id_anterior]]=1,ROW()-1,SUM(ROW()-1,Tabla_Compras_Extranjera[[#This Row],[Id_anterior]]))</f>
        <v>1541</v>
      </c>
      <c r="F3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COMPRAS_EXTRANJERA_COMEX_PROCESOS_COTIZACIONES_CUADRO_COMPARATIVO</v>
      </c>
      <c r="G31" s="2" t="str">
        <f>CLEAN(PROPER(Tabla_Compras_Extranjera[[#This Row],[Nombre Opción]]))</f>
        <v>Cuadro Comparativo</v>
      </c>
      <c r="H31" s="2" t="s">
        <v>1735</v>
      </c>
      <c r="I31" s="2" t="str">
        <f>_xlfn.XLOOKUP(Tabla_Compras_Extranjera[[#This Row],[id_padre]],Tabla_Compras_Extranjera[Id],Tabla_Compras_Extranjera[Codigo_Tecnico],"",0,1)</f>
        <v>COMPRAS_EXTRANJERA_COMEX_PROCESOS_COTIZACIONES</v>
      </c>
      <c r="J3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/compras-extranjera-comex/procesos/cotizaciones/cuadro-comparativo</v>
      </c>
      <c r="K3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cuadro-comparativo</v>
      </c>
      <c r="L31" s="6" t="s">
        <v>1408</v>
      </c>
      <c r="M31" t="s">
        <v>1796</v>
      </c>
      <c r="N31" s="4" t="s">
        <v>360</v>
      </c>
      <c r="O31" s="4" t="s">
        <v>360</v>
      </c>
      <c r="P31" s="4" t="s">
        <v>360</v>
      </c>
      <c r="Q31" s="4" t="s">
        <v>360</v>
      </c>
      <c r="S31" s="4" t="s">
        <v>360</v>
      </c>
      <c r="T31" s="2" t="str">
        <f>IF(Tabla_Compras_Extranjera[[#This Row],[id_padre]]=Tabla_Compras_Extranjera[[#This Row],[Id]],"NOK","OK")</f>
        <v>OK</v>
      </c>
    </row>
    <row r="32" spans="1:20" hidden="1" x14ac:dyDescent="0.5">
      <c r="A32">
        <f>MAX(Tabla_Activo_Fijo[Id])</f>
        <v>1511</v>
      </c>
      <c r="B32">
        <v>1514</v>
      </c>
      <c r="C32" s="5">
        <f>IF(Tabla_Compras_Extranjera[[#This Row],[id_padre]]="",0,_xlfn.XLOOKUP(Tabla_Compras_Extranjera[[#This Row],[id_padre]],Tabla_Compras_Extranjera[Id],Tabla_Compras_Extranjera[Nivel],0,0,1)+1)</f>
        <v>2</v>
      </c>
      <c r="D32" s="2" t="s">
        <v>580</v>
      </c>
      <c r="E32">
        <f>IF(Tabla_Compras_Extranjera[[#This Row],[Id_anterior]]=1,ROW()-1,SUM(ROW()-1,Tabla_Compras_Extranjera[[#This Row],[Id_anterior]]))</f>
        <v>1542</v>
      </c>
      <c r="F3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</v>
      </c>
      <c r="G32" s="2" t="str">
        <f>CLEAN(PROPER(Tabla_Compras_Extranjera[[#This Row],[Nombre Opción]]))</f>
        <v>Ordenes De Compra</v>
      </c>
      <c r="H32" s="2" t="s">
        <v>1735</v>
      </c>
      <c r="I32" s="2" t="str">
        <f>_xlfn.XLOOKUP(Tabla_Compras_Extranjera[[#This Row],[id_padre]],Tabla_Compras_Extranjera[Id],Tabla_Compras_Extranjera[Codigo_Tecnico],"",0,1)</f>
        <v>COMPRAS_EXTRANJERA_COMEX_PROCESOS</v>
      </c>
      <c r="J3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</v>
      </c>
      <c r="K3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ordenes-compra</v>
      </c>
      <c r="L32" s="6" t="s">
        <v>1349</v>
      </c>
      <c r="M32" t="s">
        <v>1796</v>
      </c>
      <c r="N32" s="4" t="s">
        <v>360</v>
      </c>
      <c r="O32" s="4" t="s">
        <v>360</v>
      </c>
      <c r="P32" s="4" t="s">
        <v>360</v>
      </c>
      <c r="Q32" s="4" t="s">
        <v>360</v>
      </c>
      <c r="S32" s="4" t="s">
        <v>360</v>
      </c>
      <c r="T32" s="2" t="str">
        <f>IF(Tabla_Compras_Extranjera[[#This Row],[id_padre]]=Tabla_Compras_Extranjera[[#This Row],[Id]],"NOK","OK")</f>
        <v>OK</v>
      </c>
    </row>
    <row r="33" spans="1:20" hidden="1" x14ac:dyDescent="0.5">
      <c r="A33">
        <f>MAX(Tabla_Activo_Fijo[Id])</f>
        <v>1511</v>
      </c>
      <c r="B33">
        <v>1542</v>
      </c>
      <c r="C33" s="5">
        <f>IF(Tabla_Compras_Extranjera[[#This Row],[id_padre]]="",0,_xlfn.XLOOKUP(Tabla_Compras_Extranjera[[#This Row],[id_padre]],Tabla_Compras_Extranjera[Id],Tabla_Compras_Extranjera[Nivel],0,0,1)+1)</f>
        <v>3</v>
      </c>
      <c r="D33" s="2" t="s">
        <v>1278</v>
      </c>
      <c r="E33">
        <f>IF(Tabla_Compras_Extranjera[[#This Row],[Id_anterior]]=1,ROW()-1,SUM(ROW()-1,Tabla_Compras_Extranjera[[#This Row],[Id_anterior]]))</f>
        <v>1543</v>
      </c>
      <c r="F3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COMPRAS_EXTRANJERA_COMEX_PROCESOS_ORDENES_COMPRA_GENERACION</v>
      </c>
      <c r="G33" s="2" t="str">
        <f>CLEAN(PROPER(Tabla_Compras_Extranjera[[#This Row],[Nombre Opción]]))</f>
        <v>Generación</v>
      </c>
      <c r="H33" s="2" t="s">
        <v>1735</v>
      </c>
      <c r="I33" s="2" t="str">
        <f>_xlfn.XLOOKUP(Tabla_Compras_Extranjera[[#This Row],[id_padre]],Tabla_Compras_Extranjera[Id],Tabla_Compras_Extranjera[Codigo_Tecnico],"",0,1)</f>
        <v>COMPRAS_EXTRANJERA_COMEX_PROCESOS_ORDENES_COMPRA</v>
      </c>
      <c r="J3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/compras-extranjera-comex/procesos/ordenes-compra/generacion</v>
      </c>
      <c r="K3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generacion</v>
      </c>
      <c r="L33" s="6" t="s">
        <v>1536</v>
      </c>
      <c r="M33" t="s">
        <v>1796</v>
      </c>
      <c r="N33" s="4" t="s">
        <v>360</v>
      </c>
      <c r="O33" s="4" t="s">
        <v>360</v>
      </c>
      <c r="P33" s="4" t="s">
        <v>360</v>
      </c>
      <c r="Q33" s="4" t="s">
        <v>360</v>
      </c>
      <c r="S33" s="4" t="s">
        <v>360</v>
      </c>
      <c r="T33" s="2" t="str">
        <f>IF(Tabla_Compras_Extranjera[[#This Row],[id_padre]]=Tabla_Compras_Extranjera[[#This Row],[Id]],"NOK","OK")</f>
        <v>OK</v>
      </c>
    </row>
    <row r="34" spans="1:20" hidden="1" x14ac:dyDescent="0.5">
      <c r="A34">
        <f>MAX(Tabla_Activo_Fijo[Id])</f>
        <v>1511</v>
      </c>
      <c r="B34">
        <v>1542</v>
      </c>
      <c r="C34" s="5">
        <f>IF(Tabla_Compras_Extranjera[[#This Row],[id_padre]]="",0,_xlfn.XLOOKUP(Tabla_Compras_Extranjera[[#This Row],[id_padre]],Tabla_Compras_Extranjera[Id],Tabla_Compras_Extranjera[Nivel],0,0,1)+1)</f>
        <v>3</v>
      </c>
      <c r="D34" s="2" t="s">
        <v>1279</v>
      </c>
      <c r="E34">
        <f>IF(Tabla_Compras_Extranjera[[#This Row],[Id_anterior]]=1,ROW()-1,SUM(ROW()-1,Tabla_Compras_Extranjera[[#This Row],[Id_anterior]]))</f>
        <v>1544</v>
      </c>
      <c r="F3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COMPRAS_EXTRANJERA_COMEX_PROCESOS_ORDENES_COMPRA_EMISION</v>
      </c>
      <c r="G34" s="2" t="str">
        <f>CLEAN(PROPER(Tabla_Compras_Extranjera[[#This Row],[Nombre Opción]]))</f>
        <v>Emisión</v>
      </c>
      <c r="H34" s="2" t="s">
        <v>1735</v>
      </c>
      <c r="I34" s="2" t="str">
        <f>_xlfn.XLOOKUP(Tabla_Compras_Extranjera[[#This Row],[id_padre]],Tabla_Compras_Extranjera[Id],Tabla_Compras_Extranjera[Codigo_Tecnico],"",0,1)</f>
        <v>COMPRAS_EXTRANJERA_COMEX_PROCESOS_ORDENES_COMPRA</v>
      </c>
      <c r="J3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/compras-extranjera-comex/procesos/ordenes-compra/emision</v>
      </c>
      <c r="K3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emision</v>
      </c>
      <c r="L34" s="6" t="s">
        <v>1376</v>
      </c>
      <c r="M34" t="s">
        <v>1796</v>
      </c>
      <c r="N34" s="4" t="s">
        <v>360</v>
      </c>
      <c r="O34" s="4" t="s">
        <v>360</v>
      </c>
      <c r="P34" s="4" t="s">
        <v>360</v>
      </c>
      <c r="Q34" s="4" t="s">
        <v>360</v>
      </c>
      <c r="S34" s="4" t="s">
        <v>360</v>
      </c>
      <c r="T34" s="2" t="str">
        <f>IF(Tabla_Compras_Extranjera[[#This Row],[id_padre]]=Tabla_Compras_Extranjera[[#This Row],[Id]],"NOK","OK")</f>
        <v>OK</v>
      </c>
    </row>
    <row r="35" spans="1:20" hidden="1" x14ac:dyDescent="0.5">
      <c r="A35">
        <f>MAX(Tabla_Activo_Fijo[Id])</f>
        <v>1511</v>
      </c>
      <c r="B35">
        <v>1542</v>
      </c>
      <c r="C35" s="5">
        <f>IF(Tabla_Compras_Extranjera[[#This Row],[id_padre]]="",0,_xlfn.XLOOKUP(Tabla_Compras_Extranjera[[#This Row],[id_padre]],Tabla_Compras_Extranjera[Id],Tabla_Compras_Extranjera[Nivel],0,0,1)+1)</f>
        <v>3</v>
      </c>
      <c r="D35" s="2" t="s">
        <v>1280</v>
      </c>
      <c r="E35">
        <f>IF(Tabla_Compras_Extranjera[[#This Row],[Id_anterior]]=1,ROW()-1,SUM(ROW()-1,Tabla_Compras_Extranjera[[#This Row],[Id_anterior]]))</f>
        <v>1545</v>
      </c>
      <c r="F3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COMPRAS_EXTRANJERA_COMEX_PROCESOS_ORDENES_COMPRA_REIMPRESION_ORDENES</v>
      </c>
      <c r="G35" s="2" t="str">
        <f>CLEAN(PROPER(Tabla_Compras_Extranjera[[#This Row],[Nombre Opción]]))</f>
        <v>Reimpresión De Ordenes</v>
      </c>
      <c r="H35" s="2" t="s">
        <v>1735</v>
      </c>
      <c r="I35" s="2" t="str">
        <f>_xlfn.XLOOKUP(Tabla_Compras_Extranjera[[#This Row],[id_padre]],Tabla_Compras_Extranjera[Id],Tabla_Compras_Extranjera[Codigo_Tecnico],"",0,1)</f>
        <v>COMPRAS_EXTRANJERA_COMEX_PROCESOS_ORDENES_COMPRA</v>
      </c>
      <c r="J3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/compras-extranjera-comex/procesos/ordenes-compra/reimpresion-ordenes</v>
      </c>
      <c r="K3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reimpresion-ordenes</v>
      </c>
      <c r="L35" s="6" t="s">
        <v>1335</v>
      </c>
      <c r="M35" t="s">
        <v>1796</v>
      </c>
      <c r="N35" s="4" t="s">
        <v>360</v>
      </c>
      <c r="O35" s="4" t="s">
        <v>360</v>
      </c>
      <c r="P35" s="4" t="s">
        <v>360</v>
      </c>
      <c r="Q35" s="4" t="s">
        <v>360</v>
      </c>
      <c r="S35" s="4" t="s">
        <v>360</v>
      </c>
      <c r="T35" s="2" t="str">
        <f>IF(Tabla_Compras_Extranjera[[#This Row],[id_padre]]=Tabla_Compras_Extranjera[[#This Row],[Id]],"NOK","OK")</f>
        <v>OK</v>
      </c>
    </row>
    <row r="36" spans="1:20" hidden="1" x14ac:dyDescent="0.5">
      <c r="A36">
        <f>MAX(Tabla_Activo_Fijo[Id])</f>
        <v>1511</v>
      </c>
      <c r="B36">
        <v>1542</v>
      </c>
      <c r="C36" s="5">
        <f>IF(Tabla_Compras_Extranjera[[#This Row],[id_padre]]="",0,_xlfn.XLOOKUP(Tabla_Compras_Extranjera[[#This Row],[id_padre]],Tabla_Compras_Extranjera[Id],Tabla_Compras_Extranjera[Nivel],0,0,1)+1)</f>
        <v>3</v>
      </c>
      <c r="D36" s="2" t="s">
        <v>1281</v>
      </c>
      <c r="E36">
        <f>IF(Tabla_Compras_Extranjera[[#This Row],[Id_anterior]]=1,ROW()-1,SUM(ROW()-1,Tabla_Compras_Extranjera[[#This Row],[Id_anterior]]))</f>
        <v>1546</v>
      </c>
      <c r="F3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COMPRAS_EXTRANJERA_COMEX_PROCESOS_ORDENES_COMPRA_GENERA_ARCHIVO_O_C_PARA_EMBARCADORES</v>
      </c>
      <c r="G36" s="2" t="str">
        <f>CLEAN(PROPER(Tabla_Compras_Extranjera[[#This Row],[Nombre Opción]]))</f>
        <v>Genera Archivo O/C Para Embarcadores</v>
      </c>
      <c r="H36" s="2" t="s">
        <v>1735</v>
      </c>
      <c r="I36" s="2" t="str">
        <f>_xlfn.XLOOKUP(Tabla_Compras_Extranjera[[#This Row],[id_padre]],Tabla_Compras_Extranjera[Id],Tabla_Compras_Extranjera[Codigo_Tecnico],"",0,1)</f>
        <v>COMPRAS_EXTRANJERA_COMEX_PROCESOS_ORDENES_COMPRA</v>
      </c>
      <c r="J3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/compras-extranjera-comex/procesos/ordenes-compra/genera-archivo-o-c-para-embarcadores</v>
      </c>
      <c r="K3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genera-archivo-o-c-para-embarcadores</v>
      </c>
      <c r="L36" s="6" t="s">
        <v>1725</v>
      </c>
      <c r="M36" t="s">
        <v>1796</v>
      </c>
      <c r="N36" s="4" t="s">
        <v>360</v>
      </c>
      <c r="O36" s="4" t="s">
        <v>360</v>
      </c>
      <c r="P36" s="4" t="s">
        <v>360</v>
      </c>
      <c r="Q36" s="4" t="s">
        <v>360</v>
      </c>
      <c r="S36" s="4" t="s">
        <v>360</v>
      </c>
      <c r="T36" s="2" t="str">
        <f>IF(Tabla_Compras_Extranjera[[#This Row],[id_padre]]=Tabla_Compras_Extranjera[[#This Row],[Id]],"NOK","OK")</f>
        <v>OK</v>
      </c>
    </row>
    <row r="37" spans="1:20" hidden="1" x14ac:dyDescent="0.5">
      <c r="A37">
        <f>MAX(Tabla_Activo_Fijo[Id])</f>
        <v>1511</v>
      </c>
      <c r="B37">
        <v>1526</v>
      </c>
      <c r="C37" s="5">
        <f>IF(Tabla_Compras_Extranjera[[#This Row],[id_padre]]="",0,_xlfn.XLOOKUP(Tabla_Compras_Extranjera[[#This Row],[id_padre]],Tabla_Compras_Extranjera[Id],Tabla_Compras_Extranjera[Nivel],0,0,1)+1)</f>
        <v>3</v>
      </c>
      <c r="D37" s="2" t="s">
        <v>1283</v>
      </c>
      <c r="E37">
        <f>IF(Tabla_Compras_Extranjera[[#This Row],[Id_anterior]]=1,ROW()-1,SUM(ROW()-1,Tabla_Compras_Extranjera[[#This Row],[Id_anterior]]))</f>
        <v>1547</v>
      </c>
      <c r="F3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COMPRAS_EXTRANJERA_COMEX_PROCESOS_SOLICITUDES_BIENES_Y_SERVICIOS_APROBACIONES_SOLICITUDES_PREOBLIGA</v>
      </c>
      <c r="G37" s="2" t="str">
        <f>CLEAN(PROPER(Tabla_Compras_Extranjera[[#This Row],[Nombre Opción]]))</f>
        <v>Aprobaciones De Solicitudes – (Preobliga)</v>
      </c>
      <c r="H37" s="2" t="s">
        <v>1735</v>
      </c>
      <c r="I37" s="2" t="str">
        <f>_xlfn.XLOOKUP(Tabla_Compras_Extranjera[[#This Row],[id_padre]],Tabla_Compras_Extranjera[Id],Tabla_Compras_Extranjera[Codigo_Tecnico],"",0,1)</f>
        <v>COMPRAS_EXTRANJERA_COMEX_PROCESOS_SOLICITUDES_BIENES_Y_SERVICIOS</v>
      </c>
      <c r="J3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/compras-extranjera-comex/procesos/solicitudes-bienes-y-servicios/aprobaciones-solicitudes-preobliga</v>
      </c>
      <c r="K3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aprobaciones-solicitudes-preobliga</v>
      </c>
      <c r="L37" s="6" t="s">
        <v>1386</v>
      </c>
      <c r="M37" t="s">
        <v>1796</v>
      </c>
      <c r="N37" s="4" t="s">
        <v>360</v>
      </c>
      <c r="O37" s="4" t="s">
        <v>360</v>
      </c>
      <c r="P37" s="4" t="s">
        <v>360</v>
      </c>
      <c r="Q37" s="4"/>
      <c r="S37" s="4" t="s">
        <v>360</v>
      </c>
      <c r="T37" s="2" t="str">
        <f>IF(Tabla_Compras_Extranjera[[#This Row],[id_padre]]=Tabla_Compras_Extranjera[[#This Row],[Id]],"NOK","OK")</f>
        <v>OK</v>
      </c>
    </row>
    <row r="38" spans="1:20" hidden="1" x14ac:dyDescent="0.5">
      <c r="A38">
        <f>MAX(Tabla_Activo_Fijo[Id])</f>
        <v>1511</v>
      </c>
      <c r="B38">
        <v>1526</v>
      </c>
      <c r="C38" s="5">
        <f>IF(Tabla_Compras_Extranjera[[#This Row],[id_padre]]="",0,_xlfn.XLOOKUP(Tabla_Compras_Extranjera[[#This Row],[id_padre]],Tabla_Compras_Extranjera[Id],Tabla_Compras_Extranjera[Nivel],0,0,1)+1)</f>
        <v>3</v>
      </c>
      <c r="D38" s="2" t="s">
        <v>1284</v>
      </c>
      <c r="E38">
        <f>IF(Tabla_Compras_Extranjera[[#This Row],[Id_anterior]]=1,ROW()-1,SUM(ROW()-1,Tabla_Compras_Extranjera[[#This Row],[Id_anterior]]))</f>
        <v>1548</v>
      </c>
      <c r="F3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COMPRAS_EXTRANJERA_COMEX_PROCESOS_SOLICITUDES_BIENES_Y_SERVICIOS_VARIACIONES_SOLICITUDES</v>
      </c>
      <c r="G38" s="2" t="str">
        <f>CLEAN(PROPER(Tabla_Compras_Extranjera[[#This Row],[Nombre Opción]]))</f>
        <v>Variaciones A Solicitudes</v>
      </c>
      <c r="H38" s="2" t="s">
        <v>1735</v>
      </c>
      <c r="I38" s="2" t="str">
        <f>_xlfn.XLOOKUP(Tabla_Compras_Extranjera[[#This Row],[id_padre]],Tabla_Compras_Extranjera[Id],Tabla_Compras_Extranjera[Codigo_Tecnico],"",0,1)</f>
        <v>COMPRAS_EXTRANJERA_COMEX_PROCESOS_SOLICITUDES_BIENES_Y_SERVICIOS</v>
      </c>
      <c r="J3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/compras-extranjera-comex/procesos/solicitudes-bienes-y-servicios/variaciones-solicitudes</v>
      </c>
      <c r="K3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variaciones-solicitudes</v>
      </c>
      <c r="L38" s="6" t="s">
        <v>1638</v>
      </c>
      <c r="M38" t="s">
        <v>1796</v>
      </c>
      <c r="N38" s="4" t="s">
        <v>360</v>
      </c>
      <c r="O38" s="4" t="s">
        <v>360</v>
      </c>
      <c r="P38" s="4" t="s">
        <v>360</v>
      </c>
      <c r="Q38" s="4"/>
      <c r="S38" s="4" t="s">
        <v>360</v>
      </c>
      <c r="T38" s="2" t="str">
        <f>IF(Tabla_Compras_Extranjera[[#This Row],[id_padre]]=Tabla_Compras_Extranjera[[#This Row],[Id]],"NOK","OK")</f>
        <v>OK</v>
      </c>
    </row>
    <row r="39" spans="1:20" hidden="1" x14ac:dyDescent="0.5">
      <c r="A39">
        <f>MAX(Tabla_Activo_Fijo[Id])</f>
        <v>1511</v>
      </c>
      <c r="B39">
        <v>1526</v>
      </c>
      <c r="C39" s="5">
        <f>IF(Tabla_Compras_Extranjera[[#This Row],[id_padre]]="",0,_xlfn.XLOOKUP(Tabla_Compras_Extranjera[[#This Row],[id_padre]],Tabla_Compras_Extranjera[Id],Tabla_Compras_Extranjera[Nivel],0,0,1)+1)</f>
        <v>3</v>
      </c>
      <c r="D39" s="2" t="s">
        <v>1285</v>
      </c>
      <c r="E39">
        <f>IF(Tabla_Compras_Extranjera[[#This Row],[Id_anterior]]=1,ROW()-1,SUM(ROW()-1,Tabla_Compras_Extranjera[[#This Row],[Id_anterior]]))</f>
        <v>1549</v>
      </c>
      <c r="F3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COMPRAS_EXTRANJERA_COMEX_PROCESOS_SOLICITUDES_BIENES_Y_SERVICIOS_ANULACION_SOLICITUDES</v>
      </c>
      <c r="G39" s="2" t="str">
        <f>CLEAN(PROPER(Tabla_Compras_Extranjera[[#This Row],[Nombre Opción]]))</f>
        <v>Anulación A Solicitudes</v>
      </c>
      <c r="H39" s="2" t="s">
        <v>1735</v>
      </c>
      <c r="I39" s="2" t="str">
        <f>_xlfn.XLOOKUP(Tabla_Compras_Extranjera[[#This Row],[id_padre]],Tabla_Compras_Extranjera[Id],Tabla_Compras_Extranjera[Codigo_Tecnico],"",0,1)</f>
        <v>COMPRAS_EXTRANJERA_COMEX_PROCESOS_SOLICITUDES_BIENES_Y_SERVICIOS</v>
      </c>
      <c r="J3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/compras-extranjera-comex/procesos/solicitudes-bienes-y-servicios/anulacion-solicitudes</v>
      </c>
      <c r="K3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anulacion-solicitudes</v>
      </c>
      <c r="L39" s="6" t="s">
        <v>1346</v>
      </c>
      <c r="M39" t="s">
        <v>1796</v>
      </c>
      <c r="N39" s="4" t="s">
        <v>360</v>
      </c>
      <c r="O39" s="4" t="s">
        <v>360</v>
      </c>
      <c r="P39" s="4" t="s">
        <v>360</v>
      </c>
      <c r="Q39" s="4"/>
      <c r="S39" s="4" t="s">
        <v>360</v>
      </c>
      <c r="T39" s="2" t="str">
        <f>IF(Tabla_Compras_Extranjera[[#This Row],[id_padre]]=Tabla_Compras_Extranjera[[#This Row],[Id]],"NOK","OK")</f>
        <v>OK</v>
      </c>
    </row>
    <row r="40" spans="1:20" hidden="1" x14ac:dyDescent="0.5">
      <c r="A40">
        <f>MAX(Tabla_Activo_Fijo[Id])</f>
        <v>1511</v>
      </c>
      <c r="B40">
        <v>1526</v>
      </c>
      <c r="C40" s="5">
        <f>IF(Tabla_Compras_Extranjera[[#This Row],[id_padre]]="",0,_xlfn.XLOOKUP(Tabla_Compras_Extranjera[[#This Row],[id_padre]],Tabla_Compras_Extranjera[Id],Tabla_Compras_Extranjera[Nivel],0,0,1)+1)</f>
        <v>3</v>
      </c>
      <c r="D40" s="2" t="s">
        <v>1286</v>
      </c>
      <c r="E40">
        <f>IF(Tabla_Compras_Extranjera[[#This Row],[Id_anterior]]=1,ROW()-1,SUM(ROW()-1,Tabla_Compras_Extranjera[[#This Row],[Id_anterior]]))</f>
        <v>1550</v>
      </c>
      <c r="F4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COMPRAS_EXTRANJERA_COMEX_PROCESOS_SOLICITUDES_BIENES_Y_SERVICIOS_REASIGNA_SOLICITUDES_PARA_RECOTIZACION</v>
      </c>
      <c r="G40" s="2" t="str">
        <f>CLEAN(PROPER(Tabla_Compras_Extranjera[[#This Row],[Nombre Opción]]))</f>
        <v>Reasigna Solicitudes Para Recotizacion</v>
      </c>
      <c r="H40" s="2" t="s">
        <v>1735</v>
      </c>
      <c r="I40" s="2" t="str">
        <f>_xlfn.XLOOKUP(Tabla_Compras_Extranjera[[#This Row],[id_padre]],Tabla_Compras_Extranjera[Id],Tabla_Compras_Extranjera[Codigo_Tecnico],"",0,1)</f>
        <v>COMPRAS_EXTRANJERA_COMEX_PROCESOS_SOLICITUDES_BIENES_Y_SERVICIOS</v>
      </c>
      <c r="J4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/compras-extranjera-comex/procesos/solicitudes-bienes-y-servicios/reasigna-solicitudes-para-recotizacion</v>
      </c>
      <c r="K4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reasigna-solicitudes-para-recotizacion</v>
      </c>
      <c r="L40" s="6" t="s">
        <v>1429</v>
      </c>
      <c r="M40" t="s">
        <v>1796</v>
      </c>
      <c r="N40" s="4" t="s">
        <v>360</v>
      </c>
      <c r="O40" s="4" t="s">
        <v>360</v>
      </c>
      <c r="P40" s="4" t="s">
        <v>360</v>
      </c>
      <c r="Q40" s="4"/>
      <c r="S40" s="4" t="s">
        <v>360</v>
      </c>
      <c r="T40" s="2" t="str">
        <f>IF(Tabla_Compras_Extranjera[[#This Row],[id_padre]]=Tabla_Compras_Extranjera[[#This Row],[Id]],"NOK","OK")</f>
        <v>OK</v>
      </c>
    </row>
    <row r="41" spans="1:20" hidden="1" x14ac:dyDescent="0.5">
      <c r="A41">
        <f>MAX(Tabla_Activo_Fijo[Id])</f>
        <v>1511</v>
      </c>
      <c r="B41">
        <v>1535</v>
      </c>
      <c r="C41" s="5">
        <f>IF(Tabla_Compras_Extranjera[[#This Row],[id_padre]]="",0,_xlfn.XLOOKUP(Tabla_Compras_Extranjera[[#This Row],[id_padre]],Tabla_Compras_Extranjera[Id],Tabla_Compras_Extranjera[Nivel],0,0,1)+1)</f>
        <v>3</v>
      </c>
      <c r="D41" s="2" t="s">
        <v>1290</v>
      </c>
      <c r="E41">
        <f>IF(Tabla_Compras_Extranjera[[#This Row],[Id_anterior]]=1,ROW()-1,SUM(ROW()-1,Tabla_Compras_Extranjera[[#This Row],[Id_anterior]]))</f>
        <v>1551</v>
      </c>
      <c r="F4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COMPRAS_EXTRANJERA_COMEX_PROCESOS_REQUERIMIENTOS_CANCELACION_REQUERIMIENTO_ESPECIFICO</v>
      </c>
      <c r="G41" s="2" t="str">
        <f>CLEAN(PROPER(Tabla_Compras_Extranjera[[#This Row],[Nombre Opción]]))</f>
        <v>Cancelación De Requerimiento Especifico</v>
      </c>
      <c r="H41" s="2" t="s">
        <v>1735</v>
      </c>
      <c r="I41" s="2" t="str">
        <f>_xlfn.XLOOKUP(Tabla_Compras_Extranjera[[#This Row],[id_padre]],Tabla_Compras_Extranjera[Id],Tabla_Compras_Extranjera[Codigo_Tecnico],"",0,1)</f>
        <v>COMPRAS_EXTRANJERA_COMEX_PROCESOS_REQUERIMIENTOS</v>
      </c>
      <c r="J4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/compras-extranjera-comex/procesos/requerimientos/cancelacion-requerimiento-especifico</v>
      </c>
      <c r="K4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cancelacion-requerimiento-especifico</v>
      </c>
      <c r="L41" s="6" t="s">
        <v>1390</v>
      </c>
      <c r="M41" t="s">
        <v>1796</v>
      </c>
      <c r="N41" s="4" t="s">
        <v>360</v>
      </c>
      <c r="O41" s="4" t="s">
        <v>360</v>
      </c>
      <c r="P41" s="4" t="s">
        <v>360</v>
      </c>
      <c r="Q41" s="4"/>
      <c r="S41" s="4" t="s">
        <v>360</v>
      </c>
      <c r="T41" s="2" t="str">
        <f>IF(Tabla_Compras_Extranjera[[#This Row],[id_padre]]=Tabla_Compras_Extranjera[[#This Row],[Id]],"NOK","OK")</f>
        <v>OK</v>
      </c>
    </row>
    <row r="42" spans="1:20" hidden="1" x14ac:dyDescent="0.5">
      <c r="A42">
        <f>MAX(Tabla_Activo_Fijo[Id])</f>
        <v>1511</v>
      </c>
      <c r="B42">
        <v>1535</v>
      </c>
      <c r="C42" s="5">
        <f>IF(Tabla_Compras_Extranjera[[#This Row],[id_padre]]="",0,_xlfn.XLOOKUP(Tabla_Compras_Extranjera[[#This Row],[id_padre]],Tabla_Compras_Extranjera[Id],Tabla_Compras_Extranjera[Nivel],0,0,1)+1)</f>
        <v>3</v>
      </c>
      <c r="D42" s="2" t="s">
        <v>1291</v>
      </c>
      <c r="E42">
        <f>IF(Tabla_Compras_Extranjera[[#This Row],[Id_anterior]]=1,ROW()-1,SUM(ROW()-1,Tabla_Compras_Extranjera[[#This Row],[Id_anterior]]))</f>
        <v>1552</v>
      </c>
      <c r="F4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COMPRAS_EXTRANJERA_COMEX_PROCESOS_REQUERIMIENTOS_CANCELACION_REQUERIMIENTO_MASIVO</v>
      </c>
      <c r="G42" s="2" t="str">
        <f>CLEAN(PROPER(Tabla_Compras_Extranjera[[#This Row],[Nombre Opción]]))</f>
        <v>Cancelación De Requerimiento Masivo</v>
      </c>
      <c r="H42" s="2" t="s">
        <v>1735</v>
      </c>
      <c r="I42" s="2" t="str">
        <f>_xlfn.XLOOKUP(Tabla_Compras_Extranjera[[#This Row],[id_padre]],Tabla_Compras_Extranjera[Id],Tabla_Compras_Extranjera[Codigo_Tecnico],"",0,1)</f>
        <v>COMPRAS_EXTRANJERA_COMEX_PROCESOS_REQUERIMIENTOS</v>
      </c>
      <c r="J4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/compras-extranjera-comex/procesos/requerimientos/cancelacion-requerimiento-masivo</v>
      </c>
      <c r="K4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cancelacion-requerimiento-masivo</v>
      </c>
      <c r="L42" s="6" t="s">
        <v>1560</v>
      </c>
      <c r="M42" t="s">
        <v>1796</v>
      </c>
      <c r="N42" s="4" t="s">
        <v>360</v>
      </c>
      <c r="O42" s="4" t="s">
        <v>360</v>
      </c>
      <c r="P42" s="4" t="s">
        <v>360</v>
      </c>
      <c r="Q42" s="4"/>
      <c r="S42" s="4" t="s">
        <v>360</v>
      </c>
      <c r="T42" s="2" t="str">
        <f>IF(Tabla_Compras_Extranjera[[#This Row],[id_padre]]=Tabla_Compras_Extranjera[[#This Row],[Id]],"NOK","OK")</f>
        <v>OK</v>
      </c>
    </row>
    <row r="43" spans="1:20" hidden="1" x14ac:dyDescent="0.5">
      <c r="A43">
        <f>MAX(Tabla_Activo_Fijo[Id])</f>
        <v>1511</v>
      </c>
      <c r="B43">
        <v>1539</v>
      </c>
      <c r="C43" s="5">
        <f>IF(Tabla_Compras_Extranjera[[#This Row],[id_padre]]="",0,_xlfn.XLOOKUP(Tabla_Compras_Extranjera[[#This Row],[id_padre]],Tabla_Compras_Extranjera[Id],Tabla_Compras_Extranjera[Nivel],0,0,1)+1)</f>
        <v>3</v>
      </c>
      <c r="D43" s="2" t="s">
        <v>1292</v>
      </c>
      <c r="E43">
        <f>IF(Tabla_Compras_Extranjera[[#This Row],[Id_anterior]]=1,ROW()-1,SUM(ROW()-1,Tabla_Compras_Extranjera[[#This Row],[Id_anterior]]))</f>
        <v>1553</v>
      </c>
      <c r="F4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COMPRAS_EXTRANJERA_COMEX_PROCESOS_COTIZACIONES_PORTAL_PROVEEDORES_ECOMEX</v>
      </c>
      <c r="G43" s="2" t="str">
        <f>CLEAN(PROPER(Tabla_Compras_Extranjera[[#This Row],[Nombre Opción]]))</f>
        <v>Portal De Proveedores – Ecomex</v>
      </c>
      <c r="H43" s="2" t="s">
        <v>1735</v>
      </c>
      <c r="I43" s="2" t="str">
        <f>_xlfn.XLOOKUP(Tabla_Compras_Extranjera[[#This Row],[id_padre]],Tabla_Compras_Extranjera[Id],Tabla_Compras_Extranjera[Codigo_Tecnico],"",0,1)</f>
        <v>COMPRAS_EXTRANJERA_COMEX_PROCESOS_COTIZACIONES</v>
      </c>
      <c r="J4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/compras-extranjera-comex/procesos/cotizaciones/portal-proveedores-ecomex</v>
      </c>
      <c r="K4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portal-proveedores-ecomex</v>
      </c>
      <c r="L43" s="6" t="s">
        <v>1503</v>
      </c>
      <c r="M43" t="s">
        <v>1796</v>
      </c>
      <c r="N43" s="4" t="s">
        <v>360</v>
      </c>
      <c r="O43" s="4" t="s">
        <v>360</v>
      </c>
      <c r="P43" s="4" t="s">
        <v>360</v>
      </c>
      <c r="Q43" s="4"/>
      <c r="S43" s="4" t="s">
        <v>360</v>
      </c>
      <c r="T43" s="2" t="str">
        <f>IF(Tabla_Compras_Extranjera[[#This Row],[id_padre]]=Tabla_Compras_Extranjera[[#This Row],[Id]],"NOK","OK")</f>
        <v>OK</v>
      </c>
    </row>
    <row r="44" spans="1:20" hidden="1" x14ac:dyDescent="0.5">
      <c r="A44">
        <f>MAX(Tabla_Activo_Fijo[Id])</f>
        <v>1511</v>
      </c>
      <c r="B44">
        <v>1539</v>
      </c>
      <c r="C44" s="5">
        <f>IF(Tabla_Compras_Extranjera[[#This Row],[id_padre]]="",0,_xlfn.XLOOKUP(Tabla_Compras_Extranjera[[#This Row],[id_padre]],Tabla_Compras_Extranjera[Id],Tabla_Compras_Extranjera[Nivel],0,0,1)+1)</f>
        <v>3</v>
      </c>
      <c r="D44" s="2" t="s">
        <v>1293</v>
      </c>
      <c r="E44">
        <f>IF(Tabla_Compras_Extranjera[[#This Row],[Id_anterior]]=1,ROW()-1,SUM(ROW()-1,Tabla_Compras_Extranjera[[#This Row],[Id_anterior]]))</f>
        <v>1554</v>
      </c>
      <c r="F4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COMPRAS_EXTRANJERA_COMEX_PROCESOS_COTIZACIONES_RESPUESTAS_SOLICITUDES_COTIZACION</v>
      </c>
      <c r="G44" s="2" t="str">
        <f>CLEAN(PROPER(Tabla_Compras_Extranjera[[#This Row],[Nombre Opción]]))</f>
        <v>Respuestas De Solicitudes De Cotizacion</v>
      </c>
      <c r="H44" s="2" t="s">
        <v>1735</v>
      </c>
      <c r="I44" s="2" t="str">
        <f>_xlfn.XLOOKUP(Tabla_Compras_Extranjera[[#This Row],[id_padre]],Tabla_Compras_Extranjera[Id],Tabla_Compras_Extranjera[Codigo_Tecnico],"",0,1)</f>
        <v>COMPRAS_EXTRANJERA_COMEX_PROCESOS_COTIZACIONES</v>
      </c>
      <c r="J4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/compras-extranjera-comex/procesos/cotizaciones/respuestas-solicitudes-cotizacion</v>
      </c>
      <c r="K4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respuestas-solicitudes-cotizacion</v>
      </c>
      <c r="L44" s="6" t="s">
        <v>1729</v>
      </c>
      <c r="M44" t="s">
        <v>1796</v>
      </c>
      <c r="N44" s="4" t="s">
        <v>360</v>
      </c>
      <c r="O44" s="4" t="s">
        <v>360</v>
      </c>
      <c r="P44" s="4" t="s">
        <v>360</v>
      </c>
      <c r="Q44" s="4"/>
      <c r="S44" s="4" t="s">
        <v>360</v>
      </c>
      <c r="T44" s="2" t="str">
        <f>IF(Tabla_Compras_Extranjera[[#This Row],[id_padre]]=Tabla_Compras_Extranjera[[#This Row],[Id]],"NOK","OK")</f>
        <v>OK</v>
      </c>
    </row>
    <row r="45" spans="1:20" hidden="1" x14ac:dyDescent="0.5">
      <c r="A45">
        <f>MAX(Tabla_Activo_Fijo[Id])</f>
        <v>1511</v>
      </c>
      <c r="B45">
        <v>1514</v>
      </c>
      <c r="C45" s="5">
        <f>IF(Tabla_Compras_Extranjera[[#This Row],[id_padre]]="",0,_xlfn.XLOOKUP(Tabla_Compras_Extranjera[[#This Row],[id_padre]],Tabla_Compras_Extranjera[Id],Tabla_Compras_Extranjera[Nivel],0,0,1)+1)</f>
        <v>2</v>
      </c>
      <c r="D45" s="2" t="s">
        <v>1721</v>
      </c>
      <c r="E45">
        <f>IF(Tabla_Compras_Extranjera[[#This Row],[Id_anterior]]=1,ROW()-1,SUM(ROW()-1,Tabla_Compras_Extranjera[[#This Row],[Id_anterior]]))</f>
        <v>1555</v>
      </c>
      <c r="F4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COMPRAS_EXTRANJERA_COMEX_PROCESOS_ADJUDICACION</v>
      </c>
      <c r="G45" s="2" t="str">
        <f>CLEAN(PROPER(Tabla_Compras_Extranjera[[#This Row],[Nombre Opción]]))</f>
        <v>Adjudicación</v>
      </c>
      <c r="H45" s="2" t="s">
        <v>1735</v>
      </c>
      <c r="I45" s="2" t="str">
        <f>_xlfn.XLOOKUP(Tabla_Compras_Extranjera[[#This Row],[id_padre]],Tabla_Compras_Extranjera[Id],Tabla_Compras_Extranjera[Codigo_Tecnico],"",0,1)</f>
        <v>COMPRAS_EXTRANJERA_COMEX_PROCESOS</v>
      </c>
      <c r="J4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/compras-extranjera-comex/procesos/adjudicacion</v>
      </c>
      <c r="K4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adjudicacion</v>
      </c>
      <c r="L45" s="6" t="s">
        <v>1457</v>
      </c>
      <c r="M45" t="s">
        <v>1796</v>
      </c>
      <c r="N45" s="4" t="s">
        <v>360</v>
      </c>
      <c r="O45" s="4" t="s">
        <v>360</v>
      </c>
      <c r="P45" s="4" t="s">
        <v>360</v>
      </c>
      <c r="Q45" s="4"/>
      <c r="S45" s="4" t="s">
        <v>360</v>
      </c>
      <c r="T45" s="2" t="str">
        <f>IF(Tabla_Compras_Extranjera[[#This Row],[id_padre]]=Tabla_Compras_Extranjera[[#This Row],[Id]],"NOK","OK")</f>
        <v>OK</v>
      </c>
    </row>
    <row r="46" spans="1:20" hidden="1" x14ac:dyDescent="0.5">
      <c r="A46">
        <f>MAX(Tabla_Activo_Fijo[Id])</f>
        <v>1511</v>
      </c>
      <c r="B46">
        <v>1555</v>
      </c>
      <c r="C46" s="5">
        <f>IF(Tabla_Compras_Extranjera[[#This Row],[id_padre]]="",0,_xlfn.XLOOKUP(Tabla_Compras_Extranjera[[#This Row],[id_padre]],Tabla_Compras_Extranjera[Id],Tabla_Compras_Extranjera[Nivel],0,0,1)+1)</f>
        <v>3</v>
      </c>
      <c r="D46" s="2" t="s">
        <v>1287</v>
      </c>
      <c r="E46">
        <f>IF(Tabla_Compras_Extranjera[[#This Row],[Id_anterior]]=1,ROW()-1,SUM(ROW()-1,Tabla_Compras_Extranjera[[#This Row],[Id_anterior]]))</f>
        <v>1556</v>
      </c>
      <c r="F4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COMPRAS_EXTRANJERA_COMEX_PROCESOS_ADJUDICACION_ADJUDICACION_REQUERIMIENTOS</v>
      </c>
      <c r="G46" s="2" t="str">
        <f>CLEAN(PROPER(Tabla_Compras_Extranjera[[#This Row],[Nombre Opción]]))</f>
        <v>Adjudicación De Requerimientos</v>
      </c>
      <c r="H46" s="2" t="s">
        <v>1735</v>
      </c>
      <c r="I46" s="2" t="str">
        <f>_xlfn.XLOOKUP(Tabla_Compras_Extranjera[[#This Row],[id_padre]],Tabla_Compras_Extranjera[Id],Tabla_Compras_Extranjera[Codigo_Tecnico],"",0,1)</f>
        <v>COMPRAS_EXTRANJERA_COMEX_PROCESOS_ADJUDICACION</v>
      </c>
      <c r="J4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/compras-extranjera-comex/procesos/adjudicacion/adjudicacion-requerimientos</v>
      </c>
      <c r="K4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adjudicacion-requerimientos</v>
      </c>
      <c r="L46" s="6" t="s">
        <v>1519</v>
      </c>
      <c r="M46" t="s">
        <v>1796</v>
      </c>
      <c r="N46" s="4" t="s">
        <v>360</v>
      </c>
      <c r="O46" s="4" t="s">
        <v>360</v>
      </c>
      <c r="P46" s="4" t="s">
        <v>360</v>
      </c>
      <c r="Q46" s="4"/>
      <c r="S46" s="4" t="s">
        <v>360</v>
      </c>
      <c r="T46" s="2" t="str">
        <f>IF(Tabla_Compras_Extranjera[[#This Row],[id_padre]]=Tabla_Compras_Extranjera[[#This Row],[Id]],"NOK","OK")</f>
        <v>OK</v>
      </c>
    </row>
    <row r="47" spans="1:20" hidden="1" x14ac:dyDescent="0.5">
      <c r="A47">
        <f>MAX(Tabla_Activo_Fijo[Id])</f>
        <v>1511</v>
      </c>
      <c r="B47">
        <v>1555</v>
      </c>
      <c r="C47" s="5">
        <f>IF(Tabla_Compras_Extranjera[[#This Row],[id_padre]]="",0,_xlfn.XLOOKUP(Tabla_Compras_Extranjera[[#This Row],[id_padre]],Tabla_Compras_Extranjera[Id],Tabla_Compras_Extranjera[Nivel],0,0,1)+1)</f>
        <v>3</v>
      </c>
      <c r="D47" s="2" t="s">
        <v>1288</v>
      </c>
      <c r="E47">
        <f>IF(Tabla_Compras_Extranjera[[#This Row],[Id_anterior]]=1,ROW()-1,SUM(ROW()-1,Tabla_Compras_Extranjera[[#This Row],[Id_anterior]]))</f>
        <v>1557</v>
      </c>
      <c r="F4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COMPRAS_EXTRANJERA_COMEX_PROCESOS_ADJUDICACION_ACTA_ADJUDICACION</v>
      </c>
      <c r="G47" s="2" t="str">
        <f>CLEAN(PROPER(Tabla_Compras_Extranjera[[#This Row],[Nombre Opción]]))</f>
        <v>Acta De Adjudicación</v>
      </c>
      <c r="H47" s="2" t="s">
        <v>1735</v>
      </c>
      <c r="I47" s="2" t="str">
        <f>_xlfn.XLOOKUP(Tabla_Compras_Extranjera[[#This Row],[id_padre]],Tabla_Compras_Extranjera[Id],Tabla_Compras_Extranjera[Codigo_Tecnico],"",0,1)</f>
        <v>COMPRAS_EXTRANJERA_COMEX_PROCESOS_ADJUDICACION</v>
      </c>
      <c r="J4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/compras-extranjera-comex/procesos/adjudicacion/acta-adjudicacion</v>
      </c>
      <c r="K4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acta-adjudicacion</v>
      </c>
      <c r="L47" s="6" t="s">
        <v>1343</v>
      </c>
      <c r="M47" t="s">
        <v>1796</v>
      </c>
      <c r="N47" s="4" t="s">
        <v>360</v>
      </c>
      <c r="O47" s="4" t="s">
        <v>360</v>
      </c>
      <c r="P47" s="4" t="s">
        <v>360</v>
      </c>
      <c r="Q47" s="4"/>
      <c r="S47" s="4" t="s">
        <v>360</v>
      </c>
      <c r="T47" s="2" t="str">
        <f>IF(Tabla_Compras_Extranjera[[#This Row],[id_padre]]=Tabla_Compras_Extranjera[[#This Row],[Id]],"NOK","OK")</f>
        <v>OK</v>
      </c>
    </row>
    <row r="48" spans="1:20" hidden="1" x14ac:dyDescent="0.5">
      <c r="A48">
        <f>MAX(Tabla_Activo_Fijo[Id])</f>
        <v>1511</v>
      </c>
      <c r="B48">
        <v>1555</v>
      </c>
      <c r="C48" s="5">
        <f>IF(Tabla_Compras_Extranjera[[#This Row],[id_padre]]="",0,_xlfn.XLOOKUP(Tabla_Compras_Extranjera[[#This Row],[id_padre]],Tabla_Compras_Extranjera[Id],Tabla_Compras_Extranjera[Nivel],0,0,1)+1)</f>
        <v>3</v>
      </c>
      <c r="D48" s="2" t="s">
        <v>1289</v>
      </c>
      <c r="E48">
        <f>IF(Tabla_Compras_Extranjera[[#This Row],[Id_anterior]]=1,ROW()-1,SUM(ROW()-1,Tabla_Compras_Extranjera[[#This Row],[Id_anterior]]))</f>
        <v>1558</v>
      </c>
      <c r="F4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COMPRAS_EXTRANJERA_COMEX_PROCESOS_ADJUDICACION_RESOLUCION_ADJUDICACION</v>
      </c>
      <c r="G48" s="2" t="str">
        <f>CLEAN(PROPER(Tabla_Compras_Extranjera[[#This Row],[Nombre Opción]]))</f>
        <v>Resolución De Adjudicación</v>
      </c>
      <c r="H48" s="2" t="s">
        <v>1735</v>
      </c>
      <c r="I48" s="2" t="str">
        <f>_xlfn.XLOOKUP(Tabla_Compras_Extranjera[[#This Row],[id_padre]],Tabla_Compras_Extranjera[Id],Tabla_Compras_Extranjera[Codigo_Tecnico],"",0,1)</f>
        <v>COMPRAS_EXTRANJERA_COMEX_PROCESOS_ADJUDICACION</v>
      </c>
      <c r="J4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/compras-extranjera-comex/procesos/adjudicacion/resolucion-adjudicacion</v>
      </c>
      <c r="K4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resolucion-adjudicacion</v>
      </c>
      <c r="L48" s="6" t="s">
        <v>1358</v>
      </c>
      <c r="M48" t="s">
        <v>1796</v>
      </c>
      <c r="N48" s="4" t="s">
        <v>360</v>
      </c>
      <c r="O48" s="4" t="s">
        <v>360</v>
      </c>
      <c r="P48" s="4" t="s">
        <v>360</v>
      </c>
      <c r="Q48" s="4"/>
      <c r="S48" s="4" t="s">
        <v>360</v>
      </c>
      <c r="T48" s="2" t="str">
        <f>IF(Tabla_Compras_Extranjera[[#This Row],[id_padre]]=Tabla_Compras_Extranjera[[#This Row],[Id]],"NOK","OK")</f>
        <v>OK</v>
      </c>
    </row>
    <row r="49" spans="1:20" hidden="1" x14ac:dyDescent="0.5">
      <c r="A49">
        <f>MAX(Tabla_Activo_Fijo[Id])</f>
        <v>1511</v>
      </c>
      <c r="B49">
        <v>1542</v>
      </c>
      <c r="C49" s="5">
        <f>IF(Tabla_Compras_Extranjera[[#This Row],[id_padre]]="",0,_xlfn.XLOOKUP(Tabla_Compras_Extranjera[[#This Row],[id_padre]],Tabla_Compras_Extranjera[Id],Tabla_Compras_Extranjera[Nivel],0,0,1)+1)</f>
        <v>3</v>
      </c>
      <c r="D49" s="2" t="s">
        <v>1294</v>
      </c>
      <c r="E49">
        <f>IF(Tabla_Compras_Extranjera[[#This Row],[Id_anterior]]=1,ROW()-1,SUM(ROW()-1,Tabla_Compras_Extranjera[[#This Row],[Id_anterior]]))</f>
        <v>1559</v>
      </c>
      <c r="F4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COMPRAS_EXTRANJERA_COMEX_PROCESOS_ORDENES_COMPRA_FIRMA_OBLIGACION</v>
      </c>
      <c r="G49" s="2" t="str">
        <f>CLEAN(PROPER(Tabla_Compras_Extranjera[[#This Row],[Nombre Opción]]))</f>
        <v>Firma (Obligación)</v>
      </c>
      <c r="H49" s="2" t="s">
        <v>1735</v>
      </c>
      <c r="I49" s="2" t="str">
        <f>_xlfn.XLOOKUP(Tabla_Compras_Extranjera[[#This Row],[id_padre]],Tabla_Compras_Extranjera[Id],Tabla_Compras_Extranjera[Codigo_Tecnico],"",0,1)</f>
        <v>COMPRAS_EXTRANJERA_COMEX_PROCESOS_ORDENES_COMPRA</v>
      </c>
      <c r="J4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/compras-extranjera-comex/procesos/ordenes-compra/firma-obligacion</v>
      </c>
      <c r="K4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firma-obligacion</v>
      </c>
      <c r="L49" s="6" t="s">
        <v>1471</v>
      </c>
      <c r="M49" t="s">
        <v>1796</v>
      </c>
      <c r="N49" s="4" t="s">
        <v>360</v>
      </c>
      <c r="O49" s="4" t="s">
        <v>360</v>
      </c>
      <c r="P49" s="4" t="s">
        <v>360</v>
      </c>
      <c r="Q49" s="4"/>
      <c r="S49" s="4" t="s">
        <v>360</v>
      </c>
      <c r="T49" s="2" t="str">
        <f>IF(Tabla_Compras_Extranjera[[#This Row],[id_padre]]=Tabla_Compras_Extranjera[[#This Row],[Id]],"NOK","OK")</f>
        <v>OK</v>
      </c>
    </row>
    <row r="50" spans="1:20" hidden="1" x14ac:dyDescent="0.5">
      <c r="A50">
        <f>MAX(Tabla_Activo_Fijo[Id])</f>
        <v>1511</v>
      </c>
      <c r="B50">
        <v>1542</v>
      </c>
      <c r="C50" s="5">
        <f>IF(Tabla_Compras_Extranjera[[#This Row],[id_padre]]="",0,_xlfn.XLOOKUP(Tabla_Compras_Extranjera[[#This Row],[id_padre]],Tabla_Compras_Extranjera[Id],Tabla_Compras_Extranjera[Nivel],0,0,1)+1)</f>
        <v>3</v>
      </c>
      <c r="D50" s="2" t="s">
        <v>1295</v>
      </c>
      <c r="E50">
        <f>IF(Tabla_Compras_Extranjera[[#This Row],[Id_anterior]]=1,ROW()-1,SUM(ROW()-1,Tabla_Compras_Extranjera[[#This Row],[Id_anterior]]))</f>
        <v>1560</v>
      </c>
      <c r="F5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COMPRAS_EXTRANJERA_COMEX_PROCESOS_ORDENES_COMPRA_INCREASE_DECREASE</v>
      </c>
      <c r="G50" s="2" t="str">
        <f>CLEAN(PROPER(Tabla_Compras_Extranjera[[#This Row],[Nombre Opción]]))</f>
        <v>Increase / Decrease</v>
      </c>
      <c r="H50" s="2" t="s">
        <v>1735</v>
      </c>
      <c r="I50" s="2" t="str">
        <f>_xlfn.XLOOKUP(Tabla_Compras_Extranjera[[#This Row],[id_padre]],Tabla_Compras_Extranjera[Id],Tabla_Compras_Extranjera[Codigo_Tecnico],"",0,1)</f>
        <v>COMPRAS_EXTRANJERA_COMEX_PROCESOS_ORDENES_COMPRA</v>
      </c>
      <c r="J5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/compras-extranjera-comex/procesos/ordenes-compra/increase-decrease</v>
      </c>
      <c r="K5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increase-decrease</v>
      </c>
      <c r="L50" s="6" t="s">
        <v>1727</v>
      </c>
      <c r="M50" t="s">
        <v>1796</v>
      </c>
      <c r="N50" s="4" t="s">
        <v>360</v>
      </c>
      <c r="O50" s="4" t="s">
        <v>360</v>
      </c>
      <c r="P50" s="4" t="s">
        <v>360</v>
      </c>
      <c r="Q50" s="4"/>
      <c r="S50" s="4" t="s">
        <v>360</v>
      </c>
      <c r="T50" s="2" t="str">
        <f>IF(Tabla_Compras_Extranjera[[#This Row],[id_padre]]=Tabla_Compras_Extranjera[[#This Row],[Id]],"NOK","OK")</f>
        <v>OK</v>
      </c>
    </row>
    <row r="51" spans="1:20" hidden="1" x14ac:dyDescent="0.5">
      <c r="A51">
        <f>MAX(Tabla_Activo_Fijo[Id])</f>
        <v>1511</v>
      </c>
      <c r="B51">
        <v>1542</v>
      </c>
      <c r="C51" s="5">
        <f>IF(Tabla_Compras_Extranjera[[#This Row],[id_padre]]="",0,_xlfn.XLOOKUP(Tabla_Compras_Extranjera[[#This Row],[id_padre]],Tabla_Compras_Extranjera[Id],Tabla_Compras_Extranjera[Nivel],0,0,1)+1)</f>
        <v>3</v>
      </c>
      <c r="D51" s="2" t="s">
        <v>1296</v>
      </c>
      <c r="E51">
        <f>IF(Tabla_Compras_Extranjera[[#This Row],[Id_anterior]]=1,ROW()-1,SUM(ROW()-1,Tabla_Compras_Extranjera[[#This Row],[Id_anterior]]))</f>
        <v>1561</v>
      </c>
      <c r="F5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COMPRAS_EXTRANJERA_COMEX_PROCESOS_ORDENES_COMPRA_MODIFICACION_FECHA_VCTO_O_C</v>
      </c>
      <c r="G51" s="2" t="str">
        <f>CLEAN(PROPER(Tabla_Compras_Extranjera[[#This Row],[Nombre Opción]]))</f>
        <v>Modificación Fecha Vcto O/C</v>
      </c>
      <c r="H51" s="2" t="s">
        <v>1735</v>
      </c>
      <c r="I51" s="2" t="str">
        <f>_xlfn.XLOOKUP(Tabla_Compras_Extranjera[[#This Row],[id_padre]],Tabla_Compras_Extranjera[Id],Tabla_Compras_Extranjera[Codigo_Tecnico],"",0,1)</f>
        <v>COMPRAS_EXTRANJERA_COMEX_PROCESOS_ORDENES_COMPRA</v>
      </c>
      <c r="J5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/compras-extranjera-comex/procesos/ordenes-compra/modificacion-fecha-vcto-o-c</v>
      </c>
      <c r="K5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modificacion-fecha-vcto-o-c</v>
      </c>
      <c r="L51" s="6" t="s">
        <v>1489</v>
      </c>
      <c r="M51" t="s">
        <v>1796</v>
      </c>
      <c r="N51" s="4" t="s">
        <v>360</v>
      </c>
      <c r="O51" s="4" t="s">
        <v>360</v>
      </c>
      <c r="P51" s="4" t="s">
        <v>360</v>
      </c>
      <c r="Q51" s="4"/>
      <c r="S51" s="4" t="s">
        <v>360</v>
      </c>
      <c r="T51" s="2" t="str">
        <f>IF(Tabla_Compras_Extranjera[[#This Row],[id_padre]]=Tabla_Compras_Extranjera[[#This Row],[Id]],"NOK","OK")</f>
        <v>OK</v>
      </c>
    </row>
    <row r="52" spans="1:20" hidden="1" x14ac:dyDescent="0.5">
      <c r="A52">
        <f>MAX(Tabla_Activo_Fijo[Id])</f>
        <v>1511</v>
      </c>
      <c r="B52">
        <v>1514</v>
      </c>
      <c r="C52" s="5">
        <f>IF(Tabla_Compras_Extranjera[[#This Row],[id_padre]]="",0,_xlfn.XLOOKUP(Tabla_Compras_Extranjera[[#This Row],[id_padre]],Tabla_Compras_Extranjera[Id],Tabla_Compras_Extranjera[Nivel],0,0,1)+1)</f>
        <v>2</v>
      </c>
      <c r="D52" s="2" t="s">
        <v>1722</v>
      </c>
      <c r="E52">
        <f>IF(Tabla_Compras_Extranjera[[#This Row],[Id_anterior]]=1,ROW()-1,SUM(ROW()-1,Tabla_Compras_Extranjera[[#This Row],[Id_anterior]]))</f>
        <v>1562</v>
      </c>
      <c r="F5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COMPRAS_EXTRANJERA_COMEX_PROCESOS_RECEPCIONES_CDO_LOG/MAW</v>
      </c>
      <c r="G52" s="2" t="str">
        <f>CLEAN(PROPER(Tabla_Compras_Extranjera[[#This Row],[Nombre Opción]]))</f>
        <v>Recepciones Cdo. Log./Maw</v>
      </c>
      <c r="H52" s="2" t="s">
        <v>1735</v>
      </c>
      <c r="I52" s="2" t="str">
        <f>_xlfn.XLOOKUP(Tabla_Compras_Extranjera[[#This Row],[id_padre]],Tabla_Compras_Extranjera[Id],Tabla_Compras_Extranjera[Codigo_Tecnico],"",0,1)</f>
        <v>COMPRAS_EXTRANJERA_COMEX_PROCESOS</v>
      </c>
      <c r="J5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/compras-extranjera-comex/procesos/recepciones-cdo-log/maw</v>
      </c>
      <c r="K5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recepciones-cdo-log/maw</v>
      </c>
      <c r="L52" s="6" t="s">
        <v>1412</v>
      </c>
      <c r="M52" t="s">
        <v>1796</v>
      </c>
      <c r="N52" s="4" t="s">
        <v>360</v>
      </c>
      <c r="O52" s="4" t="s">
        <v>360</v>
      </c>
      <c r="P52" s="4" t="s">
        <v>360</v>
      </c>
      <c r="Q52" s="4"/>
      <c r="S52" s="4" t="s">
        <v>360</v>
      </c>
      <c r="T52" s="2" t="str">
        <f>IF(Tabla_Compras_Extranjera[[#This Row],[id_padre]]=Tabla_Compras_Extranjera[[#This Row],[Id]],"NOK","OK")</f>
        <v>OK</v>
      </c>
    </row>
    <row r="53" spans="1:20" hidden="1" x14ac:dyDescent="0.5">
      <c r="A53">
        <f>MAX(Tabla_Activo_Fijo[Id])</f>
        <v>1511</v>
      </c>
      <c r="B53">
        <v>1562</v>
      </c>
      <c r="C53" s="5">
        <f>IF(Tabla_Compras_Extranjera[[#This Row],[id_padre]]="",0,_xlfn.XLOOKUP(Tabla_Compras_Extranjera[[#This Row],[id_padre]],Tabla_Compras_Extranjera[Id],Tabla_Compras_Extranjera[Nivel],0,0,1)+1)</f>
        <v>3</v>
      </c>
      <c r="D53" s="2" t="s">
        <v>1297</v>
      </c>
      <c r="E53">
        <f>IF(Tabla_Compras_Extranjera[[#This Row],[Id_anterior]]=1,ROW()-1,SUM(ROW()-1,Tabla_Compras_Extranjera[[#This Row],[Id_anterior]]))</f>
        <v>1563</v>
      </c>
      <c r="F5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COMPRAS_EXTRANJERA_COMEX_PROCESOS_RECEPCIONES_CDO_LOG/MAW_ACTUALIZA_ACTA_RECEPCION</v>
      </c>
      <c r="G53" s="2" t="str">
        <f>CLEAN(PROPER(Tabla_Compras_Extranjera[[#This Row],[Nombre Opción]]))</f>
        <v>Actualiza Acta De Recepción</v>
      </c>
      <c r="H53" s="2" t="s">
        <v>1735</v>
      </c>
      <c r="I53" s="2" t="str">
        <f>_xlfn.XLOOKUP(Tabla_Compras_Extranjera[[#This Row],[id_padre]],Tabla_Compras_Extranjera[Id],Tabla_Compras_Extranjera[Codigo_Tecnico],"",0,1)</f>
        <v>COMPRAS_EXTRANJERA_COMEX_PROCESOS_RECEPCIONES_CDO_LOG/MAW</v>
      </c>
      <c r="J5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/compras-extranjera-comex/procesos/recepciones-cdo-log/maw/actualiza-acta-recepcion</v>
      </c>
      <c r="K5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actualiza-acta-recepcion</v>
      </c>
      <c r="L53" s="6" t="s">
        <v>1420</v>
      </c>
      <c r="M53" t="s">
        <v>1796</v>
      </c>
      <c r="N53" s="4" t="s">
        <v>360</v>
      </c>
      <c r="O53" s="4" t="s">
        <v>360</v>
      </c>
      <c r="P53" s="4" t="s">
        <v>360</v>
      </c>
      <c r="Q53" s="4"/>
      <c r="S53" s="4" t="s">
        <v>360</v>
      </c>
      <c r="T53" s="2" t="str">
        <f>IF(Tabla_Compras_Extranjera[[#This Row],[id_padre]]=Tabla_Compras_Extranjera[[#This Row],[Id]],"NOK","OK")</f>
        <v>OK</v>
      </c>
    </row>
    <row r="54" spans="1:20" hidden="1" x14ac:dyDescent="0.5">
      <c r="A54">
        <f>MAX(Tabla_Activo_Fijo[Id])</f>
        <v>1511</v>
      </c>
      <c r="B54">
        <v>1562</v>
      </c>
      <c r="C54" s="5">
        <f>IF(Tabla_Compras_Extranjera[[#This Row],[id_padre]]="",0,_xlfn.XLOOKUP(Tabla_Compras_Extranjera[[#This Row],[id_padre]],Tabla_Compras_Extranjera[Id],Tabla_Compras_Extranjera[Nivel],0,0,1)+1)</f>
        <v>3</v>
      </c>
      <c r="D54" s="2" t="s">
        <v>1298</v>
      </c>
      <c r="E54">
        <f>IF(Tabla_Compras_Extranjera[[#This Row],[Id_anterior]]=1,ROW()-1,SUM(ROW()-1,Tabla_Compras_Extranjera[[#This Row],[Id_anterior]]))</f>
        <v>1564</v>
      </c>
      <c r="F5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COMPRAS_EXTRANJERA_COMEX_PROCESOS_RECEPCIONES_CDO_LOG/MAW_ANULA_ACTA_RECEPCION</v>
      </c>
      <c r="G54" s="2" t="str">
        <f>CLEAN(PROPER(Tabla_Compras_Extranjera[[#This Row],[Nombre Opción]]))</f>
        <v>Anula Acta De Recepción</v>
      </c>
      <c r="H54" s="2" t="s">
        <v>1735</v>
      </c>
      <c r="I54" s="2" t="str">
        <f>_xlfn.XLOOKUP(Tabla_Compras_Extranjera[[#This Row],[id_padre]],Tabla_Compras_Extranjera[Id],Tabla_Compras_Extranjera[Codigo_Tecnico],"",0,1)</f>
        <v>COMPRAS_EXTRANJERA_COMEX_PROCESOS_RECEPCIONES_CDO_LOG/MAW</v>
      </c>
      <c r="J5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/compras-extranjera-comex/procesos/recepciones-cdo-log/maw/anula-acta-recepcion</v>
      </c>
      <c r="K5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anula-acta-recepcion</v>
      </c>
      <c r="L54" s="6" t="s">
        <v>1390</v>
      </c>
      <c r="M54" t="s">
        <v>1796</v>
      </c>
      <c r="N54" s="4" t="s">
        <v>360</v>
      </c>
      <c r="O54" s="4" t="s">
        <v>360</v>
      </c>
      <c r="P54" s="4" t="s">
        <v>360</v>
      </c>
      <c r="Q54" s="4"/>
      <c r="S54" s="4" t="s">
        <v>360</v>
      </c>
      <c r="T54" s="2" t="str">
        <f>IF(Tabla_Compras_Extranjera[[#This Row],[id_padre]]=Tabla_Compras_Extranjera[[#This Row],[Id]],"NOK","OK")</f>
        <v>OK</v>
      </c>
    </row>
    <row r="55" spans="1:20" hidden="1" x14ac:dyDescent="0.5">
      <c r="A55">
        <f>MAX(Tabla_Activo_Fijo[Id])</f>
        <v>1511</v>
      </c>
      <c r="B55">
        <v>1562</v>
      </c>
      <c r="C55" s="5">
        <f>IF(Tabla_Compras_Extranjera[[#This Row],[id_padre]]="",0,_xlfn.XLOOKUP(Tabla_Compras_Extranjera[[#This Row],[id_padre]],Tabla_Compras_Extranjera[Id],Tabla_Compras_Extranjera[Nivel],0,0,1)+1)</f>
        <v>3</v>
      </c>
      <c r="D55" s="2" t="s">
        <v>1299</v>
      </c>
      <c r="E55">
        <f>IF(Tabla_Compras_Extranjera[[#This Row],[Id_anterior]]=1,ROW()-1,SUM(ROW()-1,Tabla_Compras_Extranjera[[#This Row],[Id_anterior]]))</f>
        <v>1565</v>
      </c>
      <c r="F5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COMPRAS_EXTRANJERA_COMEX_PROCESOS_RECEPCIONES_CDO_LOG/MAW_DISPONIBILIZA_RQTOS_PARA_ACTA_RECEPCION</v>
      </c>
      <c r="G55" s="2" t="str">
        <f>CLEAN(PROPER(Tabla_Compras_Extranjera[[#This Row],[Nombre Opción]]))</f>
        <v>Disponibiliza Rqtos. Para Acta De Recepción</v>
      </c>
      <c r="H55" s="2" t="s">
        <v>1735</v>
      </c>
      <c r="I55" s="2" t="str">
        <f>_xlfn.XLOOKUP(Tabla_Compras_Extranjera[[#This Row],[id_padre]],Tabla_Compras_Extranjera[Id],Tabla_Compras_Extranjera[Codigo_Tecnico],"",0,1)</f>
        <v>COMPRAS_EXTRANJERA_COMEX_PROCESOS_RECEPCIONES_CDO_LOG/MAW</v>
      </c>
      <c r="J5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/compras-extranjera-comex/procesos/recepciones-cdo-log/maw/disponibiliza-rqtos-para-acta-recepcion</v>
      </c>
      <c r="K5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disponibiliza-rqtos-para-acta-recepcion</v>
      </c>
      <c r="L55" s="6" t="s">
        <v>1459</v>
      </c>
      <c r="M55" t="s">
        <v>1796</v>
      </c>
      <c r="N55" s="4" t="s">
        <v>360</v>
      </c>
      <c r="O55" s="4" t="s">
        <v>360</v>
      </c>
      <c r="P55" s="4" t="s">
        <v>360</v>
      </c>
      <c r="Q55" s="4"/>
      <c r="S55" s="4" t="s">
        <v>360</v>
      </c>
      <c r="T55" s="2" t="str">
        <f>IF(Tabla_Compras_Extranjera[[#This Row],[id_padre]]=Tabla_Compras_Extranjera[[#This Row],[Id]],"NOK","OK")</f>
        <v>OK</v>
      </c>
    </row>
    <row r="56" spans="1:20" hidden="1" x14ac:dyDescent="0.5">
      <c r="A56">
        <f>MAX(Tabla_Activo_Fijo[Id])</f>
        <v>1511</v>
      </c>
      <c r="B56">
        <v>1514</v>
      </c>
      <c r="C56" s="5">
        <f>IF(Tabla_Compras_Extranjera[[#This Row],[id_padre]]="",0,_xlfn.XLOOKUP(Tabla_Compras_Extranjera[[#This Row],[id_padre]],Tabla_Compras_Extranjera[Id],Tabla_Compras_Extranjera[Nivel],0,0,1)+1)</f>
        <v>2</v>
      </c>
      <c r="D56" s="2" t="s">
        <v>1282</v>
      </c>
      <c r="E56">
        <f>IF(Tabla_Compras_Extranjera[[#This Row],[Id_anterior]]=1,ROW()-1,SUM(ROW()-1,Tabla_Compras_Extranjera[[#This Row],[Id_anterior]]))</f>
        <v>1566</v>
      </c>
      <c r="F5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COMPRAS_EXTRANJERA_COMEX_PROCESOS_ENVIA_INFORMACION_PROYECTO_VOLUMEN</v>
      </c>
      <c r="G56" s="2" t="str">
        <f>CLEAN(PROPER(Tabla_Compras_Extranjera[[#This Row],[Nombre Opción]]))</f>
        <v>Envia Información Proyecto Volumen</v>
      </c>
      <c r="H56" s="2" t="s">
        <v>1735</v>
      </c>
      <c r="I56" s="2" t="str">
        <f>_xlfn.XLOOKUP(Tabla_Compras_Extranjera[[#This Row],[id_padre]],Tabla_Compras_Extranjera[Id],Tabla_Compras_Extranjera[Codigo_Tecnico],"",0,1)</f>
        <v>COMPRAS_EXTRANJERA_COMEX_PROCESOS</v>
      </c>
      <c r="J5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/compras-extranjera-comex/procesos/envia-informacion-proyecto-volumen</v>
      </c>
      <c r="K5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envia-informacion-proyecto-volumen</v>
      </c>
      <c r="L56" s="6" t="s">
        <v>1348</v>
      </c>
      <c r="M56" t="s">
        <v>1796</v>
      </c>
      <c r="N56" s="4" t="s">
        <v>360</v>
      </c>
      <c r="O56" s="4" t="s">
        <v>360</v>
      </c>
      <c r="P56" s="4" t="s">
        <v>360</v>
      </c>
      <c r="Q56" s="4"/>
      <c r="S56" s="4" t="s">
        <v>360</v>
      </c>
      <c r="T56" s="2" t="str">
        <f>IF(Tabla_Compras_Extranjera[[#This Row],[id_padre]]=Tabla_Compras_Extranjera[[#This Row],[Id]],"NOK","OK")</f>
        <v>OK</v>
      </c>
    </row>
    <row r="57" spans="1:20" hidden="1" x14ac:dyDescent="0.5">
      <c r="A57">
        <f>MAX(Tabla_Activo_Fijo[Id])</f>
        <v>1511</v>
      </c>
      <c r="B57">
        <v>1535</v>
      </c>
      <c r="C57" s="5">
        <f>IF(Tabla_Compras_Extranjera[[#This Row],[id_padre]]="",0,_xlfn.XLOOKUP(Tabla_Compras_Extranjera[[#This Row],[id_padre]],Tabla_Compras_Extranjera[Id],Tabla_Compras_Extranjera[Nivel],0,0,1)+1)</f>
        <v>3</v>
      </c>
      <c r="D57" s="2" t="s">
        <v>1300</v>
      </c>
      <c r="E57">
        <f>IF(Tabla_Compras_Extranjera[[#This Row],[Id_anterior]]=1,ROW()-1,SUM(ROW()-1,Tabla_Compras_Extranjera[[#This Row],[Id_anterior]]))</f>
        <v>1567</v>
      </c>
      <c r="F5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COMPRAS_EXTRANJERA_COMEX_PROCESOS_REQUERIMIENTOS_ELIMINA_GARANTIA_O_LIBRE_CARGO</v>
      </c>
      <c r="G57" s="2" t="str">
        <f>CLEAN(PROPER(Tabla_Compras_Extranjera[[#This Row],[Nombre Opción]]))</f>
        <v>Elimina Garantia O Libre De Cargo</v>
      </c>
      <c r="H57" s="2" t="s">
        <v>1735</v>
      </c>
      <c r="I57" s="2" t="str">
        <f>_xlfn.XLOOKUP(Tabla_Compras_Extranjera[[#This Row],[id_padre]],Tabla_Compras_Extranjera[Id],Tabla_Compras_Extranjera[Codigo_Tecnico],"",0,1)</f>
        <v>COMPRAS_EXTRANJERA_COMEX_PROCESOS_REQUERIMIENTOS</v>
      </c>
      <c r="J5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/compras-extranjera-comex/procesos/requerimientos/elimina-garantia-o-libre-cargo</v>
      </c>
      <c r="K5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elimina-garantia-o-libre-cargo</v>
      </c>
      <c r="L57" s="6" t="s">
        <v>1345</v>
      </c>
      <c r="M57" t="s">
        <v>1796</v>
      </c>
      <c r="N57" s="4" t="s">
        <v>360</v>
      </c>
      <c r="O57" s="4" t="s">
        <v>360</v>
      </c>
      <c r="P57" s="4"/>
      <c r="Q57" s="4"/>
      <c r="S57" s="4" t="s">
        <v>360</v>
      </c>
      <c r="T57" s="2" t="str">
        <f>IF(Tabla_Compras_Extranjera[[#This Row],[id_padre]]=Tabla_Compras_Extranjera[[#This Row],[Id]],"NOK","OK")</f>
        <v>OK</v>
      </c>
    </row>
    <row r="58" spans="1:20" hidden="1" x14ac:dyDescent="0.5">
      <c r="A58">
        <f>MAX(Tabla_Activo_Fijo[Id])</f>
        <v>1511</v>
      </c>
      <c r="B58">
        <v>1542</v>
      </c>
      <c r="C58" s="5">
        <f>IF(Tabla_Compras_Extranjera[[#This Row],[id_padre]]="",0,_xlfn.XLOOKUP(Tabla_Compras_Extranjera[[#This Row],[id_padre]],Tabla_Compras_Extranjera[Id],Tabla_Compras_Extranjera[Nivel],0,0,1)+1)</f>
        <v>3</v>
      </c>
      <c r="D58" s="2" t="s">
        <v>1301</v>
      </c>
      <c r="E58">
        <f>IF(Tabla_Compras_Extranjera[[#This Row],[Id_anterior]]=1,ROW()-1,SUM(ROW()-1,Tabla_Compras_Extranjera[[#This Row],[Id_anterior]]))</f>
        <v>1568</v>
      </c>
      <c r="F5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COMPRAS_EXTRANJERA_COMEX_PROCESOS_ORDENES_COMPRA_ANULACION_TOTAL_O_C</v>
      </c>
      <c r="G58" s="2" t="str">
        <f>CLEAN(PROPER(Tabla_Compras_Extranjera[[#This Row],[Nombre Opción]]))</f>
        <v>Anulación Total De La O/C</v>
      </c>
      <c r="H58" s="2" t="s">
        <v>1735</v>
      </c>
      <c r="I58" s="2" t="str">
        <f>_xlfn.XLOOKUP(Tabla_Compras_Extranjera[[#This Row],[id_padre]],Tabla_Compras_Extranjera[Id],Tabla_Compras_Extranjera[Codigo_Tecnico],"",0,1)</f>
        <v>COMPRAS_EXTRANJERA_COMEX_PROCESOS_ORDENES_COMPRA</v>
      </c>
      <c r="J5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/compras-extranjera-comex/procesos/ordenes-compra/anulacion-total-o-c</v>
      </c>
      <c r="K5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anulacion-total-o-c</v>
      </c>
      <c r="L58" s="6" t="s">
        <v>1346</v>
      </c>
      <c r="M58" t="s">
        <v>1796</v>
      </c>
      <c r="N58" s="4" t="s">
        <v>360</v>
      </c>
      <c r="O58" s="4" t="s">
        <v>360</v>
      </c>
      <c r="P58" s="4"/>
      <c r="Q58" s="4"/>
      <c r="S58" s="4" t="s">
        <v>360</v>
      </c>
      <c r="T58" s="2" t="str">
        <f>IF(Tabla_Compras_Extranjera[[#This Row],[id_padre]]=Tabla_Compras_Extranjera[[#This Row],[Id]],"NOK","OK")</f>
        <v>OK</v>
      </c>
    </row>
    <row r="59" spans="1:20" hidden="1" x14ac:dyDescent="0.5">
      <c r="A59">
        <f>MAX(Tabla_Activo_Fijo[Id])</f>
        <v>1511</v>
      </c>
      <c r="B59">
        <v>1542</v>
      </c>
      <c r="C59" s="5">
        <f>IF(Tabla_Compras_Extranjera[[#This Row],[id_padre]]="",0,_xlfn.XLOOKUP(Tabla_Compras_Extranjera[[#This Row],[id_padre]],Tabla_Compras_Extranjera[Id],Tabla_Compras_Extranjera[Nivel],0,0,1)+1)</f>
        <v>3</v>
      </c>
      <c r="D59" s="2" t="s">
        <v>1302</v>
      </c>
      <c r="E59">
        <f>IF(Tabla_Compras_Extranjera[[#This Row],[Id_anterior]]=1,ROW()-1,SUM(ROW()-1,Tabla_Compras_Extranjera[[#This Row],[Id_anterior]]))</f>
        <v>1569</v>
      </c>
      <c r="F5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COMPRAS_EXTRANJERA_COMEX_PROCESOS_ORDENES_COMPRA_ANULACION_REQUERIMIENTOS_O_C</v>
      </c>
      <c r="G59" s="2" t="str">
        <f>CLEAN(PROPER(Tabla_Compras_Extranjera[[#This Row],[Nombre Opción]]))</f>
        <v>Anulación De Requerimientos En O/C</v>
      </c>
      <c r="H59" s="2" t="s">
        <v>1735</v>
      </c>
      <c r="I59" s="2" t="str">
        <f>_xlfn.XLOOKUP(Tabla_Compras_Extranjera[[#This Row],[id_padre]],Tabla_Compras_Extranjera[Id],Tabla_Compras_Extranjera[Codigo_Tecnico],"",0,1)</f>
        <v>COMPRAS_EXTRANJERA_COMEX_PROCESOS_ORDENES_COMPRA</v>
      </c>
      <c r="J5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/compras-extranjera-comex/procesos/ordenes-compra/anulacion-requerimientos-o-c</v>
      </c>
      <c r="K5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anulacion-requerimientos-o-c</v>
      </c>
      <c r="L59" s="6" t="s">
        <v>1368</v>
      </c>
      <c r="M59" t="s">
        <v>1796</v>
      </c>
      <c r="N59" s="4" t="s">
        <v>360</v>
      </c>
      <c r="O59" s="4" t="s">
        <v>360</v>
      </c>
      <c r="P59" s="4"/>
      <c r="Q59" s="4"/>
      <c r="S59" s="4" t="s">
        <v>360</v>
      </c>
      <c r="T59" s="2" t="str">
        <f>IF(Tabla_Compras_Extranjera[[#This Row],[id_padre]]=Tabla_Compras_Extranjera[[#This Row],[Id]],"NOK","OK")</f>
        <v>OK</v>
      </c>
    </row>
    <row r="60" spans="1:20" hidden="1" x14ac:dyDescent="0.5">
      <c r="A60">
        <f>MAX(Tabla_Activo_Fijo[Id])</f>
        <v>1511</v>
      </c>
      <c r="B60">
        <v>1562</v>
      </c>
      <c r="C60" s="5">
        <f>IF(Tabla_Compras_Extranjera[[#This Row],[id_padre]]="",0,_xlfn.XLOOKUP(Tabla_Compras_Extranjera[[#This Row],[id_padre]],Tabla_Compras_Extranjera[Id],Tabla_Compras_Extranjera[Nivel],0,0,1)+1)</f>
        <v>3</v>
      </c>
      <c r="D60" s="2" t="s">
        <v>1303</v>
      </c>
      <c r="E60">
        <f>IF(Tabla_Compras_Extranjera[[#This Row],[Id_anterior]]=1,ROW()-1,SUM(ROW()-1,Tabla_Compras_Extranjera[[#This Row],[Id_anterior]]))</f>
        <v>1570</v>
      </c>
      <c r="F6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COMPRAS_EXTRANJERA_COMEX_PROCESOS_RECEPCIONES_CDO_LOG/MAW_RECEPCIONES_CDOLOG/MAW_INGRESO_RECEPCION_POR_RQTO</v>
      </c>
      <c r="G60" s="2" t="str">
        <f>CLEAN(PROPER(Tabla_Compras_Extranjera[[#This Row],[Nombre Opción]]))</f>
        <v>Recepciones Cdo.Log/Maw – Ingreso Recepción Por Rqto</v>
      </c>
      <c r="H60" s="2" t="s">
        <v>1735</v>
      </c>
      <c r="I60" s="2" t="str">
        <f>_xlfn.XLOOKUP(Tabla_Compras_Extranjera[[#This Row],[id_padre]],Tabla_Compras_Extranjera[Id],Tabla_Compras_Extranjera[Codigo_Tecnico],"",0,1)</f>
        <v>COMPRAS_EXTRANJERA_COMEX_PROCESOS_RECEPCIONES_CDO_LOG/MAW</v>
      </c>
      <c r="J6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/compras-extranjera-comex/procesos/recepciones-cdo-log/maw/recepciones-cdolog/maw-ingreso-recepcion-por-rqto</v>
      </c>
      <c r="K6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recepciones-cdolog/maw-ingreso-recepcion-por-rqto</v>
      </c>
      <c r="L60" s="6" t="s">
        <v>1482</v>
      </c>
      <c r="M60" t="s">
        <v>1796</v>
      </c>
      <c r="N60" s="4" t="s">
        <v>360</v>
      </c>
      <c r="O60" s="4"/>
      <c r="P60" s="4"/>
      <c r="Q60" s="4" t="s">
        <v>360</v>
      </c>
      <c r="S60" s="4" t="s">
        <v>360</v>
      </c>
      <c r="T60" s="2" t="str">
        <f>IF(Tabla_Compras_Extranjera[[#This Row],[id_padre]]=Tabla_Compras_Extranjera[[#This Row],[Id]],"NOK","OK")</f>
        <v>OK</v>
      </c>
    </row>
    <row r="61" spans="1:20" hidden="1" x14ac:dyDescent="0.5">
      <c r="A61">
        <f>MAX(Tabla_Activo_Fijo[Id])</f>
        <v>1511</v>
      </c>
      <c r="B61">
        <v>1562</v>
      </c>
      <c r="C61" s="5">
        <f>IF(Tabla_Compras_Extranjera[[#This Row],[id_padre]]="",0,_xlfn.XLOOKUP(Tabla_Compras_Extranjera[[#This Row],[id_padre]],Tabla_Compras_Extranjera[Id],Tabla_Compras_Extranjera[Nivel],0,0,1)+1)</f>
        <v>3</v>
      </c>
      <c r="D61" s="2" t="s">
        <v>1304</v>
      </c>
      <c r="E61">
        <f>IF(Tabla_Compras_Extranjera[[#This Row],[Id_anterior]]=1,ROW()-1,SUM(ROW()-1,Tabla_Compras_Extranjera[[#This Row],[Id_anterior]]))</f>
        <v>1571</v>
      </c>
      <c r="F6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COMPRAS_EXTRANJERA_COMEX_PROCESOS_RECEPCIONES_CDO_LOG/MAW_RECEPCIONES_CDOLOG/MAW_INGRESO_RECEPCION_POR_O_C</v>
      </c>
      <c r="G61" s="2" t="str">
        <f>CLEAN(PROPER(Tabla_Compras_Extranjera[[#This Row],[Nombre Opción]]))</f>
        <v>Recepciones Cdo.Log/Maw – Ingreso Recepción Por O/C</v>
      </c>
      <c r="H61" s="2" t="s">
        <v>1735</v>
      </c>
      <c r="I61" s="2" t="str">
        <f>_xlfn.XLOOKUP(Tabla_Compras_Extranjera[[#This Row],[id_padre]],Tabla_Compras_Extranjera[Id],Tabla_Compras_Extranjera[Codigo_Tecnico],"",0,1)</f>
        <v>COMPRAS_EXTRANJERA_COMEX_PROCESOS_RECEPCIONES_CDO_LOG/MAW</v>
      </c>
      <c r="J6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/compras-extranjera-comex/procesos/recepciones-cdo-log/maw/recepciones-cdolog/maw-ingreso-recepcion-por-o-c</v>
      </c>
      <c r="K6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recepciones-cdolog/maw-ingreso-recepcion-por-o-c</v>
      </c>
      <c r="L61" s="6" t="s">
        <v>1364</v>
      </c>
      <c r="M61" t="s">
        <v>1796</v>
      </c>
      <c r="N61" s="4" t="s">
        <v>360</v>
      </c>
      <c r="O61" s="4"/>
      <c r="P61" s="4"/>
      <c r="Q61" s="4" t="s">
        <v>360</v>
      </c>
      <c r="S61" s="4" t="s">
        <v>360</v>
      </c>
      <c r="T61" s="2" t="str">
        <f>IF(Tabla_Compras_Extranjera[[#This Row],[id_padre]]=Tabla_Compras_Extranjera[[#This Row],[Id]],"NOK","OK")</f>
        <v>OK</v>
      </c>
    </row>
    <row r="62" spans="1:20" hidden="1" x14ac:dyDescent="0.5">
      <c r="A62">
        <f>MAX(Tabla_Activo_Fijo[Id])</f>
        <v>1511</v>
      </c>
      <c r="B62">
        <v>1562</v>
      </c>
      <c r="C62" s="5">
        <f>IF(Tabla_Compras_Extranjera[[#This Row],[id_padre]]="",0,_xlfn.XLOOKUP(Tabla_Compras_Extranjera[[#This Row],[id_padre]],Tabla_Compras_Extranjera[Id],Tabla_Compras_Extranjera[Nivel],0,0,1)+1)</f>
        <v>3</v>
      </c>
      <c r="D62" s="2" t="s">
        <v>1305</v>
      </c>
      <c r="E62">
        <f>IF(Tabla_Compras_Extranjera[[#This Row],[Id_anterior]]=1,ROW()-1,SUM(ROW()-1,Tabla_Compras_Extranjera[[#This Row],[Id_anterior]]))</f>
        <v>1572</v>
      </c>
      <c r="F6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COMPRAS_EXTRANJERA_COMEX_PROCESOS_RECEPCIONES_CDO_LOG/MAW_RECEPCIONES_CDOLOG/MAW_MANTENCION_RECEPCION</v>
      </c>
      <c r="G62" s="2" t="str">
        <f>CLEAN(PROPER(Tabla_Compras_Extranjera[[#This Row],[Nombre Opción]]))</f>
        <v>Recepciones Cdo.Log/Maw – Mantención Recepción</v>
      </c>
      <c r="H62" s="2" t="s">
        <v>1735</v>
      </c>
      <c r="I62" s="2" t="str">
        <f>_xlfn.XLOOKUP(Tabla_Compras_Extranjera[[#This Row],[id_padre]],Tabla_Compras_Extranjera[Id],Tabla_Compras_Extranjera[Codigo_Tecnico],"",0,1)</f>
        <v>COMPRAS_EXTRANJERA_COMEX_PROCESOS_RECEPCIONES_CDO_LOG/MAW</v>
      </c>
      <c r="J6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/compras-extranjera-comex/procesos/recepciones-cdo-log/maw/recepciones-cdolog/maw-mantencion-recepcion</v>
      </c>
      <c r="K6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recepciones-cdolog/maw-mantencion-recepcion</v>
      </c>
      <c r="L62" s="6" t="s">
        <v>1472</v>
      </c>
      <c r="M62" t="s">
        <v>1796</v>
      </c>
      <c r="N62" s="4" t="s">
        <v>360</v>
      </c>
      <c r="O62" s="4"/>
      <c r="P62" s="4"/>
      <c r="Q62" s="4" t="s">
        <v>360</v>
      </c>
      <c r="S62" s="4" t="s">
        <v>360</v>
      </c>
      <c r="T62" s="2" t="str">
        <f>IF(Tabla_Compras_Extranjera[[#This Row],[id_padre]]=Tabla_Compras_Extranjera[[#This Row],[Id]],"NOK","OK")</f>
        <v>OK</v>
      </c>
    </row>
    <row r="63" spans="1:20" hidden="1" x14ac:dyDescent="0.5">
      <c r="A63">
        <f>MAX(Tabla_Activo_Fijo[Id])</f>
        <v>1511</v>
      </c>
      <c r="B63">
        <v>1514</v>
      </c>
      <c r="C63" s="5">
        <f>IF(Tabla_Compras_Extranjera[[#This Row],[id_padre]]="",0,_xlfn.XLOOKUP(Tabla_Compras_Extranjera[[#This Row],[id_padre]],Tabla_Compras_Extranjera[Id],Tabla_Compras_Extranjera[Nivel],0,0,1)+1)</f>
        <v>2</v>
      </c>
      <c r="D63" s="2" t="s">
        <v>1723</v>
      </c>
      <c r="E63">
        <f>IF(Tabla_Compras_Extranjera[[#This Row],[Id_anterior]]=1,ROW()-1,SUM(ROW()-1,Tabla_Compras_Extranjera[[#This Row],[Id_anterior]]))</f>
        <v>1573</v>
      </c>
      <c r="F6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COMPRAS_EXTRANJERA_COMEX_PROCESOS_ALTAS_FISICAS</v>
      </c>
      <c r="G63" s="2" t="str">
        <f>CLEAN(PROPER(Tabla_Compras_Extranjera[[#This Row],[Nombre Opción]]))</f>
        <v>Altas Fisicas</v>
      </c>
      <c r="H63" s="2" t="s">
        <v>1735</v>
      </c>
      <c r="I63" s="2" t="str">
        <f>_xlfn.XLOOKUP(Tabla_Compras_Extranjera[[#This Row],[id_padre]],Tabla_Compras_Extranjera[Id],Tabla_Compras_Extranjera[Codigo_Tecnico],"",0,1)</f>
        <v>COMPRAS_EXTRANJERA_COMEX_PROCESOS</v>
      </c>
      <c r="J6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/compras-extranjera-comex/procesos/altas-fisicas</v>
      </c>
      <c r="K6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altas-fisicas</v>
      </c>
      <c r="L63" s="6" t="s">
        <v>1623</v>
      </c>
      <c r="M63" t="s">
        <v>1796</v>
      </c>
      <c r="N63" s="4" t="s">
        <v>360</v>
      </c>
      <c r="O63" s="4"/>
      <c r="P63" s="4"/>
      <c r="Q63" s="4" t="s">
        <v>360</v>
      </c>
      <c r="S63" s="4" t="s">
        <v>360</v>
      </c>
      <c r="T63" s="2" t="str">
        <f>IF(Tabla_Compras_Extranjera[[#This Row],[id_padre]]=Tabla_Compras_Extranjera[[#This Row],[Id]],"NOK","OK")</f>
        <v>OK</v>
      </c>
    </row>
    <row r="64" spans="1:20" hidden="1" x14ac:dyDescent="0.5">
      <c r="A64">
        <f>MAX(Tabla_Activo_Fijo[Id])</f>
        <v>1511</v>
      </c>
      <c r="B64">
        <v>1573</v>
      </c>
      <c r="C64" s="5">
        <f>IF(Tabla_Compras_Extranjera[[#This Row],[id_padre]]="",0,_xlfn.XLOOKUP(Tabla_Compras_Extranjera[[#This Row],[id_padre]],Tabla_Compras_Extranjera[Id],Tabla_Compras_Extranjera[Nivel],0,0,1)+1)</f>
        <v>3</v>
      </c>
      <c r="D64" s="2" t="s">
        <v>1724</v>
      </c>
      <c r="E64">
        <f>IF(Tabla_Compras_Extranjera[[#This Row],[Id_anterior]]=1,ROW()-1,SUM(ROW()-1,Tabla_Compras_Extranjera[[#This Row],[Id_anterior]]))</f>
        <v>1574</v>
      </c>
      <c r="F6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COMPRAS_EXTRANJERA_COMEX_PROCESOS_ALTAS_FISICAS_GRUPO_ABASTECIMIENTO</v>
      </c>
      <c r="G64" s="2" t="str">
        <f>CLEAN(PROPER(Tabla_Compras_Extranjera[[#This Row],[Nombre Opción]]))</f>
        <v>Grupo De Abastecimiento</v>
      </c>
      <c r="H64" s="2" t="s">
        <v>1735</v>
      </c>
      <c r="I64" s="2" t="str">
        <f>_xlfn.XLOOKUP(Tabla_Compras_Extranjera[[#This Row],[id_padre]],Tabla_Compras_Extranjera[Id],Tabla_Compras_Extranjera[Codigo_Tecnico],"",0,1)</f>
        <v>COMPRAS_EXTRANJERA_COMEX_PROCESOS_ALTAS_FISICAS</v>
      </c>
      <c r="J6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/compras-extranjera-comex/procesos/altas-fisicas/grupo-abastecimiento</v>
      </c>
      <c r="K6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grupo-abastecimiento</v>
      </c>
      <c r="L64" s="6" t="s">
        <v>1622</v>
      </c>
      <c r="M64" t="s">
        <v>1796</v>
      </c>
      <c r="N64" s="4" t="s">
        <v>360</v>
      </c>
      <c r="O64" s="4"/>
      <c r="P64" s="4"/>
      <c r="Q64" s="4" t="s">
        <v>360</v>
      </c>
      <c r="S64" s="4" t="s">
        <v>360</v>
      </c>
      <c r="T64" s="2" t="str">
        <f>IF(Tabla_Compras_Extranjera[[#This Row],[id_padre]]=Tabla_Compras_Extranjera[[#This Row],[Id]],"NOK","OK")</f>
        <v>OK</v>
      </c>
    </row>
    <row r="65" spans="1:20" hidden="1" x14ac:dyDescent="0.5">
      <c r="A65">
        <f>MAX(Tabla_Activo_Fijo[Id])</f>
        <v>1511</v>
      </c>
      <c r="B65">
        <v>1574</v>
      </c>
      <c r="C65" s="5">
        <f>IF(Tabla_Compras_Extranjera[[#This Row],[id_padre]]="",0,_xlfn.XLOOKUP(Tabla_Compras_Extranjera[[#This Row],[id_padre]],Tabla_Compras_Extranjera[Id],Tabla_Compras_Extranjera[Nivel],0,0,1)+1)</f>
        <v>4</v>
      </c>
      <c r="D65" s="2" t="s">
        <v>1306</v>
      </c>
      <c r="E65">
        <f>IF(Tabla_Compras_Extranjera[[#This Row],[Id_anterior]]=1,ROW()-1,SUM(ROW()-1,Tabla_Compras_Extranjera[[#This Row],[Id_anterior]]))</f>
        <v>1575</v>
      </c>
      <c r="F6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COMPRAS_EXTRANJERA_COMEX_PROCESOS_ALTAS_FISICAS_GRUPO_ABASTECIMIENTO_INGRESO_ALTAS_FISCAS_X_ORDEN_COMPRA</v>
      </c>
      <c r="G65" s="2" t="str">
        <f>CLEAN(PROPER(Tabla_Compras_Extranjera[[#This Row],[Nombre Opción]]))</f>
        <v>Ingreso Altas Fiscas X Orden De Compra</v>
      </c>
      <c r="H65" s="2" t="s">
        <v>1735</v>
      </c>
      <c r="I65" s="2" t="str">
        <f>_xlfn.XLOOKUP(Tabla_Compras_Extranjera[[#This Row],[id_padre]],Tabla_Compras_Extranjera[Id],Tabla_Compras_Extranjera[Codigo_Tecnico],"",0,1)</f>
        <v>COMPRAS_EXTRANJERA_COMEX_PROCESOS_ALTAS_FISICAS_GRUPO_ABASTECIMIENTO</v>
      </c>
      <c r="J6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/compras-extranjera-comex/procesos/altas-fisicas/grupo-abastecimiento/ingreso-altas-fiscas-x-orden-compra</v>
      </c>
      <c r="K6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ingreso-altas-fiscas-x-orden-compra</v>
      </c>
      <c r="L65" s="6" t="s">
        <v>1349</v>
      </c>
      <c r="M65" t="s">
        <v>1796</v>
      </c>
      <c r="N65" s="4" t="s">
        <v>360</v>
      </c>
      <c r="O65" s="4"/>
      <c r="P65" s="4"/>
      <c r="Q65" s="4" t="s">
        <v>360</v>
      </c>
      <c r="S65" s="4" t="s">
        <v>360</v>
      </c>
      <c r="T65" s="2" t="str">
        <f>IF(Tabla_Compras_Extranjera[[#This Row],[id_padre]]=Tabla_Compras_Extranjera[[#This Row],[Id]],"NOK","OK")</f>
        <v>OK</v>
      </c>
    </row>
    <row r="66" spans="1:20" hidden="1" x14ac:dyDescent="0.5">
      <c r="A66">
        <f>MAX(Tabla_Activo_Fijo[Id])</f>
        <v>1511</v>
      </c>
      <c r="B66">
        <v>1574</v>
      </c>
      <c r="C66" s="5">
        <f>IF(Tabla_Compras_Extranjera[[#This Row],[id_padre]]="",0,_xlfn.XLOOKUP(Tabla_Compras_Extranjera[[#This Row],[id_padre]],Tabla_Compras_Extranjera[Id],Tabla_Compras_Extranjera[Nivel],0,0,1)+1)</f>
        <v>4</v>
      </c>
      <c r="D66" s="2" t="s">
        <v>1307</v>
      </c>
      <c r="E66">
        <f>IF(Tabla_Compras_Extranjera[[#This Row],[Id_anterior]]=1,ROW()-1,SUM(ROW()-1,Tabla_Compras_Extranjera[[#This Row],[Id_anterior]]))</f>
        <v>1576</v>
      </c>
      <c r="F6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COMPRAS_EXTRANJERA_COMEX_PROCESOS_ALTAS_FISICAS_GRUPO_ABASTECIMIENTO_INGRESO_ALTAS_FISCAS_X_NRO_PARTE</v>
      </c>
      <c r="G66" s="2" t="str">
        <f>CLEAN(PROPER(Tabla_Compras_Extranjera[[#This Row],[Nombre Opción]]))</f>
        <v>Ingreso Altas Fiscas X Nro Parte</v>
      </c>
      <c r="H66" s="2" t="s">
        <v>1735</v>
      </c>
      <c r="I66" s="2" t="str">
        <f>_xlfn.XLOOKUP(Tabla_Compras_Extranjera[[#This Row],[id_padre]],Tabla_Compras_Extranjera[Id],Tabla_Compras_Extranjera[Codigo_Tecnico],"",0,1)</f>
        <v>COMPRAS_EXTRANJERA_COMEX_PROCESOS_ALTAS_FISICAS_GRUPO_ABASTECIMIENTO</v>
      </c>
      <c r="J6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/compras-extranjera-comex/procesos/altas-fisicas/grupo-abastecimiento/ingreso-altas-fiscas-x-nro-parte</v>
      </c>
      <c r="K6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ingreso-altas-fiscas-x-nro-parte</v>
      </c>
      <c r="L66" s="6" t="s">
        <v>1406</v>
      </c>
      <c r="M66" t="s">
        <v>1796</v>
      </c>
      <c r="N66" s="4" t="s">
        <v>360</v>
      </c>
      <c r="O66" s="4"/>
      <c r="P66" s="4"/>
      <c r="Q66" s="4" t="s">
        <v>360</v>
      </c>
      <c r="S66" s="4" t="s">
        <v>360</v>
      </c>
      <c r="T66" s="2" t="str">
        <f>IF(Tabla_Compras_Extranjera[[#This Row],[id_padre]]=Tabla_Compras_Extranjera[[#This Row],[Id]],"NOK","OK")</f>
        <v>OK</v>
      </c>
    </row>
    <row r="67" spans="1:20" hidden="1" x14ac:dyDescent="0.5">
      <c r="A67">
        <f>MAX(Tabla_Activo_Fijo[Id])</f>
        <v>1511</v>
      </c>
      <c r="B67">
        <v>1574</v>
      </c>
      <c r="C67" s="5">
        <f>IF(Tabla_Compras_Extranjera[[#This Row],[id_padre]]="",0,_xlfn.XLOOKUP(Tabla_Compras_Extranjera[[#This Row],[id_padre]],Tabla_Compras_Extranjera[Id],Tabla_Compras_Extranjera[Nivel],0,0,1)+1)</f>
        <v>4</v>
      </c>
      <c r="D67" s="2" t="s">
        <v>1308</v>
      </c>
      <c r="E67">
        <f>IF(Tabla_Compras_Extranjera[[#This Row],[Id_anterior]]=1,ROW()-1,SUM(ROW()-1,Tabla_Compras_Extranjera[[#This Row],[Id_anterior]]))</f>
        <v>1577</v>
      </c>
      <c r="F6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COMPRAS_EXTRANJERA_COMEX_PROCESOS_ALTAS_FISICAS_GRUPO_ABASTECIMIENTO_IMANTTO_ALTAS_FISICAS_X_ORDEN_COMPRA</v>
      </c>
      <c r="G67" s="2" t="str">
        <f>CLEAN(PROPER(Tabla_Compras_Extranjera[[#This Row],[Nombre Opción]]))</f>
        <v>Imantto. Altas Fisicas X Orden De Compra</v>
      </c>
      <c r="H67" s="2" t="s">
        <v>1735</v>
      </c>
      <c r="I67" s="2" t="str">
        <f>_xlfn.XLOOKUP(Tabla_Compras_Extranjera[[#This Row],[id_padre]],Tabla_Compras_Extranjera[Id],Tabla_Compras_Extranjera[Codigo_Tecnico],"",0,1)</f>
        <v>COMPRAS_EXTRANJERA_COMEX_PROCESOS_ALTAS_FISICAS_GRUPO_ABASTECIMIENTO</v>
      </c>
      <c r="J6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/compras-extranjera-comex/procesos/altas-fisicas/grupo-abastecimiento/imantto-altas-fisicas-x-orden-compra</v>
      </c>
      <c r="K6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imantto-altas-fisicas-x-orden-compra</v>
      </c>
      <c r="L67" s="6" t="s">
        <v>1449</v>
      </c>
      <c r="M67" t="s">
        <v>1796</v>
      </c>
      <c r="N67" s="4" t="s">
        <v>360</v>
      </c>
      <c r="O67" s="4"/>
      <c r="P67" s="4"/>
      <c r="Q67" s="4" t="s">
        <v>360</v>
      </c>
      <c r="S67" s="4" t="s">
        <v>360</v>
      </c>
      <c r="T67" s="2" t="str">
        <f>IF(Tabla_Compras_Extranjera[[#This Row],[id_padre]]=Tabla_Compras_Extranjera[[#This Row],[Id]],"NOK","OK")</f>
        <v>OK</v>
      </c>
    </row>
    <row r="68" spans="1:20" hidden="1" x14ac:dyDescent="0.5">
      <c r="A68">
        <f>MAX(Tabla_Activo_Fijo[Id])</f>
        <v>1511</v>
      </c>
      <c r="B68">
        <v>1515</v>
      </c>
      <c r="C68" s="5">
        <f>IF(Tabla_Compras_Extranjera[[#This Row],[id_padre]]="",0,_xlfn.XLOOKUP(Tabla_Compras_Extranjera[[#This Row],[id_padre]],Tabla_Compras_Extranjera[Id],Tabla_Compras_Extranjera[Nivel],0,0,1)+1)</f>
        <v>2</v>
      </c>
      <c r="D68" s="2" t="s">
        <v>1683</v>
      </c>
      <c r="E68">
        <f>IF(Tabla_Compras_Extranjera[[#This Row],[Id_anterior]]=1,ROW()-1,SUM(ROW()-1,Tabla_Compras_Extranjera[[#This Row],[Id_anterior]]))</f>
        <v>1578</v>
      </c>
      <c r="F6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COMPRAS_EXTRANJERA_COMEX_CONSULTAS_ACTAS_RECEPCION</v>
      </c>
      <c r="G68" s="2" t="str">
        <f>CLEAN(PROPER(Tabla_Compras_Extranjera[[#This Row],[Nombre Opción]]))</f>
        <v>Actas De Recepción</v>
      </c>
      <c r="H68" s="2" t="s">
        <v>1735</v>
      </c>
      <c r="I68" s="2" t="str">
        <f>_xlfn.XLOOKUP(Tabla_Compras_Extranjera[[#This Row],[id_padre]],Tabla_Compras_Extranjera[Id],Tabla_Compras_Extranjera[Codigo_Tecnico],"",0,1)</f>
        <v>COMPRAS_EXTRANJERA_COMEX_CONSULTAS</v>
      </c>
      <c r="J6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/compras-extranjera-comex/consultas/actas-recepcion</v>
      </c>
      <c r="K6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actas-recepcion</v>
      </c>
      <c r="L68" s="6" t="s">
        <v>1412</v>
      </c>
      <c r="M68" t="s">
        <v>1796</v>
      </c>
      <c r="N68" s="4" t="s">
        <v>360</v>
      </c>
      <c r="O68" s="4" t="s">
        <v>360</v>
      </c>
      <c r="P68" s="4" t="s">
        <v>360</v>
      </c>
      <c r="Q68" s="4" t="s">
        <v>360</v>
      </c>
      <c r="R68" s="4" t="s">
        <v>360</v>
      </c>
      <c r="S68" s="4" t="s">
        <v>360</v>
      </c>
      <c r="T68" s="2" t="str">
        <f>IF(Tabla_Compras_Extranjera[[#This Row],[id_padre]]=Tabla_Compras_Extranjera[[#This Row],[Id]],"NOK","OK")</f>
        <v>OK</v>
      </c>
    </row>
    <row r="69" spans="1:20" hidden="1" x14ac:dyDescent="0.5">
      <c r="A69">
        <f>MAX(Tabla_Activo_Fijo[Id])</f>
        <v>1511</v>
      </c>
      <c r="B69">
        <v>1578</v>
      </c>
      <c r="C69" s="5">
        <f>IF(Tabla_Compras_Extranjera[[#This Row],[id_padre]]="",0,_xlfn.XLOOKUP(Tabla_Compras_Extranjera[[#This Row],[id_padre]],Tabla_Compras_Extranjera[Id],Tabla_Compras_Extranjera[Nivel],0,0,1)+1)</f>
        <v>3</v>
      </c>
      <c r="D69" s="2" t="s">
        <v>1684</v>
      </c>
      <c r="E69">
        <f>IF(Tabla_Compras_Extranjera[[#This Row],[Id_anterior]]=1,ROW()-1,SUM(ROW()-1,Tabla_Compras_Extranjera[[#This Row],[Id_anterior]]))</f>
        <v>1579</v>
      </c>
      <c r="F6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COMPRAS_EXTRANJERA_COMEX_CONSULTAS_ACTAS_RECEPCION_ACTA_RECEPCION_ESPECIFICA</v>
      </c>
      <c r="G69" s="2" t="str">
        <f>CLEAN(PROPER(Tabla_Compras_Extranjera[[#This Row],[Nombre Opción]]))</f>
        <v>Acta De Recepción Específica</v>
      </c>
      <c r="H69" s="2" t="s">
        <v>1735</v>
      </c>
      <c r="I69" s="2" t="str">
        <f>_xlfn.XLOOKUP(Tabla_Compras_Extranjera[[#This Row],[id_padre]],Tabla_Compras_Extranjera[Id],Tabla_Compras_Extranjera[Codigo_Tecnico],"",0,1)</f>
        <v>COMPRAS_EXTRANJERA_COMEX_CONSULTAS_ACTAS_RECEPCION</v>
      </c>
      <c r="J6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/compras-extranjera-comex/consultas/actas-recepcion/acta-recepcion-especifica</v>
      </c>
      <c r="K6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acta-recepcion-especifica</v>
      </c>
      <c r="L69" s="6" t="s">
        <v>1339</v>
      </c>
      <c r="M69" t="s">
        <v>1796</v>
      </c>
      <c r="N69" s="4" t="s">
        <v>360</v>
      </c>
      <c r="O69" s="4" t="s">
        <v>360</v>
      </c>
      <c r="P69" s="4" t="s">
        <v>360</v>
      </c>
      <c r="Q69" s="4" t="s">
        <v>360</v>
      </c>
      <c r="R69" s="4" t="s">
        <v>360</v>
      </c>
      <c r="S69" s="4" t="s">
        <v>360</v>
      </c>
      <c r="T69" s="2" t="str">
        <f>IF(Tabla_Compras_Extranjera[[#This Row],[id_padre]]=Tabla_Compras_Extranjera[[#This Row],[Id]],"NOK","OK")</f>
        <v>OK</v>
      </c>
    </row>
    <row r="70" spans="1:20" hidden="1" x14ac:dyDescent="0.5">
      <c r="A70">
        <f>MAX(Tabla_Activo_Fijo[Id])</f>
        <v>1511</v>
      </c>
      <c r="B70">
        <v>1578</v>
      </c>
      <c r="C70" s="5">
        <f>IF(Tabla_Compras_Extranjera[[#This Row],[id_padre]]="",0,_xlfn.XLOOKUP(Tabla_Compras_Extranjera[[#This Row],[id_padre]],Tabla_Compras_Extranjera[Id],Tabla_Compras_Extranjera[Nivel],0,0,1)+1)</f>
        <v>3</v>
      </c>
      <c r="D70" s="2" t="s">
        <v>1685</v>
      </c>
      <c r="E70">
        <f>IF(Tabla_Compras_Extranjera[[#This Row],[Id_anterior]]=1,ROW()-1,SUM(ROW()-1,Tabla_Compras_Extranjera[[#This Row],[Id_anterior]]))</f>
        <v>1580</v>
      </c>
      <c r="F7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COMPRAS_EXTRANJERA_COMEX_CONSULTAS_ACTAS_RECEPCION_RELACION_ACTAS_POR_FECHA</v>
      </c>
      <c r="G70" s="2" t="str">
        <f>CLEAN(PROPER(Tabla_Compras_Extranjera[[#This Row],[Nombre Opción]]))</f>
        <v>Relación De Actas Por Fecha</v>
      </c>
      <c r="H70" s="2" t="s">
        <v>1735</v>
      </c>
      <c r="I70" s="2" t="str">
        <f>_xlfn.XLOOKUP(Tabla_Compras_Extranjera[[#This Row],[id_padre]],Tabla_Compras_Extranjera[Id],Tabla_Compras_Extranjera[Codigo_Tecnico],"",0,1)</f>
        <v>COMPRAS_EXTRANJERA_COMEX_CONSULTAS_ACTAS_RECEPCION</v>
      </c>
      <c r="J7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/compras-extranjera-comex/consultas/actas-recepcion/relacion-actas-por-fecha</v>
      </c>
      <c r="K7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relacion-actas-por-fecha</v>
      </c>
      <c r="L70" s="6" t="s">
        <v>1372</v>
      </c>
      <c r="M70" t="s">
        <v>1796</v>
      </c>
      <c r="N70" s="4" t="s">
        <v>360</v>
      </c>
      <c r="O70" s="4" t="s">
        <v>360</v>
      </c>
      <c r="P70" s="4" t="s">
        <v>360</v>
      </c>
      <c r="Q70" s="4" t="s">
        <v>360</v>
      </c>
      <c r="R70" s="4" t="s">
        <v>360</v>
      </c>
      <c r="S70" s="4" t="s">
        <v>360</v>
      </c>
      <c r="T70" s="2" t="str">
        <f>IF(Tabla_Compras_Extranjera[[#This Row],[id_padre]]=Tabla_Compras_Extranjera[[#This Row],[Id]],"NOK","OK")</f>
        <v>OK</v>
      </c>
    </row>
    <row r="71" spans="1:20" hidden="1" x14ac:dyDescent="0.5">
      <c r="A71">
        <f>MAX(Tabla_Activo_Fijo[Id])</f>
        <v>1511</v>
      </c>
      <c r="B71">
        <v>1515</v>
      </c>
      <c r="C71" s="5">
        <f>IF(Tabla_Compras_Extranjera[[#This Row],[id_padre]]="",0,_xlfn.XLOOKUP(Tabla_Compras_Extranjera[[#This Row],[id_padre]],Tabla_Compras_Extranjera[Id],Tabla_Compras_Extranjera[Nivel],0,0,1)+1)</f>
        <v>2</v>
      </c>
      <c r="D71" s="2" t="s">
        <v>1682</v>
      </c>
      <c r="E71">
        <f>IF(Tabla_Compras_Extranjera[[#This Row],[Id_anterior]]=1,ROW()-1,SUM(ROW()-1,Tabla_Compras_Extranjera[[#This Row],[Id_anterior]]))</f>
        <v>1581</v>
      </c>
      <c r="F7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COMPRAS_EXTRANJERA_COMEX_CONSULTAS_DE_PROVEEDORES</v>
      </c>
      <c r="G71" s="2" t="str">
        <f>CLEAN(PROPER(Tabla_Compras_Extranjera[[#This Row],[Nombre Opción]]))</f>
        <v>De Proveedores</v>
      </c>
      <c r="H71" s="2" t="s">
        <v>1735</v>
      </c>
      <c r="I71" s="2" t="str">
        <f>_xlfn.XLOOKUP(Tabla_Compras_Extranjera[[#This Row],[id_padre]],Tabla_Compras_Extranjera[Id],Tabla_Compras_Extranjera[Codigo_Tecnico],"",0,1)</f>
        <v>COMPRAS_EXTRANJERA_COMEX_CONSULTAS</v>
      </c>
      <c r="J7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/compras-extranjera-comex/consultas/de-proveedores</v>
      </c>
      <c r="K7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de-proveedores</v>
      </c>
      <c r="L71" s="6" t="s">
        <v>1399</v>
      </c>
      <c r="M71" t="s">
        <v>1796</v>
      </c>
      <c r="N71" s="4" t="s">
        <v>360</v>
      </c>
      <c r="O71" s="4" t="s">
        <v>360</v>
      </c>
      <c r="P71" s="4" t="s">
        <v>360</v>
      </c>
      <c r="Q71" s="4" t="s">
        <v>360</v>
      </c>
      <c r="R71" s="4" t="s">
        <v>360</v>
      </c>
      <c r="S71" s="4" t="s">
        <v>360</v>
      </c>
      <c r="T71" s="2" t="str">
        <f>IF(Tabla_Compras_Extranjera[[#This Row],[id_padre]]=Tabla_Compras_Extranjera[[#This Row],[Id]],"NOK","OK")</f>
        <v>OK</v>
      </c>
    </row>
    <row r="72" spans="1:20" hidden="1" x14ac:dyDescent="0.5">
      <c r="A72">
        <f>MAX(Tabla_Activo_Fijo[Id])</f>
        <v>1511</v>
      </c>
      <c r="B72">
        <v>1581</v>
      </c>
      <c r="C72" s="5">
        <f>IF(Tabla_Compras_Extranjera[[#This Row],[id_padre]]="",0,_xlfn.XLOOKUP(Tabla_Compras_Extranjera[[#This Row],[id_padre]],Tabla_Compras_Extranjera[Id],Tabla_Compras_Extranjera[Nivel],0,0,1)+1)</f>
        <v>3</v>
      </c>
      <c r="D72" s="2" t="s">
        <v>1686</v>
      </c>
      <c r="E72">
        <f>IF(Tabla_Compras_Extranjera[[#This Row],[Id_anterior]]=1,ROW()-1,SUM(ROW()-1,Tabla_Compras_Extranjera[[#This Row],[Id_anterior]]))</f>
        <v>1582</v>
      </c>
      <c r="F7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COMPRAS_EXTRANJERA_COMEX_CONSULTAS_DE_PROVEEDORES_ANTECEDENTES_PERSONALES</v>
      </c>
      <c r="G72" s="2" t="str">
        <f>CLEAN(PROPER(Tabla_Compras_Extranjera[[#This Row],[Nombre Opción]]))</f>
        <v>Antecedentes Personales</v>
      </c>
      <c r="H72" s="2" t="s">
        <v>1735</v>
      </c>
      <c r="I72" s="2" t="str">
        <f>_xlfn.XLOOKUP(Tabla_Compras_Extranjera[[#This Row],[id_padre]],Tabla_Compras_Extranjera[Id],Tabla_Compras_Extranjera[Codigo_Tecnico],"",0,1)</f>
        <v>COMPRAS_EXTRANJERA_COMEX_CONSULTAS_DE_PROVEEDORES</v>
      </c>
      <c r="J7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/compras-extranjera-comex/consultas/de-proveedores/antecedentes-personales</v>
      </c>
      <c r="K7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antecedentes-personales</v>
      </c>
      <c r="L72" s="6" t="s">
        <v>1378</v>
      </c>
      <c r="M72" t="s">
        <v>1796</v>
      </c>
      <c r="N72" s="4" t="s">
        <v>360</v>
      </c>
      <c r="O72" s="4" t="s">
        <v>360</v>
      </c>
      <c r="P72" s="4" t="s">
        <v>360</v>
      </c>
      <c r="Q72" s="4" t="s">
        <v>360</v>
      </c>
      <c r="R72" s="4" t="s">
        <v>360</v>
      </c>
      <c r="S72" s="4" t="s">
        <v>360</v>
      </c>
      <c r="T72" s="2" t="str">
        <f>IF(Tabla_Compras_Extranjera[[#This Row],[id_padre]]=Tabla_Compras_Extranjera[[#This Row],[Id]],"NOK","OK")</f>
        <v>OK</v>
      </c>
    </row>
    <row r="73" spans="1:20" hidden="1" x14ac:dyDescent="0.5">
      <c r="A73">
        <f>MAX(Tabla_Activo_Fijo[Id])</f>
        <v>1511</v>
      </c>
      <c r="B73">
        <v>1581</v>
      </c>
      <c r="C73" s="5">
        <f>IF(Tabla_Compras_Extranjera[[#This Row],[id_padre]]="",0,_xlfn.XLOOKUP(Tabla_Compras_Extranjera[[#This Row],[id_padre]],Tabla_Compras_Extranjera[Id],Tabla_Compras_Extranjera[Nivel],0,0,1)+1)</f>
        <v>3</v>
      </c>
      <c r="D73" s="2" t="s">
        <v>1687</v>
      </c>
      <c r="E73">
        <f>IF(Tabla_Compras_Extranjera[[#This Row],[Id_anterior]]=1,ROW()-1,SUM(ROW()-1,Tabla_Compras_Extranjera[[#This Row],[Id_anterior]]))</f>
        <v>1583</v>
      </c>
      <c r="F7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COMPRAS_EXTRANJERA_COMEX_CONSULTAS_DE_PROVEEDORES_INDICE_PROVEEDORES_X_CENTRO_COMPRAS</v>
      </c>
      <c r="G73" s="2" t="str">
        <f>CLEAN(PROPER(Tabla_Compras_Extranjera[[#This Row],[Nombre Opción]]))</f>
        <v>Indice De Proveedores X Centro Compras</v>
      </c>
      <c r="H73" s="2" t="s">
        <v>1735</v>
      </c>
      <c r="I73" s="2" t="str">
        <f>_xlfn.XLOOKUP(Tabla_Compras_Extranjera[[#This Row],[id_padre]],Tabla_Compras_Extranjera[Id],Tabla_Compras_Extranjera[Codigo_Tecnico],"",0,1)</f>
        <v>COMPRAS_EXTRANJERA_COMEX_CONSULTAS_DE_PROVEEDORES</v>
      </c>
      <c r="J7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/compras-extranjera-comex/consultas/de-proveedores/indice-proveedores-x-centro-compras</v>
      </c>
      <c r="K7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indice-proveedores-x-centro-compras</v>
      </c>
      <c r="L73" s="6" t="s">
        <v>1341</v>
      </c>
      <c r="M73" t="s">
        <v>1796</v>
      </c>
      <c r="N73" s="4" t="s">
        <v>360</v>
      </c>
      <c r="O73" s="4" t="s">
        <v>360</v>
      </c>
      <c r="P73" s="4" t="s">
        <v>360</v>
      </c>
      <c r="Q73" s="4" t="s">
        <v>360</v>
      </c>
      <c r="R73" s="4" t="s">
        <v>360</v>
      </c>
      <c r="S73" s="4" t="s">
        <v>360</v>
      </c>
      <c r="T73" s="2" t="str">
        <f>IF(Tabla_Compras_Extranjera[[#This Row],[id_padre]]=Tabla_Compras_Extranjera[[#This Row],[Id]],"NOK","OK")</f>
        <v>OK</v>
      </c>
    </row>
    <row r="74" spans="1:20" hidden="1" x14ac:dyDescent="0.5">
      <c r="A74">
        <f>MAX(Tabla_Activo_Fijo[Id])</f>
        <v>1511</v>
      </c>
      <c r="B74">
        <v>1581</v>
      </c>
      <c r="C74" s="5">
        <f>IF(Tabla_Compras_Extranjera[[#This Row],[id_padre]]="",0,_xlfn.XLOOKUP(Tabla_Compras_Extranjera[[#This Row],[id_padre]],Tabla_Compras_Extranjera[Id],Tabla_Compras_Extranjera[Nivel],0,0,1)+1)</f>
        <v>3</v>
      </c>
      <c r="D74" s="2" t="s">
        <v>1688</v>
      </c>
      <c r="E74">
        <f>IF(Tabla_Compras_Extranjera[[#This Row],[Id_anterior]]=1,ROW()-1,SUM(ROW()-1,Tabla_Compras_Extranjera[[#This Row],[Id_anterior]]))</f>
        <v>1584</v>
      </c>
      <c r="F7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COMPRAS_EXTRANJERA_COMEX_CONSULTAS_DE_PROVEEDORES_INDICE_PROVEEDORES_X_NOMBRE</v>
      </c>
      <c r="G74" s="2" t="str">
        <f>CLEAN(PROPER(Tabla_Compras_Extranjera[[#This Row],[Nombre Opción]]))</f>
        <v>Indice De Proveedores X Nombre</v>
      </c>
      <c r="H74" s="2" t="s">
        <v>1735</v>
      </c>
      <c r="I74" s="2" t="str">
        <f>_xlfn.XLOOKUP(Tabla_Compras_Extranjera[[#This Row],[id_padre]],Tabla_Compras_Extranjera[Id],Tabla_Compras_Extranjera[Codigo_Tecnico],"",0,1)</f>
        <v>COMPRAS_EXTRANJERA_COMEX_CONSULTAS_DE_PROVEEDORES</v>
      </c>
      <c r="J7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/compras-extranjera-comex/consultas/de-proveedores/indice-proveedores-x-nombre</v>
      </c>
      <c r="K7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indice-proveedores-x-nombre</v>
      </c>
      <c r="L74" s="6" t="s">
        <v>1377</v>
      </c>
      <c r="M74" t="s">
        <v>1796</v>
      </c>
      <c r="N74" s="4" t="s">
        <v>360</v>
      </c>
      <c r="O74" s="4" t="s">
        <v>360</v>
      </c>
      <c r="P74" s="4" t="s">
        <v>360</v>
      </c>
      <c r="Q74" s="4" t="s">
        <v>360</v>
      </c>
      <c r="R74" s="4" t="s">
        <v>360</v>
      </c>
      <c r="S74" s="4" t="s">
        <v>360</v>
      </c>
      <c r="T74" s="2" t="str">
        <f>IF(Tabla_Compras_Extranjera[[#This Row],[id_padre]]=Tabla_Compras_Extranjera[[#This Row],[Id]],"NOK","OK")</f>
        <v>OK</v>
      </c>
    </row>
    <row r="75" spans="1:20" hidden="1" x14ac:dyDescent="0.5">
      <c r="A75">
        <f>MAX(Tabla_Activo_Fijo[Id])</f>
        <v>1511</v>
      </c>
      <c r="B75">
        <v>1515</v>
      </c>
      <c r="C75" s="5">
        <f>IF(Tabla_Compras_Extranjera[[#This Row],[id_padre]]="",0,_xlfn.XLOOKUP(Tabla_Compras_Extranjera[[#This Row],[id_padre]],Tabla_Compras_Extranjera[Id],Tabla_Compras_Extranjera[Nivel],0,0,1)+1)</f>
        <v>2</v>
      </c>
      <c r="D75" s="2" t="s">
        <v>1309</v>
      </c>
      <c r="E75">
        <f>IF(Tabla_Compras_Extranjera[[#This Row],[Id_anterior]]=1,ROW()-1,SUM(ROW()-1,Tabla_Compras_Extranjera[[#This Row],[Id_anterior]]))</f>
        <v>1585</v>
      </c>
      <c r="F7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COMPRAS_EXTRANJERA_COMEX_CONSULTAS_SALDO_PRESUPUESTARIO_UNIDAD_INTERNA</v>
      </c>
      <c r="G75" s="2" t="str">
        <f>CLEAN(PROPER(Tabla_Compras_Extranjera[[#This Row],[Nombre Opción]]))</f>
        <v>Saldo Presupuestario Unidad Interna</v>
      </c>
      <c r="H75" s="2" t="s">
        <v>1735</v>
      </c>
      <c r="I75" s="2" t="str">
        <f>_xlfn.XLOOKUP(Tabla_Compras_Extranjera[[#This Row],[id_padre]],Tabla_Compras_Extranjera[Id],Tabla_Compras_Extranjera[Codigo_Tecnico],"",0,1)</f>
        <v>COMPRAS_EXTRANJERA_COMEX_CONSULTAS</v>
      </c>
      <c r="J7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/compras-extranjera-comex/consultas/saldo-presupuestario-unidad-interna</v>
      </c>
      <c r="K7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saldo-presupuestario-unidad-interna</v>
      </c>
      <c r="L75" s="6" t="s">
        <v>1395</v>
      </c>
      <c r="M75" t="s">
        <v>1796</v>
      </c>
      <c r="N75" s="4" t="s">
        <v>360</v>
      </c>
      <c r="O75" s="4" t="s">
        <v>360</v>
      </c>
      <c r="P75" s="4" t="s">
        <v>360</v>
      </c>
      <c r="Q75" s="4" t="s">
        <v>360</v>
      </c>
      <c r="R75" s="4" t="s">
        <v>360</v>
      </c>
      <c r="S75" s="4" t="s">
        <v>360</v>
      </c>
      <c r="T75" s="2" t="str">
        <f>IF(Tabla_Compras_Extranjera[[#This Row],[id_padre]]=Tabla_Compras_Extranjera[[#This Row],[Id]],"NOK","OK")</f>
        <v>OK</v>
      </c>
    </row>
    <row r="76" spans="1:20" hidden="1" x14ac:dyDescent="0.5">
      <c r="A76">
        <f>MAX(Tabla_Activo_Fijo[Id])</f>
        <v>1511</v>
      </c>
      <c r="B76">
        <v>1515</v>
      </c>
      <c r="C76" s="5">
        <f>IF(Tabla_Compras_Extranjera[[#This Row],[id_padre]]="",0,_xlfn.XLOOKUP(Tabla_Compras_Extranjera[[#This Row],[id_padre]],Tabla_Compras_Extranjera[Id],Tabla_Compras_Extranjera[Nivel],0,0,1)+1)</f>
        <v>2</v>
      </c>
      <c r="D76" s="2" t="s">
        <v>1681</v>
      </c>
      <c r="E76">
        <f>IF(Tabla_Compras_Extranjera[[#This Row],[Id_anterior]]=1,ROW()-1,SUM(ROW()-1,Tabla_Compras_Extranjera[[#This Row],[Id_anterior]]))</f>
        <v>1586</v>
      </c>
      <c r="F7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</v>
      </c>
      <c r="G76" s="2" t="str">
        <f>CLEAN(PROPER(Tabla_Compras_Extranjera[[#This Row],[Nombre Opción]]))</f>
        <v>Memos</v>
      </c>
      <c r="H76" s="2" t="s">
        <v>1735</v>
      </c>
      <c r="I76" s="2" t="str">
        <f>_xlfn.XLOOKUP(Tabla_Compras_Extranjera[[#This Row],[id_padre]],Tabla_Compras_Extranjera[Id],Tabla_Compras_Extranjera[Codigo_Tecnico],"",0,1)</f>
        <v>COMPRAS_EXTRANJERA_COMEX_CONSULTAS</v>
      </c>
      <c r="J7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</v>
      </c>
      <c r="K7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memos</v>
      </c>
      <c r="L76" s="6" t="s">
        <v>1494</v>
      </c>
      <c r="M76" t="s">
        <v>1796</v>
      </c>
      <c r="N76" s="4" t="s">
        <v>360</v>
      </c>
      <c r="O76" s="4" t="s">
        <v>360</v>
      </c>
      <c r="P76" s="4" t="s">
        <v>360</v>
      </c>
      <c r="Q76" s="4" t="s">
        <v>360</v>
      </c>
      <c r="R76" s="4" t="s">
        <v>360</v>
      </c>
      <c r="S76" s="4" t="s">
        <v>360</v>
      </c>
      <c r="T76" s="2" t="str">
        <f>IF(Tabla_Compras_Extranjera[[#This Row],[id_padre]]=Tabla_Compras_Extranjera[[#This Row],[Id]],"NOK","OK")</f>
        <v>OK</v>
      </c>
    </row>
    <row r="77" spans="1:20" hidden="1" x14ac:dyDescent="0.5">
      <c r="A77">
        <f>MAX(Tabla_Activo_Fijo[Id])</f>
        <v>1511</v>
      </c>
      <c r="B77">
        <v>1586</v>
      </c>
      <c r="C77" s="5">
        <f>IF(Tabla_Compras_Extranjera[[#This Row],[id_padre]]="",0,_xlfn.XLOOKUP(Tabla_Compras_Extranjera[[#This Row],[id_padre]],Tabla_Compras_Extranjera[Id],Tabla_Compras_Extranjera[Nivel],0,0,1)+1)</f>
        <v>3</v>
      </c>
      <c r="D77" s="2" t="s">
        <v>1689</v>
      </c>
      <c r="E77">
        <f>IF(Tabla_Compras_Extranjera[[#This Row],[Id_anterior]]=1,ROW()-1,SUM(ROW()-1,Tabla_Compras_Extranjera[[#This Row],[Id_anterior]]))</f>
        <v>1587</v>
      </c>
      <c r="F7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COMPRAS_EXTRANJERA_COMEX_CONSULTAS_MEMOS_DE_MEMO_ESPECIFICO</v>
      </c>
      <c r="G77" s="2" t="str">
        <f>CLEAN(PROPER(Tabla_Compras_Extranjera[[#This Row],[Nombre Opción]]))</f>
        <v>De Memo Específico</v>
      </c>
      <c r="H77" s="2" t="s">
        <v>1735</v>
      </c>
      <c r="I77" s="2" t="str">
        <f>_xlfn.XLOOKUP(Tabla_Compras_Extranjera[[#This Row],[id_padre]],Tabla_Compras_Extranjera[Id],Tabla_Compras_Extranjera[Codigo_Tecnico],"",0,1)</f>
        <v>COMPRAS_EXTRANJERA_COMEX_CONSULTAS_MEMOS</v>
      </c>
      <c r="J7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/compras-extranjera-comex/consultas/memos/de-memo-especifico</v>
      </c>
      <c r="K7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de-memo-especifico</v>
      </c>
      <c r="L77" s="6" t="s">
        <v>1542</v>
      </c>
      <c r="M77" t="s">
        <v>1796</v>
      </c>
      <c r="N77" s="4" t="s">
        <v>360</v>
      </c>
      <c r="O77" s="4" t="s">
        <v>360</v>
      </c>
      <c r="P77" s="4" t="s">
        <v>360</v>
      </c>
      <c r="Q77" s="4" t="s">
        <v>360</v>
      </c>
      <c r="R77" s="4" t="s">
        <v>360</v>
      </c>
      <c r="S77" s="4" t="s">
        <v>360</v>
      </c>
      <c r="T77" s="2" t="str">
        <f>IF(Tabla_Compras_Extranjera[[#This Row],[id_padre]]=Tabla_Compras_Extranjera[[#This Row],[Id]],"NOK","OK")</f>
        <v>OK</v>
      </c>
    </row>
    <row r="78" spans="1:20" hidden="1" x14ac:dyDescent="0.5">
      <c r="A78">
        <f>MAX(Tabla_Activo_Fijo[Id])</f>
        <v>1511</v>
      </c>
      <c r="B78">
        <v>1586</v>
      </c>
      <c r="C78" s="5">
        <f>IF(Tabla_Compras_Extranjera[[#This Row],[id_padre]]="",0,_xlfn.XLOOKUP(Tabla_Compras_Extranjera[[#This Row],[id_padre]],Tabla_Compras_Extranjera[Id],Tabla_Compras_Extranjera[Nivel],0,0,1)+1)</f>
        <v>3</v>
      </c>
      <c r="D78" s="2" t="s">
        <v>1690</v>
      </c>
      <c r="E78">
        <f>IF(Tabla_Compras_Extranjera[[#This Row],[Id_anterior]]=1,ROW()-1,SUM(ROW()-1,Tabla_Compras_Extranjera[[#This Row],[Id_anterior]]))</f>
        <v>1588</v>
      </c>
      <c r="F7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COMPRAS_EXTRANJERA_COMEX_CONSULTAS_MEMOS_DE_MEMOS_POR_TAREAS</v>
      </c>
      <c r="G78" s="2" t="str">
        <f>CLEAN(PROPER(Tabla_Compras_Extranjera[[#This Row],[Nombre Opción]]))</f>
        <v>De Memos Por Tareas</v>
      </c>
      <c r="H78" s="2" t="s">
        <v>1735</v>
      </c>
      <c r="I78" s="2" t="str">
        <f>_xlfn.XLOOKUP(Tabla_Compras_Extranjera[[#This Row],[id_padre]],Tabla_Compras_Extranjera[Id],Tabla_Compras_Extranjera[Codigo_Tecnico],"",0,1)</f>
        <v>COMPRAS_EXTRANJERA_COMEX_CONSULTAS_MEMOS</v>
      </c>
      <c r="J7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/compras-extranjera-comex/consultas/memos/de-memos-por-tareas</v>
      </c>
      <c r="K7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de-memos-por-tareas</v>
      </c>
      <c r="L78" s="6" t="s">
        <v>1728</v>
      </c>
      <c r="M78" t="s">
        <v>1796</v>
      </c>
      <c r="N78" s="4" t="s">
        <v>360</v>
      </c>
      <c r="O78" s="4" t="s">
        <v>360</v>
      </c>
      <c r="P78" s="4" t="s">
        <v>360</v>
      </c>
      <c r="Q78" s="4" t="s">
        <v>360</v>
      </c>
      <c r="R78" s="4" t="s">
        <v>360</v>
      </c>
      <c r="S78" s="4" t="s">
        <v>360</v>
      </c>
      <c r="T78" s="2" t="str">
        <f>IF(Tabla_Compras_Extranjera[[#This Row],[id_padre]]=Tabla_Compras_Extranjera[[#This Row],[Id]],"NOK","OK")</f>
        <v>OK</v>
      </c>
    </row>
    <row r="79" spans="1:20" hidden="1" x14ac:dyDescent="0.5">
      <c r="A79">
        <f>MAX(Tabla_Activo_Fijo[Id])</f>
        <v>1511</v>
      </c>
      <c r="B79">
        <v>1586</v>
      </c>
      <c r="C79" s="5">
        <f>IF(Tabla_Compras_Extranjera[[#This Row],[id_padre]]="",0,_xlfn.XLOOKUP(Tabla_Compras_Extranjera[[#This Row],[id_padre]],Tabla_Compras_Extranjera[Id],Tabla_Compras_Extranjera[Nivel],0,0,1)+1)</f>
        <v>3</v>
      </c>
      <c r="D79" s="2" t="s">
        <v>1691</v>
      </c>
      <c r="E79">
        <f>IF(Tabla_Compras_Extranjera[[#This Row],[Id_anterior]]=1,ROW()-1,SUM(ROW()-1,Tabla_Compras_Extranjera[[#This Row],[Id_anterior]]))</f>
        <v>1589</v>
      </c>
      <c r="F7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COMPRAS_EXTRANJERA_COMEX_CONSULTAS_MEMOS_DE_MEMOS_POR_CUENTA</v>
      </c>
      <c r="G79" s="2" t="str">
        <f>CLEAN(PROPER(Tabla_Compras_Extranjera[[#This Row],[Nombre Opción]]))</f>
        <v>De Memos Por Cuenta</v>
      </c>
      <c r="H79" s="2" t="s">
        <v>1735</v>
      </c>
      <c r="I79" s="2" t="str">
        <f>_xlfn.XLOOKUP(Tabla_Compras_Extranjera[[#This Row],[id_padre]],Tabla_Compras_Extranjera[Id],Tabla_Compras_Extranjera[Codigo_Tecnico],"",0,1)</f>
        <v>COMPRAS_EXTRANJERA_COMEX_CONSULTAS_MEMOS</v>
      </c>
      <c r="J7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/compras-extranjera-comex/consultas/memos/de-memos-por-cuenta</v>
      </c>
      <c r="K7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de-memos-por-cuenta</v>
      </c>
      <c r="L79" s="6" t="s">
        <v>1367</v>
      </c>
      <c r="M79" t="s">
        <v>1796</v>
      </c>
      <c r="N79" s="4" t="s">
        <v>360</v>
      </c>
      <c r="O79" s="4" t="s">
        <v>360</v>
      </c>
      <c r="P79" s="4" t="s">
        <v>360</v>
      </c>
      <c r="Q79" s="4" t="s">
        <v>360</v>
      </c>
      <c r="R79" s="4" t="s">
        <v>360</v>
      </c>
      <c r="S79" s="4" t="s">
        <v>360</v>
      </c>
      <c r="T79" s="2" t="str">
        <f>IF(Tabla_Compras_Extranjera[[#This Row],[id_padre]]=Tabla_Compras_Extranjera[[#This Row],[Id]],"NOK","OK")</f>
        <v>OK</v>
      </c>
    </row>
    <row r="80" spans="1:20" hidden="1" x14ac:dyDescent="0.5">
      <c r="A80">
        <f>MAX(Tabla_Activo_Fijo[Id])</f>
        <v>1511</v>
      </c>
      <c r="B80">
        <v>1586</v>
      </c>
      <c r="C80" s="5">
        <f>IF(Tabla_Compras_Extranjera[[#This Row],[id_padre]]="",0,_xlfn.XLOOKUP(Tabla_Compras_Extranjera[[#This Row],[id_padre]],Tabla_Compras_Extranjera[Id],Tabla_Compras_Extranjera[Nivel],0,0,1)+1)</f>
        <v>3</v>
      </c>
      <c r="D80" s="2" t="s">
        <v>1692</v>
      </c>
      <c r="E80">
        <f>IF(Tabla_Compras_Extranjera[[#This Row],[Id_anterior]]=1,ROW()-1,SUM(ROW()-1,Tabla_Compras_Extranjera[[#This Row],[Id_anterior]]))</f>
        <v>1590</v>
      </c>
      <c r="F8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COMPRAS_EXTRANJERA_COMEX_CONSULTAS_MEMOS_DE_MEMOS_POR_PROYECTO</v>
      </c>
      <c r="G80" s="2" t="str">
        <f>CLEAN(PROPER(Tabla_Compras_Extranjera[[#This Row],[Nombre Opción]]))</f>
        <v>De Memos Por Proyecto</v>
      </c>
      <c r="H80" s="2" t="s">
        <v>1735</v>
      </c>
      <c r="I80" s="2" t="str">
        <f>_xlfn.XLOOKUP(Tabla_Compras_Extranjera[[#This Row],[id_padre]],Tabla_Compras_Extranjera[Id],Tabla_Compras_Extranjera[Codigo_Tecnico],"",0,1)</f>
        <v>COMPRAS_EXTRANJERA_COMEX_CONSULTAS_MEMOS</v>
      </c>
      <c r="J8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/compras-extranjera-comex/consultas/memos/de-memos-por-proyecto</v>
      </c>
      <c r="K8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de-memos-por-proyecto</v>
      </c>
      <c r="L80" s="6" t="s">
        <v>1548</v>
      </c>
      <c r="M80" t="s">
        <v>1796</v>
      </c>
      <c r="N80" s="4" t="s">
        <v>360</v>
      </c>
      <c r="O80" s="4" t="s">
        <v>360</v>
      </c>
      <c r="P80" s="4" t="s">
        <v>360</v>
      </c>
      <c r="Q80" s="4" t="s">
        <v>360</v>
      </c>
      <c r="R80" s="4" t="s">
        <v>360</v>
      </c>
      <c r="S80" s="4" t="s">
        <v>360</v>
      </c>
      <c r="T80" s="2" t="str">
        <f>IF(Tabla_Compras_Extranjera[[#This Row],[id_padre]]=Tabla_Compras_Extranjera[[#This Row],[Id]],"NOK","OK")</f>
        <v>OK</v>
      </c>
    </row>
    <row r="81" spans="1:20" hidden="1" x14ac:dyDescent="0.5">
      <c r="A81">
        <f>MAX(Tabla_Activo_Fijo[Id])</f>
        <v>1511</v>
      </c>
      <c r="B81">
        <v>1586</v>
      </c>
      <c r="C81" s="5">
        <f>IF(Tabla_Compras_Extranjera[[#This Row],[id_padre]]="",0,_xlfn.XLOOKUP(Tabla_Compras_Extranjera[[#This Row],[id_padre]],Tabla_Compras_Extranjera[Id],Tabla_Compras_Extranjera[Nivel],0,0,1)+1)</f>
        <v>3</v>
      </c>
      <c r="D81" s="2" t="s">
        <v>1693</v>
      </c>
      <c r="E81">
        <f>IF(Tabla_Compras_Extranjera[[#This Row],[Id_anterior]]=1,ROW()-1,SUM(ROW()-1,Tabla_Compras_Extranjera[[#This Row],[Id_anterior]]))</f>
        <v>1591</v>
      </c>
      <c r="F8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COMPRAS_EXTRANJERA_COMEX_CONSULTAS_MEMOS_DE_MEMOS_POR_CASOS_FMS</v>
      </c>
      <c r="G81" s="2" t="str">
        <f>CLEAN(PROPER(Tabla_Compras_Extranjera[[#This Row],[Nombre Opción]]))</f>
        <v>De Memos Por Casos F.M.S.</v>
      </c>
      <c r="H81" s="2" t="s">
        <v>1735</v>
      </c>
      <c r="I81" s="2" t="str">
        <f>_xlfn.XLOOKUP(Tabla_Compras_Extranjera[[#This Row],[id_padre]],Tabla_Compras_Extranjera[Id],Tabla_Compras_Extranjera[Codigo_Tecnico],"",0,1)</f>
        <v>COMPRAS_EXTRANJERA_COMEX_CONSULTAS_MEMOS</v>
      </c>
      <c r="J8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/compras-extranjera-comex/consultas/memos/de-memos-por-casos-fms</v>
      </c>
      <c r="K8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de-memos-por-casos-fms</v>
      </c>
      <c r="L81" s="6" t="s">
        <v>1549</v>
      </c>
      <c r="M81" t="s">
        <v>1796</v>
      </c>
      <c r="N81" s="4" t="s">
        <v>360</v>
      </c>
      <c r="O81" s="4" t="s">
        <v>360</v>
      </c>
      <c r="P81" s="4" t="s">
        <v>360</v>
      </c>
      <c r="Q81" s="4" t="s">
        <v>360</v>
      </c>
      <c r="R81" s="4" t="s">
        <v>360</v>
      </c>
      <c r="S81" s="4" t="s">
        <v>360</v>
      </c>
      <c r="T81" s="2" t="str">
        <f>IF(Tabla_Compras_Extranjera[[#This Row],[id_padre]]=Tabla_Compras_Extranjera[[#This Row],[Id]],"NOK","OK")</f>
        <v>OK</v>
      </c>
    </row>
    <row r="82" spans="1:20" hidden="1" x14ac:dyDescent="0.5">
      <c r="A82">
        <f>MAX(Tabla_Activo_Fijo[Id])</f>
        <v>1511</v>
      </c>
      <c r="B82">
        <v>1586</v>
      </c>
      <c r="C82" s="5">
        <f>IF(Tabla_Compras_Extranjera[[#This Row],[id_padre]]="",0,_xlfn.XLOOKUP(Tabla_Compras_Extranjera[[#This Row],[id_padre]],Tabla_Compras_Extranjera[Id],Tabla_Compras_Extranjera[Nivel],0,0,1)+1)</f>
        <v>3</v>
      </c>
      <c r="D82" s="2" t="s">
        <v>1694</v>
      </c>
      <c r="E82">
        <f>IF(Tabla_Compras_Extranjera[[#This Row],[Id_anterior]]=1,ROW()-1,SUM(ROW()-1,Tabla_Compras_Extranjera[[#This Row],[Id_anterior]]))</f>
        <v>1592</v>
      </c>
      <c r="F8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COMPRAS_EXTRANJERA_COMEX_CONSULTAS_MEMOS_DE_REQUERIMIENTOS_POR_MEMOS</v>
      </c>
      <c r="G82" s="2" t="str">
        <f>CLEAN(PROPER(Tabla_Compras_Extranjera[[#This Row],[Nombre Opción]]))</f>
        <v>De Requerimientos Por Memos</v>
      </c>
      <c r="H82" s="2" t="s">
        <v>1735</v>
      </c>
      <c r="I82" s="2" t="str">
        <f>_xlfn.XLOOKUP(Tabla_Compras_Extranjera[[#This Row],[id_padre]],Tabla_Compras_Extranjera[Id],Tabla_Compras_Extranjera[Codigo_Tecnico],"",0,1)</f>
        <v>COMPRAS_EXTRANJERA_COMEX_CONSULTAS_MEMOS</v>
      </c>
      <c r="J8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/compras-extranjera-comex/consultas/memos/de-requerimientos-por-memos</v>
      </c>
      <c r="K8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de-requerimientos-por-memos</v>
      </c>
      <c r="L82" s="6" t="s">
        <v>1726</v>
      </c>
      <c r="M82" t="s">
        <v>1796</v>
      </c>
      <c r="N82" s="4" t="s">
        <v>360</v>
      </c>
      <c r="O82" s="4" t="s">
        <v>360</v>
      </c>
      <c r="P82" s="4" t="s">
        <v>360</v>
      </c>
      <c r="Q82" s="4" t="s">
        <v>360</v>
      </c>
      <c r="R82" s="4" t="s">
        <v>360</v>
      </c>
      <c r="S82" s="4" t="s">
        <v>360</v>
      </c>
      <c r="T82" s="2" t="str">
        <f>IF(Tabla_Compras_Extranjera[[#This Row],[id_padre]]=Tabla_Compras_Extranjera[[#This Row],[Id]],"NOK","OK")</f>
        <v>OK</v>
      </c>
    </row>
    <row r="83" spans="1:20" hidden="1" x14ac:dyDescent="0.5">
      <c r="A83">
        <f>MAX(Tabla_Activo_Fijo[Id])</f>
        <v>1511</v>
      </c>
      <c r="B83">
        <v>1586</v>
      </c>
      <c r="C83" s="5">
        <f>IF(Tabla_Compras_Extranjera[[#This Row],[id_padre]]="",0,_xlfn.XLOOKUP(Tabla_Compras_Extranjera[[#This Row],[id_padre]],Tabla_Compras_Extranjera[Id],Tabla_Compras_Extranjera[Nivel],0,0,1)+1)</f>
        <v>3</v>
      </c>
      <c r="D83" s="2" t="s">
        <v>1310</v>
      </c>
      <c r="E83">
        <f>IF(Tabla_Compras_Extranjera[[#This Row],[Id_anterior]]=1,ROW()-1,SUM(ROW()-1,Tabla_Compras_Extranjera[[#This Row],[Id_anterior]]))</f>
        <v>1593</v>
      </c>
      <c r="F8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COMPRAS_EXTRANJERA_COMEX_CONSULTAS_MEMOS_DE_NRO_PARTE_POR_MEMO</v>
      </c>
      <c r="G83" s="2" t="str">
        <f>CLEAN(PROPER(Tabla_Compras_Extranjera[[#This Row],[Nombre Opción]]))</f>
        <v>De Nro De Parte Por Memo</v>
      </c>
      <c r="H83" s="2" t="s">
        <v>1735</v>
      </c>
      <c r="I83" s="2" t="str">
        <f>_xlfn.XLOOKUP(Tabla_Compras_Extranjera[[#This Row],[id_padre]],Tabla_Compras_Extranjera[Id],Tabla_Compras_Extranjera[Codigo_Tecnico],"",0,1)</f>
        <v>COMPRAS_EXTRANJERA_COMEX_CONSULTAS_MEMOS</v>
      </c>
      <c r="J8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/compras-extranjera-comex/consultas/memos/de-nro-parte-por-memo</v>
      </c>
      <c r="K8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de-nro-parte-por-memo</v>
      </c>
      <c r="L83" s="6" t="s">
        <v>1406</v>
      </c>
      <c r="M83" t="s">
        <v>1796</v>
      </c>
      <c r="N83" s="4" t="s">
        <v>360</v>
      </c>
      <c r="O83" s="4" t="s">
        <v>360</v>
      </c>
      <c r="P83" s="4" t="s">
        <v>360</v>
      </c>
      <c r="Q83" s="4" t="s">
        <v>360</v>
      </c>
      <c r="R83" s="4" t="s">
        <v>360</v>
      </c>
      <c r="S83" s="4" t="s">
        <v>360</v>
      </c>
      <c r="T83" s="2" t="str">
        <f>IF(Tabla_Compras_Extranjera[[#This Row],[id_padre]]=Tabla_Compras_Extranjera[[#This Row],[Id]],"NOK","OK")</f>
        <v>OK</v>
      </c>
    </row>
    <row r="84" spans="1:20" hidden="1" x14ac:dyDescent="0.5">
      <c r="A84">
        <f>MAX(Tabla_Activo_Fijo[Id])</f>
        <v>1511</v>
      </c>
      <c r="B84">
        <v>1586</v>
      </c>
      <c r="C84" s="5">
        <f>IF(Tabla_Compras_Extranjera[[#This Row],[id_padre]]="",0,_xlfn.XLOOKUP(Tabla_Compras_Extranjera[[#This Row],[id_padre]],Tabla_Compras_Extranjera[Id],Tabla_Compras_Extranjera[Nivel],0,0,1)+1)</f>
        <v>3</v>
      </c>
      <c r="D84" s="2" t="s">
        <v>1695</v>
      </c>
      <c r="E84">
        <f>IF(Tabla_Compras_Extranjera[[#This Row],[Id_anterior]]=1,ROW()-1,SUM(ROW()-1,Tabla_Compras_Extranjera[[#This Row],[Id_anterior]]))</f>
        <v>1594</v>
      </c>
      <c r="F8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COMPRAS_EXTRANJERA_COMEX_CONSULTAS_MEMOS_DE_ORDENES_COMPRA_POR_MEMO</v>
      </c>
      <c r="G84" s="2" t="str">
        <f>CLEAN(PROPER(Tabla_Compras_Extranjera[[#This Row],[Nombre Opción]]))</f>
        <v>De Ordenes De Compra Por Memo</v>
      </c>
      <c r="H84" s="2" t="s">
        <v>1735</v>
      </c>
      <c r="I84" s="2" t="str">
        <f>_xlfn.XLOOKUP(Tabla_Compras_Extranjera[[#This Row],[id_padre]],Tabla_Compras_Extranjera[Id],Tabla_Compras_Extranjera[Codigo_Tecnico],"",0,1)</f>
        <v>COMPRAS_EXTRANJERA_COMEX_CONSULTAS_MEMOS</v>
      </c>
      <c r="J8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/compras-extranjera-comex/consultas/memos/de-ordenes-compra-por-memo</v>
      </c>
      <c r="K8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de-ordenes-compra-por-memo</v>
      </c>
      <c r="L84" s="6" t="s">
        <v>1349</v>
      </c>
      <c r="M84" t="s">
        <v>1796</v>
      </c>
      <c r="N84" s="4" t="s">
        <v>360</v>
      </c>
      <c r="O84" s="4" t="s">
        <v>360</v>
      </c>
      <c r="P84" s="4" t="s">
        <v>360</v>
      </c>
      <c r="Q84" s="4" t="s">
        <v>360</v>
      </c>
      <c r="R84" s="4" t="s">
        <v>360</v>
      </c>
      <c r="S84" s="4" t="s">
        <v>360</v>
      </c>
      <c r="T84" s="2" t="str">
        <f>IF(Tabla_Compras_Extranjera[[#This Row],[id_padre]]=Tabla_Compras_Extranjera[[#This Row],[Id]],"NOK","OK")</f>
        <v>OK</v>
      </c>
    </row>
    <row r="85" spans="1:20" hidden="1" x14ac:dyDescent="0.5">
      <c r="A85">
        <f>MAX(Tabla_Activo_Fijo[Id])</f>
        <v>1511</v>
      </c>
      <c r="B85">
        <v>1515</v>
      </c>
      <c r="C85" s="5">
        <f>IF(Tabla_Compras_Extranjera[[#This Row],[id_padre]]="",0,_xlfn.XLOOKUP(Tabla_Compras_Extranjera[[#This Row],[id_padre]],Tabla_Compras_Extranjera[Id],Tabla_Compras_Extranjera[Nivel],0,0,1)+1)</f>
        <v>2</v>
      </c>
      <c r="D85" s="2" t="s">
        <v>1675</v>
      </c>
      <c r="E85">
        <f>IF(Tabla_Compras_Extranjera[[#This Row],[Id_anterior]]=1,ROW()-1,SUM(ROW()-1,Tabla_Compras_Extranjera[[#This Row],[Id_anterior]]))</f>
        <v>1595</v>
      </c>
      <c r="F8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COMPRAS_EXTRANJERA_COMEX_CONSULTAS_REQUERIMIENTOS</v>
      </c>
      <c r="G85" s="2" t="str">
        <f>CLEAN(PROPER(Tabla_Compras_Extranjera[[#This Row],[Nombre Opción]]))</f>
        <v>Requerimientos</v>
      </c>
      <c r="H85" s="2" t="s">
        <v>1735</v>
      </c>
      <c r="I85" s="2" t="str">
        <f>_xlfn.XLOOKUP(Tabla_Compras_Extranjera[[#This Row],[id_padre]],Tabla_Compras_Extranjera[Id],Tabla_Compras_Extranjera[Codigo_Tecnico],"",0,1)</f>
        <v>COMPRAS_EXTRANJERA_COMEX_CONSULTAS</v>
      </c>
      <c r="J8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/compras-extranjera-comex/consultas/requerimientos</v>
      </c>
      <c r="K8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requerimientos</v>
      </c>
      <c r="L85" s="6" t="s">
        <v>1726</v>
      </c>
      <c r="M85" t="s">
        <v>1796</v>
      </c>
      <c r="N85" s="4" t="s">
        <v>360</v>
      </c>
      <c r="O85" s="4" t="s">
        <v>360</v>
      </c>
      <c r="P85" s="4" t="s">
        <v>360</v>
      </c>
      <c r="Q85" s="4" t="s">
        <v>360</v>
      </c>
      <c r="R85" s="4" t="s">
        <v>360</v>
      </c>
      <c r="S85" s="4" t="s">
        <v>360</v>
      </c>
      <c r="T85" s="2" t="str">
        <f>IF(Tabla_Compras_Extranjera[[#This Row],[id_padre]]=Tabla_Compras_Extranjera[[#This Row],[Id]],"NOK","OK")</f>
        <v>OK</v>
      </c>
    </row>
    <row r="86" spans="1:20" hidden="1" x14ac:dyDescent="0.5">
      <c r="A86">
        <f>MAX(Tabla_Activo_Fijo[Id])</f>
        <v>1511</v>
      </c>
      <c r="B86">
        <v>1595</v>
      </c>
      <c r="C86" s="5">
        <f>IF(Tabla_Compras_Extranjera[[#This Row],[id_padre]]="",0,_xlfn.XLOOKUP(Tabla_Compras_Extranjera[[#This Row],[id_padre]],Tabla_Compras_Extranjera[Id],Tabla_Compras_Extranjera[Nivel],0,0,1)+1)</f>
        <v>3</v>
      </c>
      <c r="D86" s="2" t="s">
        <v>1676</v>
      </c>
      <c r="E86">
        <f>IF(Tabla_Compras_Extranjera[[#This Row],[Id_anterior]]=1,ROW()-1,SUM(ROW()-1,Tabla_Compras_Extranjera[[#This Row],[Id_anterior]]))</f>
        <v>1596</v>
      </c>
      <c r="F8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COMPRAS_EXTRANJERA_COMEX_CONSULTAS_REQUERIMIENTOS_REQUERIMIENTO_ESPECIFICO</v>
      </c>
      <c r="G86" s="2" t="str">
        <f>CLEAN(PROPER(Tabla_Compras_Extranjera[[#This Row],[Nombre Opción]]))</f>
        <v>Requerimiento Específico</v>
      </c>
      <c r="H86" s="2" t="s">
        <v>1735</v>
      </c>
      <c r="I86" s="2" t="str">
        <f>_xlfn.XLOOKUP(Tabla_Compras_Extranjera[[#This Row],[id_padre]],Tabla_Compras_Extranjera[Id],Tabla_Compras_Extranjera[Codigo_Tecnico],"",0,1)</f>
        <v>COMPRAS_EXTRANJERA_COMEX_CONSULTAS_REQUERIMIENTOS</v>
      </c>
      <c r="J8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/compras-extranjera-comex/consultas/requerimientos/requerimiento-especifico</v>
      </c>
      <c r="K8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requerimiento-especifico</v>
      </c>
      <c r="L86" s="6" t="s">
        <v>1339</v>
      </c>
      <c r="M86" t="s">
        <v>1796</v>
      </c>
      <c r="N86" s="4" t="s">
        <v>360</v>
      </c>
      <c r="O86" s="4" t="s">
        <v>360</v>
      </c>
      <c r="P86" s="4" t="s">
        <v>360</v>
      </c>
      <c r="Q86" s="4" t="s">
        <v>360</v>
      </c>
      <c r="R86" s="4" t="s">
        <v>360</v>
      </c>
      <c r="S86" s="4" t="s">
        <v>360</v>
      </c>
      <c r="T86" s="2" t="str">
        <f>IF(Tabla_Compras_Extranjera[[#This Row],[id_padre]]=Tabla_Compras_Extranjera[[#This Row],[Id]],"NOK","OK")</f>
        <v>OK</v>
      </c>
    </row>
    <row r="87" spans="1:20" hidden="1" x14ac:dyDescent="0.5">
      <c r="A87">
        <f>MAX(Tabla_Activo_Fijo[Id])</f>
        <v>1511</v>
      </c>
      <c r="B87">
        <v>1595</v>
      </c>
      <c r="C87" s="5">
        <f>IF(Tabla_Compras_Extranjera[[#This Row],[id_padre]]="",0,_xlfn.XLOOKUP(Tabla_Compras_Extranjera[[#This Row],[id_padre]],Tabla_Compras_Extranjera[Id],Tabla_Compras_Extranjera[Nivel],0,0,1)+1)</f>
        <v>3</v>
      </c>
      <c r="D87" s="2" t="s">
        <v>1316</v>
      </c>
      <c r="E87">
        <f>IF(Tabla_Compras_Extranjera[[#This Row],[Id_anterior]]=1,ROW()-1,SUM(ROW()-1,Tabla_Compras_Extranjera[[#This Row],[Id_anterior]]))</f>
        <v>1597</v>
      </c>
      <c r="F8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COMPRAS_EXTRANJERA_COMEX_CONSULTAS_REQUERIMIENTOS_ADQUISICIONES_PARCIALES</v>
      </c>
      <c r="G87" s="2" t="str">
        <f>CLEAN(PROPER(Tabla_Compras_Extranjera[[#This Row],[Nombre Opción]]))</f>
        <v>Adquisiciones Parciales</v>
      </c>
      <c r="H87" s="2" t="s">
        <v>1735</v>
      </c>
      <c r="I87" s="2" t="str">
        <f>_xlfn.XLOOKUP(Tabla_Compras_Extranjera[[#This Row],[id_padre]],Tabla_Compras_Extranjera[Id],Tabla_Compras_Extranjera[Codigo_Tecnico],"",0,1)</f>
        <v>COMPRAS_EXTRANJERA_COMEX_CONSULTAS_REQUERIMIENTOS</v>
      </c>
      <c r="J8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/compras-extranjera-comex/consultas/requerimientos/adquisiciones-parciales</v>
      </c>
      <c r="K8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adquisiciones-parciales</v>
      </c>
      <c r="L87" s="6" t="s">
        <v>1411</v>
      </c>
      <c r="M87" t="s">
        <v>1796</v>
      </c>
      <c r="N87" s="4" t="s">
        <v>360</v>
      </c>
      <c r="O87" s="4" t="s">
        <v>360</v>
      </c>
      <c r="P87" s="4" t="s">
        <v>360</v>
      </c>
      <c r="Q87" s="4" t="s">
        <v>360</v>
      </c>
      <c r="R87" s="4" t="s">
        <v>360</v>
      </c>
      <c r="S87" s="4" t="s">
        <v>360</v>
      </c>
      <c r="T87" s="2" t="str">
        <f>IF(Tabla_Compras_Extranjera[[#This Row],[id_padre]]=Tabla_Compras_Extranjera[[#This Row],[Id]],"NOK","OK")</f>
        <v>OK</v>
      </c>
    </row>
    <row r="88" spans="1:20" hidden="1" x14ac:dyDescent="0.5">
      <c r="A88">
        <f>MAX(Tabla_Activo_Fijo[Id])</f>
        <v>1511</v>
      </c>
      <c r="B88">
        <v>1595</v>
      </c>
      <c r="C88" s="5">
        <f>IF(Tabla_Compras_Extranjera[[#This Row],[id_padre]]="",0,_xlfn.XLOOKUP(Tabla_Compras_Extranjera[[#This Row],[id_padre]],Tabla_Compras_Extranjera[Id],Tabla_Compras_Extranjera[Nivel],0,0,1)+1)</f>
        <v>3</v>
      </c>
      <c r="D88" s="2" t="s">
        <v>1317</v>
      </c>
      <c r="E88">
        <f>IF(Tabla_Compras_Extranjera[[#This Row],[Id_anterior]]=1,ROW()-1,SUM(ROW()-1,Tabla_Compras_Extranjera[[#This Row],[Id_anterior]]))</f>
        <v>1598</v>
      </c>
      <c r="F8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COMPRAS_EXTRANJERA_COMEX_CONSULTAS_REQUERIMIENTOS_SITUACION_REQUERIMIENTO</v>
      </c>
      <c r="G88" s="2" t="str">
        <f>CLEAN(PROPER(Tabla_Compras_Extranjera[[#This Row],[Nombre Opción]]))</f>
        <v>Situación De Requerimiento</v>
      </c>
      <c r="H88" s="2" t="s">
        <v>1735</v>
      </c>
      <c r="I88" s="2" t="str">
        <f>_xlfn.XLOOKUP(Tabla_Compras_Extranjera[[#This Row],[id_padre]],Tabla_Compras_Extranjera[Id],Tabla_Compras_Extranjera[Codigo_Tecnico],"",0,1)</f>
        <v>COMPRAS_EXTRANJERA_COMEX_CONSULTAS_REQUERIMIENTOS</v>
      </c>
      <c r="J8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/compras-extranjera-comex/consultas/requerimientos/situacion-requerimiento</v>
      </c>
      <c r="K8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situacion-requerimiento</v>
      </c>
      <c r="L88" s="6" t="s">
        <v>1333</v>
      </c>
      <c r="M88" t="s">
        <v>1796</v>
      </c>
      <c r="N88" s="4" t="s">
        <v>360</v>
      </c>
      <c r="O88" s="4" t="s">
        <v>360</v>
      </c>
      <c r="P88" s="4" t="s">
        <v>360</v>
      </c>
      <c r="Q88" s="4" t="s">
        <v>360</v>
      </c>
      <c r="R88" s="4" t="s">
        <v>360</v>
      </c>
      <c r="S88" s="4" t="s">
        <v>360</v>
      </c>
      <c r="T88" s="2" t="str">
        <f>IF(Tabla_Compras_Extranjera[[#This Row],[id_padre]]=Tabla_Compras_Extranjera[[#This Row],[Id]],"NOK","OK")</f>
        <v>OK</v>
      </c>
    </row>
    <row r="89" spans="1:20" hidden="1" x14ac:dyDescent="0.5">
      <c r="A89">
        <f>MAX(Tabla_Activo_Fijo[Id])</f>
        <v>1511</v>
      </c>
      <c r="B89">
        <v>1595</v>
      </c>
      <c r="C89" s="5">
        <f>IF(Tabla_Compras_Extranjera[[#This Row],[id_padre]]="",0,_xlfn.XLOOKUP(Tabla_Compras_Extranjera[[#This Row],[id_padre]],Tabla_Compras_Extranjera[Id],Tabla_Compras_Extranjera[Nivel],0,0,1)+1)</f>
        <v>3</v>
      </c>
      <c r="D89" s="2" t="s">
        <v>1677</v>
      </c>
      <c r="E89">
        <f>IF(Tabla_Compras_Extranjera[[#This Row],[Id_anterior]]=1,ROW()-1,SUM(ROW()-1,Tabla_Compras_Extranjera[[#This Row],[Id_anterior]]))</f>
        <v>1599</v>
      </c>
      <c r="F8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COMPRAS_EXTRANJERA_COMEX_CONSULTAS_REQUERIMIENTOS_RELACION_REQTOS_SIN_ADQUIRIR</v>
      </c>
      <c r="G89" s="2" t="str">
        <f>CLEAN(PROPER(Tabla_Compras_Extranjera[[#This Row],[Nombre Opción]]))</f>
        <v>Relación De Reqtos Sin Adquirir</v>
      </c>
      <c r="H89" s="2" t="s">
        <v>1735</v>
      </c>
      <c r="I89" s="2" t="str">
        <f>_xlfn.XLOOKUP(Tabla_Compras_Extranjera[[#This Row],[id_padre]],Tabla_Compras_Extranjera[Id],Tabla_Compras_Extranjera[Codigo_Tecnico],"",0,1)</f>
        <v>COMPRAS_EXTRANJERA_COMEX_CONSULTAS_REQUERIMIENTOS</v>
      </c>
      <c r="J8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/compras-extranjera-comex/consultas/requerimientos/relacion-reqtos-sin-adquirir</v>
      </c>
      <c r="K8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relacion-reqtos-sin-adquirir</v>
      </c>
      <c r="L89" s="6" t="s">
        <v>1447</v>
      </c>
      <c r="M89" t="s">
        <v>1796</v>
      </c>
      <c r="N89" s="4" t="s">
        <v>360</v>
      </c>
      <c r="O89" s="4" t="s">
        <v>360</v>
      </c>
      <c r="P89" s="4" t="s">
        <v>360</v>
      </c>
      <c r="Q89" s="4" t="s">
        <v>360</v>
      </c>
      <c r="R89" s="4" t="s">
        <v>360</v>
      </c>
      <c r="S89" s="4" t="s">
        <v>360</v>
      </c>
      <c r="T89" s="2" t="str">
        <f>IF(Tabla_Compras_Extranjera[[#This Row],[id_padre]]=Tabla_Compras_Extranjera[[#This Row],[Id]],"NOK","OK")</f>
        <v>OK</v>
      </c>
    </row>
    <row r="90" spans="1:20" hidden="1" x14ac:dyDescent="0.5">
      <c r="A90">
        <f>MAX(Tabla_Activo_Fijo[Id])</f>
        <v>1511</v>
      </c>
      <c r="B90">
        <v>1515</v>
      </c>
      <c r="C90" s="5">
        <f>IF(Tabla_Compras_Extranjera[[#This Row],[id_padre]]="",0,_xlfn.XLOOKUP(Tabla_Compras_Extranjera[[#This Row],[id_padre]],Tabla_Compras_Extranjera[Id],Tabla_Compras_Extranjera[Nivel],0,0,1)+1)</f>
        <v>2</v>
      </c>
      <c r="D90" s="2" t="s">
        <v>572</v>
      </c>
      <c r="E90">
        <f>IF(Tabla_Compras_Extranjera[[#This Row],[Id_anterior]]=1,ROW()-1,SUM(ROW()-1,Tabla_Compras_Extranjera[[#This Row],[Id_anterior]]))</f>
        <v>1600</v>
      </c>
      <c r="F9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COMPRAS_EXTRANJERA_COMEX_CONSULTAS_COTIZACIONES</v>
      </c>
      <c r="G90" s="2" t="str">
        <f>CLEAN(PROPER(Tabla_Compras_Extranjera[[#This Row],[Nombre Opción]]))</f>
        <v>Cotizaciones</v>
      </c>
      <c r="H90" s="2" t="s">
        <v>1735</v>
      </c>
      <c r="I90" s="2" t="str">
        <f>_xlfn.XLOOKUP(Tabla_Compras_Extranjera[[#This Row],[id_padre]],Tabla_Compras_Extranjera[Id],Tabla_Compras_Extranjera[Codigo_Tecnico],"",0,1)</f>
        <v>COMPRAS_EXTRANJERA_COMEX_CONSULTAS</v>
      </c>
      <c r="J9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/compras-extranjera-comex/consultas/cotizaciones</v>
      </c>
      <c r="K9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cotizaciones</v>
      </c>
      <c r="L90" s="6" t="s">
        <v>1415</v>
      </c>
      <c r="M90" t="s">
        <v>1796</v>
      </c>
      <c r="N90" s="4" t="s">
        <v>360</v>
      </c>
      <c r="O90" s="4" t="s">
        <v>360</v>
      </c>
      <c r="P90" s="4" t="s">
        <v>360</v>
      </c>
      <c r="Q90" s="4" t="s">
        <v>360</v>
      </c>
      <c r="R90" s="4" t="s">
        <v>360</v>
      </c>
      <c r="S90" s="4" t="s">
        <v>360</v>
      </c>
      <c r="T90" s="2" t="str">
        <f>IF(Tabla_Compras_Extranjera[[#This Row],[id_padre]]=Tabla_Compras_Extranjera[[#This Row],[Id]],"NOK","OK")</f>
        <v>OK</v>
      </c>
    </row>
    <row r="91" spans="1:20" hidden="1" x14ac:dyDescent="0.5">
      <c r="A91">
        <f>MAX(Tabla_Activo_Fijo[Id])</f>
        <v>1511</v>
      </c>
      <c r="B91">
        <v>1600</v>
      </c>
      <c r="C91" s="5">
        <f>IF(Tabla_Compras_Extranjera[[#This Row],[id_padre]]="",0,_xlfn.XLOOKUP(Tabla_Compras_Extranjera[[#This Row],[id_padre]],Tabla_Compras_Extranjera[Id],Tabla_Compras_Extranjera[Nivel],0,0,1)+1)</f>
        <v>3</v>
      </c>
      <c r="D91" s="2" t="s">
        <v>1678</v>
      </c>
      <c r="E91">
        <f>IF(Tabla_Compras_Extranjera[[#This Row],[Id_anterior]]=1,ROW()-1,SUM(ROW()-1,Tabla_Compras_Extranjera[[#This Row],[Id_anterior]]))</f>
        <v>1601</v>
      </c>
      <c r="F9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COMPRAS_EXTRANJERA_COMEX_CONSULTAS_COTIZACIONES_COTIZACIONES_POR_SOLICITUD</v>
      </c>
      <c r="G91" s="2" t="str">
        <f>CLEAN(PROPER(Tabla_Compras_Extranjera[[#This Row],[Nombre Opción]]))</f>
        <v>Cotizaciones Por Solicitud</v>
      </c>
      <c r="H91" s="2" t="s">
        <v>1735</v>
      </c>
      <c r="I91" s="2" t="str">
        <f>_xlfn.XLOOKUP(Tabla_Compras_Extranjera[[#This Row],[id_padre]],Tabla_Compras_Extranjera[Id],Tabla_Compras_Extranjera[Codigo_Tecnico],"",0,1)</f>
        <v>COMPRAS_EXTRANJERA_COMEX_CONSULTAS_COTIZACIONES</v>
      </c>
      <c r="J9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/compras-extranjera-comex/consultas/cotizaciones/cotizaciones-por-solicitud</v>
      </c>
      <c r="K9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cotizaciones-por-solicitud</v>
      </c>
      <c r="L91" s="6" t="s">
        <v>1446</v>
      </c>
      <c r="M91" t="s">
        <v>1796</v>
      </c>
      <c r="N91" s="4" t="s">
        <v>360</v>
      </c>
      <c r="O91" s="4" t="s">
        <v>360</v>
      </c>
      <c r="P91" s="4" t="s">
        <v>360</v>
      </c>
      <c r="Q91" s="4" t="s">
        <v>360</v>
      </c>
      <c r="R91" s="4" t="s">
        <v>360</v>
      </c>
      <c r="S91" s="4" t="s">
        <v>360</v>
      </c>
      <c r="T91" s="2" t="str">
        <f>IF(Tabla_Compras_Extranjera[[#This Row],[id_padre]]=Tabla_Compras_Extranjera[[#This Row],[Id]],"NOK","OK")</f>
        <v>OK</v>
      </c>
    </row>
    <row r="92" spans="1:20" hidden="1" x14ac:dyDescent="0.5">
      <c r="A92">
        <f>MAX(Tabla_Activo_Fijo[Id])</f>
        <v>1511</v>
      </c>
      <c r="B92">
        <v>1600</v>
      </c>
      <c r="C92" s="5">
        <f>IF(Tabla_Compras_Extranjera[[#This Row],[id_padre]]="",0,_xlfn.XLOOKUP(Tabla_Compras_Extranjera[[#This Row],[id_padre]],Tabla_Compras_Extranjera[Id],Tabla_Compras_Extranjera[Nivel],0,0,1)+1)</f>
        <v>3</v>
      </c>
      <c r="D92" s="2" t="s">
        <v>1679</v>
      </c>
      <c r="E92">
        <f>IF(Tabla_Compras_Extranjera[[#This Row],[Id_anterior]]=1,ROW()-1,SUM(ROW()-1,Tabla_Compras_Extranjera[[#This Row],[Id_anterior]]))</f>
        <v>1602</v>
      </c>
      <c r="F9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COMPRAS_EXTRANJERA_COMEX_CONSULTAS_COTIZACIONES_SITUACION_COTIZACIONES</v>
      </c>
      <c r="G92" s="2" t="str">
        <f>CLEAN(PROPER(Tabla_Compras_Extranjera[[#This Row],[Nombre Opción]]))</f>
        <v>Situación De Cotizaciones</v>
      </c>
      <c r="H92" s="2" t="s">
        <v>1735</v>
      </c>
      <c r="I92" s="2" t="str">
        <f>_xlfn.XLOOKUP(Tabla_Compras_Extranjera[[#This Row],[id_padre]],Tabla_Compras_Extranjera[Id],Tabla_Compras_Extranjera[Codigo_Tecnico],"",0,1)</f>
        <v>COMPRAS_EXTRANJERA_COMEX_CONSULTAS_COTIZACIONES</v>
      </c>
      <c r="J9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/compras-extranjera-comex/consultas/cotizaciones/situacion-cotizaciones</v>
      </c>
      <c r="K9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situacion-cotizaciones</v>
      </c>
      <c r="L92" s="6" t="s">
        <v>1333</v>
      </c>
      <c r="M92" t="s">
        <v>1796</v>
      </c>
      <c r="N92" s="4" t="s">
        <v>360</v>
      </c>
      <c r="O92" s="4" t="s">
        <v>360</v>
      </c>
      <c r="P92" s="4" t="s">
        <v>360</v>
      </c>
      <c r="Q92" s="4" t="s">
        <v>360</v>
      </c>
      <c r="R92" s="4" t="s">
        <v>360</v>
      </c>
      <c r="S92" s="4" t="s">
        <v>360</v>
      </c>
      <c r="T92" s="2" t="str">
        <f>IF(Tabla_Compras_Extranjera[[#This Row],[id_padre]]=Tabla_Compras_Extranjera[[#This Row],[Id]],"NOK","OK")</f>
        <v>OK</v>
      </c>
    </row>
    <row r="93" spans="1:20" hidden="1" x14ac:dyDescent="0.5">
      <c r="A93">
        <f>MAX(Tabla_Activo_Fijo[Id])</f>
        <v>1511</v>
      </c>
      <c r="B93">
        <v>1600</v>
      </c>
      <c r="C93" s="5">
        <f>IF(Tabla_Compras_Extranjera[[#This Row],[id_padre]]="",0,_xlfn.XLOOKUP(Tabla_Compras_Extranjera[[#This Row],[id_padre]],Tabla_Compras_Extranjera[Id],Tabla_Compras_Extranjera[Nivel],0,0,1)+1)</f>
        <v>3</v>
      </c>
      <c r="D93" s="2" t="s">
        <v>1680</v>
      </c>
      <c r="E93">
        <f>IF(Tabla_Compras_Extranjera[[#This Row],[Id_anterior]]=1,ROW()-1,SUM(ROW()-1,Tabla_Compras_Extranjera[[#This Row],[Id_anterior]]))</f>
        <v>1603</v>
      </c>
      <c r="F9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COMPRAS_EXTRANJERA_COMEX_CONSULTAS_COTIZACIONES_COTIZACIONES_POR_FECHA_VENCIMIENTO</v>
      </c>
      <c r="G93" s="2" t="str">
        <f>CLEAN(PROPER(Tabla_Compras_Extranjera[[#This Row],[Nombre Opción]]))</f>
        <v>Cotizaciones Por Fecha De Vencimiento</v>
      </c>
      <c r="H93" s="2" t="s">
        <v>1735</v>
      </c>
      <c r="I93" s="2" t="str">
        <f>_xlfn.XLOOKUP(Tabla_Compras_Extranjera[[#This Row],[id_padre]],Tabla_Compras_Extranjera[Id],Tabla_Compras_Extranjera[Codigo_Tecnico],"",0,1)</f>
        <v>COMPRAS_EXTRANJERA_COMEX_CONSULTAS_COTIZACIONES</v>
      </c>
      <c r="J9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/compras-extranjera-comex/consultas/cotizaciones/cotizaciones-por-fecha-vencimiento</v>
      </c>
      <c r="K9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cotizaciones-por-fecha-vencimiento</v>
      </c>
      <c r="L93" s="6" t="s">
        <v>1383</v>
      </c>
      <c r="M93" t="s">
        <v>1796</v>
      </c>
      <c r="N93" s="4" t="s">
        <v>360</v>
      </c>
      <c r="O93" s="4" t="s">
        <v>360</v>
      </c>
      <c r="P93" s="4" t="s">
        <v>360</v>
      </c>
      <c r="Q93" s="4" t="s">
        <v>360</v>
      </c>
      <c r="R93" s="4" t="s">
        <v>360</v>
      </c>
      <c r="S93" s="4" t="s">
        <v>360</v>
      </c>
      <c r="T93" s="2" t="str">
        <f>IF(Tabla_Compras_Extranjera[[#This Row],[id_padre]]=Tabla_Compras_Extranjera[[#This Row],[Id]],"NOK","OK")</f>
        <v>OK</v>
      </c>
    </row>
    <row r="94" spans="1:20" hidden="1" x14ac:dyDescent="0.5">
      <c r="A94">
        <f>MAX(Tabla_Activo_Fijo[Id])</f>
        <v>1511</v>
      </c>
      <c r="B94">
        <v>1600</v>
      </c>
      <c r="C94" s="5">
        <f>IF(Tabla_Compras_Extranjera[[#This Row],[id_padre]]="",0,_xlfn.XLOOKUP(Tabla_Compras_Extranjera[[#This Row],[id_padre]],Tabla_Compras_Extranjera[Id],Tabla_Compras_Extranjera[Nivel],0,0,1)+1)</f>
        <v>3</v>
      </c>
      <c r="D94" s="2" t="s">
        <v>1318</v>
      </c>
      <c r="E94">
        <f>IF(Tabla_Compras_Extranjera[[#This Row],[Id_anterior]]=1,ROW()-1,SUM(ROW()-1,Tabla_Compras_Extranjera[[#This Row],[Id_anterior]]))</f>
        <v>1604</v>
      </c>
      <c r="F9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COMPRAS_EXTRANJERA_COMEX_CONSULTAS_COTIZACIONES_RELACION_POR_NUMERO</v>
      </c>
      <c r="G94" s="2" t="str">
        <f>CLEAN(PROPER(Tabla_Compras_Extranjera[[#This Row],[Nombre Opción]]))</f>
        <v>Relación Por Numero</v>
      </c>
      <c r="H94" s="2" t="s">
        <v>1735</v>
      </c>
      <c r="I94" s="2" t="str">
        <f>_xlfn.XLOOKUP(Tabla_Compras_Extranjera[[#This Row],[id_padre]],Tabla_Compras_Extranjera[Id],Tabla_Compras_Extranjera[Codigo_Tecnico],"",0,1)</f>
        <v>COMPRAS_EXTRANJERA_COMEX_CONSULTAS_COTIZACIONES</v>
      </c>
      <c r="J9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/compras-extranjera-comex/consultas/cotizaciones/relacion-por-numero</v>
      </c>
      <c r="K9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relacion-por-numero</v>
      </c>
      <c r="L94" s="6" t="s">
        <v>1406</v>
      </c>
      <c r="M94" t="s">
        <v>1796</v>
      </c>
      <c r="N94" s="4" t="s">
        <v>360</v>
      </c>
      <c r="O94" s="4" t="s">
        <v>360</v>
      </c>
      <c r="P94" s="4" t="s">
        <v>360</v>
      </c>
      <c r="Q94" s="4" t="s">
        <v>360</v>
      </c>
      <c r="R94" s="4" t="s">
        <v>360</v>
      </c>
      <c r="S94" s="4" t="s">
        <v>360</v>
      </c>
      <c r="T94" s="2" t="str">
        <f>IF(Tabla_Compras_Extranjera[[#This Row],[id_padre]]=Tabla_Compras_Extranjera[[#This Row],[Id]],"NOK","OK")</f>
        <v>OK</v>
      </c>
    </row>
    <row r="95" spans="1:20" hidden="1" x14ac:dyDescent="0.5">
      <c r="A95">
        <f>MAX(Tabla_Activo_Fijo[Id])</f>
        <v>1511</v>
      </c>
      <c r="B95">
        <v>1600</v>
      </c>
      <c r="C95" s="5">
        <f>IF(Tabla_Compras_Extranjera[[#This Row],[id_padre]]="",0,_xlfn.XLOOKUP(Tabla_Compras_Extranjera[[#This Row],[id_padre]],Tabla_Compras_Extranjera[Id],Tabla_Compras_Extranjera[Nivel],0,0,1)+1)</f>
        <v>3</v>
      </c>
      <c r="D95" s="2" t="s">
        <v>1319</v>
      </c>
      <c r="E95">
        <f>IF(Tabla_Compras_Extranjera[[#This Row],[Id_anterior]]=1,ROW()-1,SUM(ROW()-1,Tabla_Compras_Extranjera[[#This Row],[Id_anterior]]))</f>
        <v>1605</v>
      </c>
      <c r="F9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COMPRAS_EXTRANJERA_COMEX_CONSULTAS_COTIZACIONES_RELACION_POR_FECHA</v>
      </c>
      <c r="G95" s="2" t="str">
        <f>CLEAN(PROPER(Tabla_Compras_Extranjera[[#This Row],[Nombre Opción]]))</f>
        <v>Relación Por Fecha</v>
      </c>
      <c r="H95" s="2" t="s">
        <v>1735</v>
      </c>
      <c r="I95" s="2" t="str">
        <f>_xlfn.XLOOKUP(Tabla_Compras_Extranjera[[#This Row],[id_padre]],Tabla_Compras_Extranjera[Id],Tabla_Compras_Extranjera[Codigo_Tecnico],"",0,1)</f>
        <v>COMPRAS_EXTRANJERA_COMEX_CONSULTAS_COTIZACIONES</v>
      </c>
      <c r="J9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/compras-extranjera-comex/consultas/cotizaciones/relacion-por-fecha</v>
      </c>
      <c r="K9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relacion-por-fecha</v>
      </c>
      <c r="L95" s="6" t="s">
        <v>1574</v>
      </c>
      <c r="M95" t="s">
        <v>1796</v>
      </c>
      <c r="N95" s="4" t="s">
        <v>360</v>
      </c>
      <c r="O95" s="4" t="s">
        <v>360</v>
      </c>
      <c r="P95" s="4" t="s">
        <v>360</v>
      </c>
      <c r="Q95" s="4" t="s">
        <v>360</v>
      </c>
      <c r="R95" s="4" t="s">
        <v>360</v>
      </c>
      <c r="S95" s="4" t="s">
        <v>360</v>
      </c>
      <c r="T95" s="2" t="str">
        <f>IF(Tabla_Compras_Extranjera[[#This Row],[id_padre]]=Tabla_Compras_Extranjera[[#This Row],[Id]],"NOK","OK")</f>
        <v>OK</v>
      </c>
    </row>
    <row r="96" spans="1:20" hidden="1" x14ac:dyDescent="0.5">
      <c r="A96">
        <f>MAX(Tabla_Activo_Fijo[Id])</f>
        <v>1511</v>
      </c>
      <c r="B96">
        <v>1600</v>
      </c>
      <c r="C96" s="5">
        <f>IF(Tabla_Compras_Extranjera[[#This Row],[id_padre]]="",0,_xlfn.XLOOKUP(Tabla_Compras_Extranjera[[#This Row],[id_padre]],Tabla_Compras_Extranjera[Id],Tabla_Compras_Extranjera[Nivel],0,0,1)+1)</f>
        <v>3</v>
      </c>
      <c r="D96" s="2" t="s">
        <v>1320</v>
      </c>
      <c r="E96">
        <f>IF(Tabla_Compras_Extranjera[[#This Row],[Id_anterior]]=1,ROW()-1,SUM(ROW()-1,Tabla_Compras_Extranjera[[#This Row],[Id_anterior]]))</f>
        <v>1606</v>
      </c>
      <c r="F9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COMPRAS_EXTRANJERA_COMEX_CONSULTAS_COTIZACIONES_COTIZACIONES_POR_PROVEEDOR</v>
      </c>
      <c r="G96" s="2" t="str">
        <f>CLEAN(PROPER(Tabla_Compras_Extranjera[[#This Row],[Nombre Opción]]))</f>
        <v>Cotizaciones Por Proveedor</v>
      </c>
      <c r="H96" s="2" t="s">
        <v>1735</v>
      </c>
      <c r="I96" s="2" t="str">
        <f>_xlfn.XLOOKUP(Tabla_Compras_Extranjera[[#This Row],[id_padre]],Tabla_Compras_Extranjera[Id],Tabla_Compras_Extranjera[Codigo_Tecnico],"",0,1)</f>
        <v>COMPRAS_EXTRANJERA_COMEX_CONSULTAS_COTIZACIONES</v>
      </c>
      <c r="J9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/compras-extranjera-comex/consultas/cotizaciones/cotizaciones-por-proveedor</v>
      </c>
      <c r="K9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cotizaciones-por-proveedor</v>
      </c>
      <c r="L96" s="6" t="s">
        <v>1399</v>
      </c>
      <c r="M96" t="s">
        <v>1796</v>
      </c>
      <c r="N96" s="4" t="s">
        <v>360</v>
      </c>
      <c r="O96" s="4" t="s">
        <v>360</v>
      </c>
      <c r="P96" s="4" t="s">
        <v>360</v>
      </c>
      <c r="Q96" s="4" t="s">
        <v>360</v>
      </c>
      <c r="R96" s="4" t="s">
        <v>360</v>
      </c>
      <c r="S96" s="4" t="s">
        <v>360</v>
      </c>
      <c r="T96" s="2" t="str">
        <f>IF(Tabla_Compras_Extranjera[[#This Row],[id_padre]]=Tabla_Compras_Extranjera[[#This Row],[Id]],"NOK","OK")</f>
        <v>OK</v>
      </c>
    </row>
    <row r="97" spans="1:20" hidden="1" x14ac:dyDescent="0.5">
      <c r="A97">
        <f>MAX(Tabla_Activo_Fijo[Id])</f>
        <v>1511</v>
      </c>
      <c r="B97">
        <v>1515</v>
      </c>
      <c r="C97" s="5">
        <f>IF(Tabla_Compras_Extranjera[[#This Row],[id_padre]]="",0,_xlfn.XLOOKUP(Tabla_Compras_Extranjera[[#This Row],[id_padre]],Tabla_Compras_Extranjera[Id],Tabla_Compras_Extranjera[Nivel],0,0,1)+1)</f>
        <v>2</v>
      </c>
      <c r="D97" s="2" t="s">
        <v>1674</v>
      </c>
      <c r="E97">
        <f>IF(Tabla_Compras_Extranjera[[#This Row],[Id_anterior]]=1,ROW()-1,SUM(ROW()-1,Tabla_Compras_Extranjera[[#This Row],[Id_anterior]]))</f>
        <v>1607</v>
      </c>
      <c r="F9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COMPRAS_EXTRANJERA_COMEX_CONSULTAS_ADJUDICACIONES</v>
      </c>
      <c r="G97" s="2" t="str">
        <f>CLEAN(PROPER(Tabla_Compras_Extranjera[[#This Row],[Nombre Opción]]))</f>
        <v>Adjudicaciones</v>
      </c>
      <c r="H97" s="2" t="s">
        <v>1735</v>
      </c>
      <c r="I97" s="2" t="str">
        <f>_xlfn.XLOOKUP(Tabla_Compras_Extranjera[[#This Row],[id_padre]],Tabla_Compras_Extranjera[Id],Tabla_Compras_Extranjera[Codigo_Tecnico],"",0,1)</f>
        <v>COMPRAS_EXTRANJERA_COMEX_CONSULTAS</v>
      </c>
      <c r="J9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/compras-extranjera-comex/consultas/adjudicaciones</v>
      </c>
      <c r="K9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adjudicaciones</v>
      </c>
      <c r="L97" s="6" t="s">
        <v>1457</v>
      </c>
      <c r="M97" t="s">
        <v>1796</v>
      </c>
      <c r="N97" s="4" t="s">
        <v>360</v>
      </c>
      <c r="O97" s="4" t="s">
        <v>360</v>
      </c>
      <c r="P97" s="4" t="s">
        <v>360</v>
      </c>
      <c r="Q97" s="4" t="s">
        <v>360</v>
      </c>
      <c r="R97" s="4" t="s">
        <v>360</v>
      </c>
      <c r="S97" s="4" t="s">
        <v>360</v>
      </c>
      <c r="T97" s="2" t="str">
        <f>IF(Tabla_Compras_Extranjera[[#This Row],[id_padre]]=Tabla_Compras_Extranjera[[#This Row],[Id]],"NOK","OK")</f>
        <v>OK</v>
      </c>
    </row>
    <row r="98" spans="1:20" hidden="1" x14ac:dyDescent="0.5">
      <c r="A98">
        <f>MAX(Tabla_Activo_Fijo[Id])</f>
        <v>1511</v>
      </c>
      <c r="B98">
        <v>1607</v>
      </c>
      <c r="C98" s="5">
        <f>IF(Tabla_Compras_Extranjera[[#This Row],[id_padre]]="",0,_xlfn.XLOOKUP(Tabla_Compras_Extranjera[[#This Row],[id_padre]],Tabla_Compras_Extranjera[Id],Tabla_Compras_Extranjera[Nivel],0,0,1)+1)</f>
        <v>3</v>
      </c>
      <c r="D98" s="2" t="s">
        <v>1289</v>
      </c>
      <c r="E98">
        <f>IF(Tabla_Compras_Extranjera[[#This Row],[Id_anterior]]=1,ROW()-1,SUM(ROW()-1,Tabla_Compras_Extranjera[[#This Row],[Id_anterior]]))</f>
        <v>1608</v>
      </c>
      <c r="F9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COMPRAS_EXTRANJERA_COMEX_CONSULTAS_ADJUDICACIONES_RESOLUCION_ADJUDICACION</v>
      </c>
      <c r="G98" s="2" t="str">
        <f>CLEAN(PROPER(Tabla_Compras_Extranjera[[#This Row],[Nombre Opción]]))</f>
        <v>Resolución De Adjudicación</v>
      </c>
      <c r="H98" s="2" t="s">
        <v>1735</v>
      </c>
      <c r="I98" s="2" t="str">
        <f>_xlfn.XLOOKUP(Tabla_Compras_Extranjera[[#This Row],[id_padre]],Tabla_Compras_Extranjera[Id],Tabla_Compras_Extranjera[Codigo_Tecnico],"",0,1)</f>
        <v>COMPRAS_EXTRANJERA_COMEX_CONSULTAS_ADJUDICACIONES</v>
      </c>
      <c r="J9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/compras-extranjera-comex/consultas/adjudicaciones/resolucion-adjudicacion</v>
      </c>
      <c r="K9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resolucion-adjudicacion</v>
      </c>
      <c r="L98" s="6" t="s">
        <v>1358</v>
      </c>
      <c r="M98" t="s">
        <v>1796</v>
      </c>
      <c r="N98" s="4" t="s">
        <v>360</v>
      </c>
      <c r="O98" s="4" t="s">
        <v>360</v>
      </c>
      <c r="P98" s="4" t="s">
        <v>360</v>
      </c>
      <c r="Q98" s="4" t="s">
        <v>360</v>
      </c>
      <c r="R98" s="4" t="s">
        <v>360</v>
      </c>
      <c r="S98" s="4" t="s">
        <v>360</v>
      </c>
      <c r="T98" s="2" t="str">
        <f>IF(Tabla_Compras_Extranjera[[#This Row],[id_padre]]=Tabla_Compras_Extranjera[[#This Row],[Id]],"NOK","OK")</f>
        <v>OK</v>
      </c>
    </row>
    <row r="99" spans="1:20" hidden="1" x14ac:dyDescent="0.5">
      <c r="A99">
        <f>MAX(Tabla_Activo_Fijo[Id])</f>
        <v>1511</v>
      </c>
      <c r="B99">
        <v>1607</v>
      </c>
      <c r="C99" s="5">
        <f>IF(Tabla_Compras_Extranjera[[#This Row],[id_padre]]="",0,_xlfn.XLOOKUP(Tabla_Compras_Extranjera[[#This Row],[id_padre]],Tabla_Compras_Extranjera[Id],Tabla_Compras_Extranjera[Nivel],0,0,1)+1)</f>
        <v>3</v>
      </c>
      <c r="D99" s="2" t="s">
        <v>1673</v>
      </c>
      <c r="E99">
        <f>IF(Tabla_Compras_Extranjera[[#This Row],[Id_anterior]]=1,ROW()-1,SUM(ROW()-1,Tabla_Compras_Extranjera[[#This Row],[Id_anterior]]))</f>
        <v>1609</v>
      </c>
      <c r="F9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COMPRAS_EXTRANJERA_COMEX_CONSULTAS_ADJUDICACIONES_RELACION_ADJUDICACION</v>
      </c>
      <c r="G99" s="2" t="str">
        <f>CLEAN(PROPER(Tabla_Compras_Extranjera[[#This Row],[Nombre Opción]]))</f>
        <v>Relación De Adjudicación</v>
      </c>
      <c r="H99" s="2" t="s">
        <v>1735</v>
      </c>
      <c r="I99" s="2" t="str">
        <f>_xlfn.XLOOKUP(Tabla_Compras_Extranjera[[#This Row],[id_padre]],Tabla_Compras_Extranjera[Id],Tabla_Compras_Extranjera[Codigo_Tecnico],"",0,1)</f>
        <v>COMPRAS_EXTRANJERA_COMEX_CONSULTAS_ADJUDICACIONES</v>
      </c>
      <c r="J9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/compras-extranjera-comex/consultas/adjudicaciones/relacion-adjudicacion</v>
      </c>
      <c r="K9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relacion-adjudicacion</v>
      </c>
      <c r="L99" s="6" t="s">
        <v>1369</v>
      </c>
      <c r="M99" t="s">
        <v>1796</v>
      </c>
      <c r="N99" s="4" t="s">
        <v>360</v>
      </c>
      <c r="O99" s="4" t="s">
        <v>360</v>
      </c>
      <c r="P99" s="4" t="s">
        <v>360</v>
      </c>
      <c r="Q99" s="4" t="s">
        <v>360</v>
      </c>
      <c r="R99" s="4" t="s">
        <v>360</v>
      </c>
      <c r="S99" s="4" t="s">
        <v>360</v>
      </c>
      <c r="T99" s="2" t="str">
        <f>IF(Tabla_Compras_Extranjera[[#This Row],[id_padre]]=Tabla_Compras_Extranjera[[#This Row],[Id]],"NOK","OK")</f>
        <v>OK</v>
      </c>
    </row>
    <row r="100" spans="1:20" hidden="1" x14ac:dyDescent="0.5">
      <c r="A100">
        <f>MAX(Tabla_Activo_Fijo[Id])</f>
        <v>1511</v>
      </c>
      <c r="B100">
        <v>1607</v>
      </c>
      <c r="C100" s="5">
        <f>IF(Tabla_Compras_Extranjera[[#This Row],[id_padre]]="",0,_xlfn.XLOOKUP(Tabla_Compras_Extranjera[[#This Row],[id_padre]],Tabla_Compras_Extranjera[Id],Tabla_Compras_Extranjera[Nivel],0,0,1)+1)</f>
        <v>3</v>
      </c>
      <c r="D100" s="2" t="s">
        <v>1321</v>
      </c>
      <c r="E100">
        <f>IF(Tabla_Compras_Extranjera[[#This Row],[Id_anterior]]=1,ROW()-1,SUM(ROW()-1,Tabla_Compras_Extranjera[[#This Row],[Id_anterior]]))</f>
        <v>1610</v>
      </c>
      <c r="F10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COMPRAS_EXTRANJERA_COMEX_CONSULTAS_ADJUDICACIONES_REQUERIMIENTOS_ADJUDICACION</v>
      </c>
      <c r="G100" s="2" t="str">
        <f>CLEAN(PROPER(Tabla_Compras_Extranjera[[#This Row],[Nombre Opción]]))</f>
        <v>Requerimientos De Adjudicación</v>
      </c>
      <c r="H100" s="2" t="s">
        <v>1735</v>
      </c>
      <c r="I100" s="2" t="str">
        <f>_xlfn.XLOOKUP(Tabla_Compras_Extranjera[[#This Row],[id_padre]],Tabla_Compras_Extranjera[Id],Tabla_Compras_Extranjera[Codigo_Tecnico],"",0,1)</f>
        <v>COMPRAS_EXTRANJERA_COMEX_CONSULTAS_ADJUDICACIONES</v>
      </c>
      <c r="J10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/compras-extranjera-comex/consultas/adjudicaciones/requerimientos-adjudicacion</v>
      </c>
      <c r="K10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requerimientos-adjudicacion</v>
      </c>
      <c r="L100" s="6" t="s">
        <v>1726</v>
      </c>
      <c r="M100" t="s">
        <v>1796</v>
      </c>
      <c r="N100" s="4" t="s">
        <v>360</v>
      </c>
      <c r="O100" s="4" t="s">
        <v>360</v>
      </c>
      <c r="P100" s="4" t="s">
        <v>360</v>
      </c>
      <c r="Q100" s="4" t="s">
        <v>360</v>
      </c>
      <c r="R100" s="4" t="s">
        <v>360</v>
      </c>
      <c r="S100" s="4" t="s">
        <v>360</v>
      </c>
      <c r="T100" s="2" t="str">
        <f>IF(Tabla_Compras_Extranjera[[#This Row],[id_padre]]=Tabla_Compras_Extranjera[[#This Row],[Id]],"NOK","OK")</f>
        <v>OK</v>
      </c>
    </row>
    <row r="101" spans="1:20" hidden="1" x14ac:dyDescent="0.5">
      <c r="A101">
        <f>MAX(Tabla_Activo_Fijo[Id])</f>
        <v>1511</v>
      </c>
      <c r="B101">
        <v>1515</v>
      </c>
      <c r="C101" s="5">
        <f>IF(Tabla_Compras_Extranjera[[#This Row],[id_padre]]="",0,_xlfn.XLOOKUP(Tabla_Compras_Extranjera[[#This Row],[id_padre]],Tabla_Compras_Extranjera[Id],Tabla_Compras_Extranjera[Nivel],0,0,1)+1)</f>
        <v>2</v>
      </c>
      <c r="D101" s="2" t="s">
        <v>1672</v>
      </c>
      <c r="E101">
        <f>IF(Tabla_Compras_Extranjera[[#This Row],[Id_anterior]]=1,ROW()-1,SUM(ROW()-1,Tabla_Compras_Extranjera[[#This Row],[Id_anterior]]))</f>
        <v>1611</v>
      </c>
      <c r="F10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</v>
      </c>
      <c r="G101" s="2" t="str">
        <f>CLEAN(PROPER(Tabla_Compras_Extranjera[[#This Row],[Nombre Opción]]))</f>
        <v>De Ordenes De Compra</v>
      </c>
      <c r="H101" s="2" t="s">
        <v>1735</v>
      </c>
      <c r="I101" s="2" t="str">
        <f>_xlfn.XLOOKUP(Tabla_Compras_Extranjera[[#This Row],[id_padre]],Tabla_Compras_Extranjera[Id],Tabla_Compras_Extranjera[Codigo_Tecnico],"",0,1)</f>
        <v>COMPRAS_EXTRANJERA_COMEX_CONSULTAS</v>
      </c>
      <c r="J10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</v>
      </c>
      <c r="K10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de-ordenes-compra</v>
      </c>
      <c r="L101" s="6" t="s">
        <v>1349</v>
      </c>
      <c r="M101" t="s">
        <v>1796</v>
      </c>
      <c r="N101" s="4" t="s">
        <v>360</v>
      </c>
      <c r="O101" s="4" t="s">
        <v>360</v>
      </c>
      <c r="P101" s="4" t="s">
        <v>360</v>
      </c>
      <c r="Q101" s="4" t="s">
        <v>360</v>
      </c>
      <c r="R101" s="4" t="s">
        <v>360</v>
      </c>
      <c r="S101" s="4" t="s">
        <v>360</v>
      </c>
      <c r="T101" s="2" t="str">
        <f>IF(Tabla_Compras_Extranjera[[#This Row],[id_padre]]=Tabla_Compras_Extranjera[[#This Row],[Id]],"NOK","OK")</f>
        <v>OK</v>
      </c>
    </row>
    <row r="102" spans="1:20" hidden="1" x14ac:dyDescent="0.5">
      <c r="A102">
        <f>MAX(Tabla_Activo_Fijo[Id])</f>
        <v>1511</v>
      </c>
      <c r="B102">
        <v>1611</v>
      </c>
      <c r="C102" s="5">
        <f>IF(Tabla_Compras_Extranjera[[#This Row],[id_padre]]="",0,_xlfn.XLOOKUP(Tabla_Compras_Extranjera[[#This Row],[id_padre]],Tabla_Compras_Extranjera[Id],Tabla_Compras_Extranjera[Nivel],0,0,1)+1)</f>
        <v>3</v>
      </c>
      <c r="D102" s="2" t="s">
        <v>1671</v>
      </c>
      <c r="E102">
        <f>IF(Tabla_Compras_Extranjera[[#This Row],[Id_anterior]]=1,ROW()-1,SUM(ROW()-1,Tabla_Compras_Extranjera[[#This Row],[Id_anterior]]))</f>
        <v>1612</v>
      </c>
      <c r="F10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COMPRAS_EXTRANJERA_COMEX_CONSULTAS_DE_ORDENES_COMPRA_ORDEN_COMPRA_ESPECIFICA</v>
      </c>
      <c r="G102" s="2" t="str">
        <f>CLEAN(PROPER(Tabla_Compras_Extranjera[[#This Row],[Nombre Opción]]))</f>
        <v>Orden De Compra Especifica</v>
      </c>
      <c r="H102" s="2" t="s">
        <v>1735</v>
      </c>
      <c r="I102" s="2" t="str">
        <f>_xlfn.XLOOKUP(Tabla_Compras_Extranjera[[#This Row],[id_padre]],Tabla_Compras_Extranjera[Id],Tabla_Compras_Extranjera[Codigo_Tecnico],"",0,1)</f>
        <v>COMPRAS_EXTRANJERA_COMEX_CONSULTAS_DE_ORDENES_COMPRA</v>
      </c>
      <c r="J10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/compras-extranjera-comex/consultas/de-ordenes-compra/orden-compra-especifica</v>
      </c>
      <c r="K10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orden-compra-especifica</v>
      </c>
      <c r="L102" s="6" t="s">
        <v>1542</v>
      </c>
      <c r="M102" t="s">
        <v>1796</v>
      </c>
      <c r="N102" s="4" t="s">
        <v>360</v>
      </c>
      <c r="O102" s="4" t="s">
        <v>360</v>
      </c>
      <c r="P102" s="4" t="s">
        <v>360</v>
      </c>
      <c r="Q102" s="4" t="s">
        <v>360</v>
      </c>
      <c r="R102" s="4" t="s">
        <v>360</v>
      </c>
      <c r="S102" s="4" t="s">
        <v>360</v>
      </c>
      <c r="T102" s="2" t="str">
        <f>IF(Tabla_Compras_Extranjera[[#This Row],[id_padre]]=Tabla_Compras_Extranjera[[#This Row],[Id]],"NOK","OK")</f>
        <v>OK</v>
      </c>
    </row>
    <row r="103" spans="1:20" hidden="1" x14ac:dyDescent="0.5">
      <c r="A103">
        <f>MAX(Tabla_Activo_Fijo[Id])</f>
        <v>1511</v>
      </c>
      <c r="B103">
        <v>1611</v>
      </c>
      <c r="C103" s="5">
        <f>IF(Tabla_Compras_Extranjera[[#This Row],[id_padre]]="",0,_xlfn.XLOOKUP(Tabla_Compras_Extranjera[[#This Row],[id_padre]],Tabla_Compras_Extranjera[Id],Tabla_Compras_Extranjera[Nivel],0,0,1)+1)</f>
        <v>3</v>
      </c>
      <c r="D103" s="2" t="s">
        <v>1666</v>
      </c>
      <c r="E103">
        <f>IF(Tabla_Compras_Extranjera[[#This Row],[Id_anterior]]=1,ROW()-1,SUM(ROW()-1,Tabla_Compras_Extranjera[[#This Row],[Id_anterior]]))</f>
        <v>1613</v>
      </c>
      <c r="F10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COMPRAS_EXTRANJERA_COMEX_CONSULTAS_DE_ORDENES_COMPRA_REQUERIMIENTOS_POR_ORDEN_COMPRA</v>
      </c>
      <c r="G103" s="2" t="str">
        <f>CLEAN(PROPER(Tabla_Compras_Extranjera[[#This Row],[Nombre Opción]]))</f>
        <v>Requerimientos Por Orden De Compra</v>
      </c>
      <c r="H103" s="2" t="s">
        <v>1735</v>
      </c>
      <c r="I103" s="2" t="str">
        <f>_xlfn.XLOOKUP(Tabla_Compras_Extranjera[[#This Row],[id_padre]],Tabla_Compras_Extranjera[Id],Tabla_Compras_Extranjera[Codigo_Tecnico],"",0,1)</f>
        <v>COMPRAS_EXTRANJERA_COMEX_CONSULTAS_DE_ORDENES_COMPRA</v>
      </c>
      <c r="J10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/compras-extranjera-comex/consultas/de-ordenes-compra/requerimientos-por-orden-compra</v>
      </c>
      <c r="K10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requerimientos-por-orden-compra</v>
      </c>
      <c r="L103" s="6" t="s">
        <v>1726</v>
      </c>
      <c r="M103" t="s">
        <v>1796</v>
      </c>
      <c r="N103" s="4" t="s">
        <v>360</v>
      </c>
      <c r="O103" s="4" t="s">
        <v>360</v>
      </c>
      <c r="P103" s="4" t="s">
        <v>360</v>
      </c>
      <c r="Q103" s="4" t="s">
        <v>360</v>
      </c>
      <c r="R103" s="4" t="s">
        <v>360</v>
      </c>
      <c r="S103" s="4" t="s">
        <v>360</v>
      </c>
      <c r="T103" s="2" t="str">
        <f>IF(Tabla_Compras_Extranjera[[#This Row],[id_padre]]=Tabla_Compras_Extranjera[[#This Row],[Id]],"NOK","OK")</f>
        <v>OK</v>
      </c>
    </row>
    <row r="104" spans="1:20" hidden="1" x14ac:dyDescent="0.5">
      <c r="A104">
        <f>MAX(Tabla_Activo_Fijo[Id])</f>
        <v>1511</v>
      </c>
      <c r="B104">
        <v>1611</v>
      </c>
      <c r="C104" s="5">
        <f>IF(Tabla_Compras_Extranjera[[#This Row],[id_padre]]="",0,_xlfn.XLOOKUP(Tabla_Compras_Extranjera[[#This Row],[id_padre]],Tabla_Compras_Extranjera[Id],Tabla_Compras_Extranjera[Nivel],0,0,1)+1)</f>
        <v>3</v>
      </c>
      <c r="D104" s="2" t="s">
        <v>1667</v>
      </c>
      <c r="E104">
        <f>IF(Tabla_Compras_Extranjera[[#This Row],[Id_anterior]]=1,ROW()-1,SUM(ROW()-1,Tabla_Compras_Extranjera[[#This Row],[Id_anterior]]))</f>
        <v>1614</v>
      </c>
      <c r="F10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COMPRAS_EXTRANJERA_COMEX_CONSULTAS_DE_ORDENES_COMPRA_POR_FECHAS_ANULACION</v>
      </c>
      <c r="G104" s="2" t="str">
        <f>CLEAN(PROPER(Tabla_Compras_Extranjera[[#This Row],[Nombre Opción]]))</f>
        <v>Por Fechas De Anulación</v>
      </c>
      <c r="H104" s="2" t="s">
        <v>1735</v>
      </c>
      <c r="I104" s="2" t="str">
        <f>_xlfn.XLOOKUP(Tabla_Compras_Extranjera[[#This Row],[id_padre]],Tabla_Compras_Extranjera[Id],Tabla_Compras_Extranjera[Codigo_Tecnico],"",0,1)</f>
        <v>COMPRAS_EXTRANJERA_COMEX_CONSULTAS_DE_ORDENES_COMPRA</v>
      </c>
      <c r="J10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/compras-extranjera-comex/consultas/de-ordenes-compra/por-fechas-anulacion</v>
      </c>
      <c r="K10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por-fechas-anulacion</v>
      </c>
      <c r="L104" s="6" t="s">
        <v>1383</v>
      </c>
      <c r="M104" t="s">
        <v>1796</v>
      </c>
      <c r="N104" s="4" t="s">
        <v>360</v>
      </c>
      <c r="O104" s="4" t="s">
        <v>360</v>
      </c>
      <c r="P104" s="4" t="s">
        <v>360</v>
      </c>
      <c r="Q104" s="4" t="s">
        <v>360</v>
      </c>
      <c r="R104" s="4" t="s">
        <v>360</v>
      </c>
      <c r="S104" s="4" t="s">
        <v>360</v>
      </c>
      <c r="T104" s="2" t="str">
        <f>IF(Tabla_Compras_Extranjera[[#This Row],[id_padre]]=Tabla_Compras_Extranjera[[#This Row],[Id]],"NOK","OK")</f>
        <v>OK</v>
      </c>
    </row>
    <row r="105" spans="1:20" hidden="1" x14ac:dyDescent="0.5">
      <c r="A105">
        <f>MAX(Tabla_Activo_Fijo[Id])</f>
        <v>1511</v>
      </c>
      <c r="B105">
        <v>1611</v>
      </c>
      <c r="C105" s="5">
        <f>IF(Tabla_Compras_Extranjera[[#This Row],[id_padre]]="",0,_xlfn.XLOOKUP(Tabla_Compras_Extranjera[[#This Row],[id_padre]],Tabla_Compras_Extranjera[Id],Tabla_Compras_Extranjera[Nivel],0,0,1)+1)</f>
        <v>3</v>
      </c>
      <c r="D105" s="2" t="s">
        <v>1668</v>
      </c>
      <c r="E105">
        <f>IF(Tabla_Compras_Extranjera[[#This Row],[Id_anterior]]=1,ROW()-1,SUM(ROW()-1,Tabla_Compras_Extranjera[[#This Row],[Id_anterior]]))</f>
        <v>1615</v>
      </c>
      <c r="F10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COMPRAS_EXTRANJERA_COMEX_CONSULTAS_DE_ORDENES_COMPRA_POR_FECHA_INGRESO</v>
      </c>
      <c r="G105" s="2" t="str">
        <f>CLEAN(PROPER(Tabla_Compras_Extranjera[[#This Row],[Nombre Opción]]))</f>
        <v>Por Fecha De Ingreso</v>
      </c>
      <c r="H105" s="2" t="s">
        <v>1735</v>
      </c>
      <c r="I105" s="2" t="str">
        <f>_xlfn.XLOOKUP(Tabla_Compras_Extranjera[[#This Row],[id_padre]],Tabla_Compras_Extranjera[Id],Tabla_Compras_Extranjera[Codigo_Tecnico],"",0,1)</f>
        <v>COMPRAS_EXTRANJERA_COMEX_CONSULTAS_DE_ORDENES_COMPRA</v>
      </c>
      <c r="J10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/compras-extranjera-comex/consultas/de-ordenes-compra/por-fecha-ingreso</v>
      </c>
      <c r="K10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por-fecha-ingreso</v>
      </c>
      <c r="L105" s="6" t="s">
        <v>1357</v>
      </c>
      <c r="M105" t="s">
        <v>1796</v>
      </c>
      <c r="N105" s="4" t="s">
        <v>360</v>
      </c>
      <c r="O105" s="4" t="s">
        <v>360</v>
      </c>
      <c r="P105" s="4" t="s">
        <v>360</v>
      </c>
      <c r="Q105" s="4" t="s">
        <v>360</v>
      </c>
      <c r="R105" s="4" t="s">
        <v>360</v>
      </c>
      <c r="S105" s="4" t="s">
        <v>360</v>
      </c>
      <c r="T105" s="2" t="str">
        <f>IF(Tabla_Compras_Extranjera[[#This Row],[id_padre]]=Tabla_Compras_Extranjera[[#This Row],[Id]],"NOK","OK")</f>
        <v>OK</v>
      </c>
    </row>
    <row r="106" spans="1:20" hidden="1" x14ac:dyDescent="0.5">
      <c r="A106">
        <f>MAX(Tabla_Activo_Fijo[Id])</f>
        <v>1511</v>
      </c>
      <c r="B106">
        <v>1611</v>
      </c>
      <c r="C106" s="5">
        <f>IF(Tabla_Compras_Extranjera[[#This Row],[id_padre]]="",0,_xlfn.XLOOKUP(Tabla_Compras_Extranjera[[#This Row],[id_padre]],Tabla_Compras_Extranjera[Id],Tabla_Compras_Extranjera[Nivel],0,0,1)+1)</f>
        <v>3</v>
      </c>
      <c r="D106" s="2" t="s">
        <v>1696</v>
      </c>
      <c r="E106">
        <f>IF(Tabla_Compras_Extranjera[[#This Row],[Id_anterior]]=1,ROW()-1,SUM(ROW()-1,Tabla_Compras_Extranjera[[#This Row],[Id_anterior]]))</f>
        <v>1616</v>
      </c>
      <c r="F10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COMPRAS_EXTRANJERA_COMEX_CONSULTAS_DE_ORDENES_COMPRA_POR_CUENTA</v>
      </c>
      <c r="G106" s="2" t="str">
        <f>CLEAN(PROPER(Tabla_Compras_Extranjera[[#This Row],[Nombre Opción]]))</f>
        <v>Por Cuenta</v>
      </c>
      <c r="H106" s="2" t="s">
        <v>1735</v>
      </c>
      <c r="I106" s="2" t="str">
        <f>_xlfn.XLOOKUP(Tabla_Compras_Extranjera[[#This Row],[id_padre]],Tabla_Compras_Extranjera[Id],Tabla_Compras_Extranjera[Codigo_Tecnico],"",0,1)</f>
        <v>COMPRAS_EXTRANJERA_COMEX_CONSULTAS_DE_ORDENES_COMPRA</v>
      </c>
      <c r="J10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/compras-extranjera-comex/consultas/de-ordenes-compra/por-cuenta</v>
      </c>
      <c r="K10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por-cuenta</v>
      </c>
      <c r="L106" s="6" t="s">
        <v>1367</v>
      </c>
      <c r="M106" t="s">
        <v>1796</v>
      </c>
      <c r="N106" s="4" t="s">
        <v>360</v>
      </c>
      <c r="O106" s="4" t="s">
        <v>360</v>
      </c>
      <c r="P106" s="4" t="s">
        <v>360</v>
      </c>
      <c r="Q106" s="4" t="s">
        <v>360</v>
      </c>
      <c r="R106" s="4" t="s">
        <v>360</v>
      </c>
      <c r="S106" s="4" t="s">
        <v>360</v>
      </c>
      <c r="T106" s="2" t="str">
        <f>IF(Tabla_Compras_Extranjera[[#This Row],[id_padre]]=Tabla_Compras_Extranjera[[#This Row],[Id]],"NOK","OK")</f>
        <v>OK</v>
      </c>
    </row>
    <row r="107" spans="1:20" hidden="1" x14ac:dyDescent="0.5">
      <c r="A107">
        <f>MAX(Tabla_Activo_Fijo[Id])</f>
        <v>1511</v>
      </c>
      <c r="B107">
        <v>1611</v>
      </c>
      <c r="C107" s="5">
        <f>IF(Tabla_Compras_Extranjera[[#This Row],[id_padre]]="",0,_xlfn.XLOOKUP(Tabla_Compras_Extranjera[[#This Row],[id_padre]],Tabla_Compras_Extranjera[Id],Tabla_Compras_Extranjera[Nivel],0,0,1)+1)</f>
        <v>3</v>
      </c>
      <c r="D107" s="2" t="s">
        <v>1697</v>
      </c>
      <c r="E107">
        <f>IF(Tabla_Compras_Extranjera[[#This Row],[Id_anterior]]=1,ROW()-1,SUM(ROW()-1,Tabla_Compras_Extranjera[[#This Row],[Id_anterior]]))</f>
        <v>1617</v>
      </c>
      <c r="F10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COMPRAS_EXTRANJERA_COMEX_CONSULTAS_DE_ORDENES_COMPRA_POR_TAREA</v>
      </c>
      <c r="G107" s="2" t="str">
        <f>CLEAN(PROPER(Tabla_Compras_Extranjera[[#This Row],[Nombre Opción]]))</f>
        <v>Por Tarea</v>
      </c>
      <c r="H107" s="2" t="s">
        <v>1735</v>
      </c>
      <c r="I107" s="2" t="str">
        <f>_xlfn.XLOOKUP(Tabla_Compras_Extranjera[[#This Row],[id_padre]],Tabla_Compras_Extranjera[Id],Tabla_Compras_Extranjera[Codigo_Tecnico],"",0,1)</f>
        <v>COMPRAS_EXTRANJERA_COMEX_CONSULTAS_DE_ORDENES_COMPRA</v>
      </c>
      <c r="J10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/compras-extranjera-comex/consultas/de-ordenes-compra/por-tarea</v>
      </c>
      <c r="K10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por-tarea</v>
      </c>
      <c r="L107" s="6" t="s">
        <v>1728</v>
      </c>
      <c r="M107" t="s">
        <v>1796</v>
      </c>
      <c r="N107" s="4" t="s">
        <v>360</v>
      </c>
      <c r="O107" s="4" t="s">
        <v>360</v>
      </c>
      <c r="P107" s="4" t="s">
        <v>360</v>
      </c>
      <c r="Q107" s="4" t="s">
        <v>360</v>
      </c>
      <c r="R107" s="4" t="s">
        <v>360</v>
      </c>
      <c r="S107" s="4" t="s">
        <v>360</v>
      </c>
      <c r="T107" s="2" t="str">
        <f>IF(Tabla_Compras_Extranjera[[#This Row],[id_padre]]=Tabla_Compras_Extranjera[[#This Row],[Id]],"NOK","OK")</f>
        <v>OK</v>
      </c>
    </row>
    <row r="108" spans="1:20" hidden="1" x14ac:dyDescent="0.5">
      <c r="A108">
        <f>MAX(Tabla_Activo_Fijo[Id])</f>
        <v>1511</v>
      </c>
      <c r="B108">
        <v>1611</v>
      </c>
      <c r="C108" s="5">
        <f>IF(Tabla_Compras_Extranjera[[#This Row],[id_padre]]="",0,_xlfn.XLOOKUP(Tabla_Compras_Extranjera[[#This Row],[id_padre]],Tabla_Compras_Extranjera[Id],Tabla_Compras_Extranjera[Nivel],0,0,1)+1)</f>
        <v>3</v>
      </c>
      <c r="D108" s="2" t="s">
        <v>1669</v>
      </c>
      <c r="E108">
        <f>IF(Tabla_Compras_Extranjera[[#This Row],[Id_anterior]]=1,ROW()-1,SUM(ROW()-1,Tabla_Compras_Extranjera[[#This Row],[Id_anterior]]))</f>
        <v>1618</v>
      </c>
      <c r="F10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COMPRAS_EXTRANJERA_COMEX_CONSULTAS_DE_ORDENES_COMPRA_POR_PROYECTO</v>
      </c>
      <c r="G108" s="2" t="str">
        <f>CLEAN(PROPER(Tabla_Compras_Extranjera[[#This Row],[Nombre Opción]]))</f>
        <v>Por Proyecto</v>
      </c>
      <c r="H108" s="2" t="s">
        <v>1735</v>
      </c>
      <c r="I108" s="2" t="str">
        <f>_xlfn.XLOOKUP(Tabla_Compras_Extranjera[[#This Row],[id_padre]],Tabla_Compras_Extranjera[Id],Tabla_Compras_Extranjera[Codigo_Tecnico],"",0,1)</f>
        <v>COMPRAS_EXTRANJERA_COMEX_CONSULTAS_DE_ORDENES_COMPRA</v>
      </c>
      <c r="J10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/compras-extranjera-comex/consultas/de-ordenes-compra/por-proyecto</v>
      </c>
      <c r="K10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por-proyecto</v>
      </c>
      <c r="L108" s="6" t="s">
        <v>1548</v>
      </c>
      <c r="M108" t="s">
        <v>1796</v>
      </c>
      <c r="N108" s="4" t="s">
        <v>360</v>
      </c>
      <c r="O108" s="4" t="s">
        <v>360</v>
      </c>
      <c r="P108" s="4" t="s">
        <v>360</v>
      </c>
      <c r="Q108" s="4" t="s">
        <v>360</v>
      </c>
      <c r="R108" s="4" t="s">
        <v>360</v>
      </c>
      <c r="S108" s="4" t="s">
        <v>360</v>
      </c>
      <c r="T108" s="2" t="str">
        <f>IF(Tabla_Compras_Extranjera[[#This Row],[id_padre]]=Tabla_Compras_Extranjera[[#This Row],[Id]],"NOK","OK")</f>
        <v>OK</v>
      </c>
    </row>
    <row r="109" spans="1:20" hidden="1" x14ac:dyDescent="0.5">
      <c r="A109">
        <f>MAX(Tabla_Activo_Fijo[Id])</f>
        <v>1511</v>
      </c>
      <c r="B109">
        <v>1611</v>
      </c>
      <c r="C109" s="5">
        <f>IF(Tabla_Compras_Extranjera[[#This Row],[id_padre]]="",0,_xlfn.XLOOKUP(Tabla_Compras_Extranjera[[#This Row],[id_padre]],Tabla_Compras_Extranjera[Id],Tabla_Compras_Extranjera[Nivel],0,0,1)+1)</f>
        <v>3</v>
      </c>
      <c r="D109" s="2" t="s">
        <v>1698</v>
      </c>
      <c r="E109">
        <f>IF(Tabla_Compras_Extranjera[[#This Row],[Id_anterior]]=1,ROW()-1,SUM(ROW()-1,Tabla_Compras_Extranjera[[#This Row],[Id_anterior]]))</f>
        <v>1619</v>
      </c>
      <c r="F10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COMPRAS_EXTRANJERA_COMEX_CONSULTAS_DE_ORDENES_COMPRA_POR_CASOS_FMS</v>
      </c>
      <c r="G109" s="2" t="str">
        <f>CLEAN(PROPER(Tabla_Compras_Extranjera[[#This Row],[Nombre Opción]]))</f>
        <v>Por Casos F.M.S.</v>
      </c>
      <c r="H109" s="2" t="s">
        <v>1735</v>
      </c>
      <c r="I109" s="2" t="str">
        <f>_xlfn.XLOOKUP(Tabla_Compras_Extranjera[[#This Row],[id_padre]],Tabla_Compras_Extranjera[Id],Tabla_Compras_Extranjera[Codigo_Tecnico],"",0,1)</f>
        <v>COMPRAS_EXTRANJERA_COMEX_CONSULTAS_DE_ORDENES_COMPRA</v>
      </c>
      <c r="J10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/compras-extranjera-comex/consultas/de-ordenes-compra/por-casos-fms</v>
      </c>
      <c r="K10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por-casos-fms</v>
      </c>
      <c r="L109" s="6" t="s">
        <v>1549</v>
      </c>
      <c r="M109" t="s">
        <v>1796</v>
      </c>
      <c r="N109" s="4" t="s">
        <v>360</v>
      </c>
      <c r="O109" s="4" t="s">
        <v>360</v>
      </c>
      <c r="P109" s="4" t="s">
        <v>360</v>
      </c>
      <c r="Q109" s="4" t="s">
        <v>360</v>
      </c>
      <c r="R109" s="4" t="s">
        <v>360</v>
      </c>
      <c r="S109" s="4" t="s">
        <v>360</v>
      </c>
      <c r="T109" s="2" t="str">
        <f>IF(Tabla_Compras_Extranjera[[#This Row],[id_padre]]=Tabla_Compras_Extranjera[[#This Row],[Id]],"NOK","OK")</f>
        <v>OK</v>
      </c>
    </row>
    <row r="110" spans="1:20" hidden="1" x14ac:dyDescent="0.5">
      <c r="A110">
        <f>MAX(Tabla_Activo_Fijo[Id])</f>
        <v>1511</v>
      </c>
      <c r="B110">
        <v>1611</v>
      </c>
      <c r="C110" s="5">
        <f>IF(Tabla_Compras_Extranjera[[#This Row],[id_padre]]="",0,_xlfn.XLOOKUP(Tabla_Compras_Extranjera[[#This Row],[id_padre]],Tabla_Compras_Extranjera[Id],Tabla_Compras_Extranjera[Nivel],0,0,1)+1)</f>
        <v>3</v>
      </c>
      <c r="D110" s="2" t="s">
        <v>1670</v>
      </c>
      <c r="E110">
        <f>IF(Tabla_Compras_Extranjera[[#This Row],[Id_anterior]]=1,ROW()-1,SUM(ROW()-1,Tabla_Compras_Extranjera[[#This Row],[Id_anterior]]))</f>
        <v>1620</v>
      </c>
      <c r="F11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COMPRAS_EXTRANJERA_COMEX_CONSULTAS_DE_ORDENES_COMPRA_POR_EMBARCADORA</v>
      </c>
      <c r="G110" s="2" t="str">
        <f>CLEAN(PROPER(Tabla_Compras_Extranjera[[#This Row],[Nombre Opción]]))</f>
        <v>Por Embarcadora</v>
      </c>
      <c r="H110" s="2" t="s">
        <v>1735</v>
      </c>
      <c r="I110" s="2" t="str">
        <f>_xlfn.XLOOKUP(Tabla_Compras_Extranjera[[#This Row],[id_padre]],Tabla_Compras_Extranjera[Id],Tabla_Compras_Extranjera[Codigo_Tecnico],"",0,1)</f>
        <v>COMPRAS_EXTRANJERA_COMEX_CONSULTAS_DE_ORDENES_COMPRA</v>
      </c>
      <c r="J11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/compras-extranjera-comex/consultas/de-ordenes-compra/por-embarcadora</v>
      </c>
      <c r="K11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por-embarcadora</v>
      </c>
      <c r="L110" s="6" t="s">
        <v>1725</v>
      </c>
      <c r="M110" t="s">
        <v>1796</v>
      </c>
      <c r="N110" s="4" t="s">
        <v>360</v>
      </c>
      <c r="O110" s="4" t="s">
        <v>360</v>
      </c>
      <c r="P110" s="4" t="s">
        <v>360</v>
      </c>
      <c r="Q110" s="4" t="s">
        <v>360</v>
      </c>
      <c r="R110" s="4" t="s">
        <v>360</v>
      </c>
      <c r="S110" s="4" t="s">
        <v>360</v>
      </c>
      <c r="T110" s="2" t="str">
        <f>IF(Tabla_Compras_Extranjera[[#This Row],[id_padre]]=Tabla_Compras_Extranjera[[#This Row],[Id]],"NOK","OK")</f>
        <v>OK</v>
      </c>
    </row>
    <row r="111" spans="1:20" hidden="1" x14ac:dyDescent="0.5">
      <c r="A111">
        <f>MAX(Tabla_Activo_Fijo[Id])</f>
        <v>1511</v>
      </c>
      <c r="B111">
        <v>1515</v>
      </c>
      <c r="C111" s="5">
        <f>IF(Tabla_Compras_Extranjera[[#This Row],[id_padre]]="",0,_xlfn.XLOOKUP(Tabla_Compras_Extranjera[[#This Row],[id_padre]],Tabla_Compras_Extranjera[Id],Tabla_Compras_Extranjera[Nivel],0,0,1)+1)</f>
        <v>2</v>
      </c>
      <c r="D111" s="2" t="s">
        <v>1665</v>
      </c>
      <c r="E111">
        <f>IF(Tabla_Compras_Extranjera[[#This Row],[Id_anterior]]=1,ROW()-1,SUM(ROW()-1,Tabla_Compras_Extranjera[[#This Row],[Id_anterior]]))</f>
        <v>1621</v>
      </c>
      <c r="F11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</v>
      </c>
      <c r="G111" s="2" t="str">
        <f>CLEAN(PROPER(Tabla_Compras_Extranjera[[#This Row],[Nombre Opción]]))</f>
        <v>Recepciones</v>
      </c>
      <c r="H111" s="2" t="s">
        <v>1735</v>
      </c>
      <c r="I111" s="2" t="str">
        <f>_xlfn.XLOOKUP(Tabla_Compras_Extranjera[[#This Row],[id_padre]],Tabla_Compras_Extranjera[Id],Tabla_Compras_Extranjera[Codigo_Tecnico],"",0,1)</f>
        <v>COMPRAS_EXTRANJERA_COMEX_CONSULTAS</v>
      </c>
      <c r="J11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</v>
      </c>
      <c r="K11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recepciones</v>
      </c>
      <c r="L111" s="6" t="s">
        <v>1388</v>
      </c>
      <c r="M111" t="s">
        <v>1796</v>
      </c>
      <c r="N111" s="4" t="s">
        <v>360</v>
      </c>
      <c r="O111" s="4" t="s">
        <v>360</v>
      </c>
      <c r="P111" s="4" t="s">
        <v>360</v>
      </c>
      <c r="Q111" s="4" t="s">
        <v>360</v>
      </c>
      <c r="R111" s="4" t="s">
        <v>360</v>
      </c>
      <c r="S111" s="4" t="s">
        <v>360</v>
      </c>
      <c r="T111" s="2" t="str">
        <f>IF(Tabla_Compras_Extranjera[[#This Row],[id_padre]]=Tabla_Compras_Extranjera[[#This Row],[Id]],"NOK","OK")</f>
        <v>OK</v>
      </c>
    </row>
    <row r="112" spans="1:20" hidden="1" x14ac:dyDescent="0.5">
      <c r="A112">
        <f>MAX(Tabla_Activo_Fijo[Id])</f>
        <v>1511</v>
      </c>
      <c r="B112">
        <v>1621</v>
      </c>
      <c r="C112" s="5">
        <f>IF(Tabla_Compras_Extranjera[[#This Row],[id_padre]]="",0,_xlfn.XLOOKUP(Tabla_Compras_Extranjera[[#This Row],[id_padre]],Tabla_Compras_Extranjera[Id],Tabla_Compras_Extranjera[Nivel],0,0,1)+1)</f>
        <v>3</v>
      </c>
      <c r="D112" s="2" t="s">
        <v>1699</v>
      </c>
      <c r="E112">
        <f>IF(Tabla_Compras_Extranjera[[#This Row],[Id_anterior]]=1,ROW()-1,SUM(ROW()-1,Tabla_Compras_Extranjera[[#This Row],[Id_anterior]]))</f>
        <v>1622</v>
      </c>
      <c r="F11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COMPRAS_EXTRANJERA_COMEX_CONSULTAS_RECEPCIONES_POR_REQUERIMIENTO</v>
      </c>
      <c r="G112" s="2" t="str">
        <f>CLEAN(PROPER(Tabla_Compras_Extranjera[[#This Row],[Nombre Opción]]))</f>
        <v>Por Requerimiento</v>
      </c>
      <c r="H112" s="2" t="s">
        <v>1735</v>
      </c>
      <c r="I112" s="2" t="str">
        <f>_xlfn.XLOOKUP(Tabla_Compras_Extranjera[[#This Row],[id_padre]],Tabla_Compras_Extranjera[Id],Tabla_Compras_Extranjera[Codigo_Tecnico],"",0,1)</f>
        <v>COMPRAS_EXTRANJERA_COMEX_CONSULTAS_RECEPCIONES</v>
      </c>
      <c r="J11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/compras-extranjera-comex/consultas/recepciones/por-requerimiento</v>
      </c>
      <c r="K11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por-requerimiento</v>
      </c>
      <c r="L112" s="6" t="s">
        <v>1726</v>
      </c>
      <c r="M112" t="s">
        <v>1796</v>
      </c>
      <c r="N112" s="4" t="s">
        <v>360</v>
      </c>
      <c r="O112" s="4" t="s">
        <v>360</v>
      </c>
      <c r="P112" s="4" t="s">
        <v>360</v>
      </c>
      <c r="Q112" s="4" t="s">
        <v>360</v>
      </c>
      <c r="R112" s="4" t="s">
        <v>360</v>
      </c>
      <c r="S112" s="4" t="s">
        <v>360</v>
      </c>
      <c r="T112" s="2" t="str">
        <f>IF(Tabla_Compras_Extranjera[[#This Row],[id_padre]]=Tabla_Compras_Extranjera[[#This Row],[Id]],"NOK","OK")</f>
        <v>OK</v>
      </c>
    </row>
    <row r="113" spans="1:20" hidden="1" x14ac:dyDescent="0.5">
      <c r="A113">
        <f>MAX(Tabla_Activo_Fijo[Id])</f>
        <v>1511</v>
      </c>
      <c r="B113">
        <v>1621</v>
      </c>
      <c r="C113" s="5">
        <f>IF(Tabla_Compras_Extranjera[[#This Row],[id_padre]]="",0,_xlfn.XLOOKUP(Tabla_Compras_Extranjera[[#This Row],[id_padre]],Tabla_Compras_Extranjera[Id],Tabla_Compras_Extranjera[Nivel],0,0,1)+1)</f>
        <v>3</v>
      </c>
      <c r="D113" s="2" t="s">
        <v>1700</v>
      </c>
      <c r="E113">
        <f>IF(Tabla_Compras_Extranjera[[#This Row],[Id_anterior]]=1,ROW()-1,SUM(ROW()-1,Tabla_Compras_Extranjera[[#This Row],[Id_anterior]]))</f>
        <v>1623</v>
      </c>
      <c r="F11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COMPRAS_EXTRANJERA_COMEX_CONSULTAS_RECEPCIONES_POR_ORDEN_COMPRA</v>
      </c>
      <c r="G113" s="2" t="str">
        <f>CLEAN(PROPER(Tabla_Compras_Extranjera[[#This Row],[Nombre Opción]]))</f>
        <v>Por Orden De Compra</v>
      </c>
      <c r="H113" s="2" t="s">
        <v>1735</v>
      </c>
      <c r="I113" s="2" t="str">
        <f>_xlfn.XLOOKUP(Tabla_Compras_Extranjera[[#This Row],[id_padre]],Tabla_Compras_Extranjera[Id],Tabla_Compras_Extranjera[Codigo_Tecnico],"",0,1)</f>
        <v>COMPRAS_EXTRANJERA_COMEX_CONSULTAS_RECEPCIONES</v>
      </c>
      <c r="J11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/compras-extranjera-comex/consultas/recepciones/por-orden-compra</v>
      </c>
      <c r="K11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por-orden-compra</v>
      </c>
      <c r="L113" s="6" t="s">
        <v>1349</v>
      </c>
      <c r="M113" t="s">
        <v>1796</v>
      </c>
      <c r="N113" s="4" t="s">
        <v>360</v>
      </c>
      <c r="O113" s="4" t="s">
        <v>360</v>
      </c>
      <c r="P113" s="4" t="s">
        <v>360</v>
      </c>
      <c r="Q113" s="4" t="s">
        <v>360</v>
      </c>
      <c r="R113" s="4" t="s">
        <v>360</v>
      </c>
      <c r="S113" s="4" t="s">
        <v>360</v>
      </c>
      <c r="T113" s="2" t="str">
        <f>IF(Tabla_Compras_Extranjera[[#This Row],[id_padre]]=Tabla_Compras_Extranjera[[#This Row],[Id]],"NOK","OK")</f>
        <v>OK</v>
      </c>
    </row>
    <row r="114" spans="1:20" hidden="1" x14ac:dyDescent="0.5">
      <c r="A114">
        <f>MAX(Tabla_Activo_Fijo[Id])</f>
        <v>1511</v>
      </c>
      <c r="B114">
        <v>1621</v>
      </c>
      <c r="C114" s="5">
        <f>IF(Tabla_Compras_Extranjera[[#This Row],[id_padre]]="",0,_xlfn.XLOOKUP(Tabla_Compras_Extranjera[[#This Row],[id_padre]],Tabla_Compras_Extranjera[Id],Tabla_Compras_Extranjera[Nivel],0,0,1)+1)</f>
        <v>3</v>
      </c>
      <c r="D114" s="2" t="s">
        <v>1052</v>
      </c>
      <c r="E114">
        <f>IF(Tabla_Compras_Extranjera[[#This Row],[Id_anterior]]=1,ROW()-1,SUM(ROW()-1,Tabla_Compras_Extranjera[[#This Row],[Id_anterior]]))</f>
        <v>1624</v>
      </c>
      <c r="F11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COMPRAS_EXTRANJERA_COMEX_CONSULTAS_RECEPCIONES_POR_FECHA</v>
      </c>
      <c r="G114" s="2" t="str">
        <f>CLEAN(PROPER(Tabla_Compras_Extranjera[[#This Row],[Nombre Opción]]))</f>
        <v>Por Fecha</v>
      </c>
      <c r="H114" s="2" t="s">
        <v>1735</v>
      </c>
      <c r="I114" s="2" t="str">
        <f>_xlfn.XLOOKUP(Tabla_Compras_Extranjera[[#This Row],[id_padre]],Tabla_Compras_Extranjera[Id],Tabla_Compras_Extranjera[Codigo_Tecnico],"",0,1)</f>
        <v>COMPRAS_EXTRANJERA_COMEX_CONSULTAS_RECEPCIONES</v>
      </c>
      <c r="J11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/compras-extranjera-comex/consultas/recepciones/por-fecha</v>
      </c>
      <c r="K11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por-fecha</v>
      </c>
      <c r="L114" s="6" t="s">
        <v>1372</v>
      </c>
      <c r="M114" t="s">
        <v>1796</v>
      </c>
      <c r="N114" s="4" t="s">
        <v>360</v>
      </c>
      <c r="O114" s="4" t="s">
        <v>360</v>
      </c>
      <c r="P114" s="4" t="s">
        <v>360</v>
      </c>
      <c r="Q114" s="4" t="s">
        <v>360</v>
      </c>
      <c r="R114" s="4" t="s">
        <v>360</v>
      </c>
      <c r="S114" s="4" t="s">
        <v>360</v>
      </c>
      <c r="T114" s="2" t="str">
        <f>IF(Tabla_Compras_Extranjera[[#This Row],[id_padre]]=Tabla_Compras_Extranjera[[#This Row],[Id]],"NOK","OK")</f>
        <v>OK</v>
      </c>
    </row>
    <row r="115" spans="1:20" hidden="1" x14ac:dyDescent="0.5">
      <c r="A115">
        <f>MAX(Tabla_Activo_Fijo[Id])</f>
        <v>1511</v>
      </c>
      <c r="B115">
        <v>1621</v>
      </c>
      <c r="C115" s="5">
        <f>IF(Tabla_Compras_Extranjera[[#This Row],[id_padre]]="",0,_xlfn.XLOOKUP(Tabla_Compras_Extranjera[[#This Row],[id_padre]],Tabla_Compras_Extranjera[Id],Tabla_Compras_Extranjera[Nivel],0,0,1)+1)</f>
        <v>3</v>
      </c>
      <c r="D115" s="2" t="s">
        <v>1701</v>
      </c>
      <c r="E115">
        <f>IF(Tabla_Compras_Extranjera[[#This Row],[Id_anterior]]=1,ROW()-1,SUM(ROW()-1,Tabla_Compras_Extranjera[[#This Row],[Id_anterior]]))</f>
        <v>1625</v>
      </c>
      <c r="F11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COMPRAS_EXTRANJERA_COMEX_CONSULTAS_RECEPCIONES_POR_FACTURA</v>
      </c>
      <c r="G115" s="2" t="str">
        <f>CLEAN(PROPER(Tabla_Compras_Extranjera[[#This Row],[Nombre Opción]]))</f>
        <v>Por Factura</v>
      </c>
      <c r="H115" s="2" t="s">
        <v>1735</v>
      </c>
      <c r="I115" s="2" t="str">
        <f>_xlfn.XLOOKUP(Tabla_Compras_Extranjera[[#This Row],[id_padre]],Tabla_Compras_Extranjera[Id],Tabla_Compras_Extranjera[Codigo_Tecnico],"",0,1)</f>
        <v>COMPRAS_EXTRANJERA_COMEX_CONSULTAS_RECEPCIONES</v>
      </c>
      <c r="J11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/compras-extranjera-comex/consultas/recepciones/por-factura</v>
      </c>
      <c r="K11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por-factura</v>
      </c>
      <c r="L115" s="6" t="s">
        <v>1364</v>
      </c>
      <c r="M115" t="s">
        <v>1796</v>
      </c>
      <c r="N115" s="4" t="s">
        <v>360</v>
      </c>
      <c r="O115" s="4" t="s">
        <v>360</v>
      </c>
      <c r="P115" s="4" t="s">
        <v>360</v>
      </c>
      <c r="Q115" s="4" t="s">
        <v>360</v>
      </c>
      <c r="R115" s="4" t="s">
        <v>360</v>
      </c>
      <c r="S115" s="4" t="s">
        <v>360</v>
      </c>
      <c r="T115" s="2" t="str">
        <f>IF(Tabla_Compras_Extranjera[[#This Row],[id_padre]]=Tabla_Compras_Extranjera[[#This Row],[Id]],"NOK","OK")</f>
        <v>OK</v>
      </c>
    </row>
    <row r="116" spans="1:20" hidden="1" x14ac:dyDescent="0.5">
      <c r="A116">
        <f>MAX(Tabla_Activo_Fijo[Id])</f>
        <v>1511</v>
      </c>
      <c r="B116">
        <v>1621</v>
      </c>
      <c r="C116" s="5">
        <f>IF(Tabla_Compras_Extranjera[[#This Row],[id_padre]]="",0,_xlfn.XLOOKUP(Tabla_Compras_Extranjera[[#This Row],[id_padre]],Tabla_Compras_Extranjera[Id],Tabla_Compras_Extranjera[Nivel],0,0,1)+1)</f>
        <v>3</v>
      </c>
      <c r="D116" s="2" t="s">
        <v>1702</v>
      </c>
      <c r="E116">
        <f>IF(Tabla_Compras_Extranjera[[#This Row],[Id_anterior]]=1,ROW()-1,SUM(ROW()-1,Tabla_Compras_Extranjera[[#This Row],[Id_anterior]]))</f>
        <v>1626</v>
      </c>
      <c r="F11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COMPRAS_EXTRANJERA_COMEX_CONSULTAS_RECEPCIONES_POR_GUIA</v>
      </c>
      <c r="G116" s="2" t="str">
        <f>CLEAN(PROPER(Tabla_Compras_Extranjera[[#This Row],[Nombre Opción]]))</f>
        <v>Por Guia</v>
      </c>
      <c r="H116" s="2" t="s">
        <v>1735</v>
      </c>
      <c r="I116" s="2" t="str">
        <f>_xlfn.XLOOKUP(Tabla_Compras_Extranjera[[#This Row],[id_padre]],Tabla_Compras_Extranjera[Id],Tabla_Compras_Extranjera[Codigo_Tecnico],"",0,1)</f>
        <v>COMPRAS_EXTRANJERA_COMEX_CONSULTAS_RECEPCIONES</v>
      </c>
      <c r="J11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/compras-extranjera-comex/consultas/recepciones/por-guia</v>
      </c>
      <c r="K11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por-guia</v>
      </c>
      <c r="L116" s="6" t="s">
        <v>1348</v>
      </c>
      <c r="M116" t="s">
        <v>1796</v>
      </c>
      <c r="N116" s="4" t="s">
        <v>360</v>
      </c>
      <c r="O116" s="4" t="s">
        <v>360</v>
      </c>
      <c r="P116" s="4" t="s">
        <v>360</v>
      </c>
      <c r="Q116" s="4" t="s">
        <v>360</v>
      </c>
      <c r="R116" s="4" t="s">
        <v>360</v>
      </c>
      <c r="S116" s="4" t="s">
        <v>360</v>
      </c>
      <c r="T116" s="2" t="str">
        <f>IF(Tabla_Compras_Extranjera[[#This Row],[id_padre]]=Tabla_Compras_Extranjera[[#This Row],[Id]],"NOK","OK")</f>
        <v>OK</v>
      </c>
    </row>
    <row r="117" spans="1:20" hidden="1" x14ac:dyDescent="0.5">
      <c r="A117">
        <f>MAX(Tabla_Activo_Fijo[Id])</f>
        <v>1511</v>
      </c>
      <c r="B117">
        <v>1621</v>
      </c>
      <c r="C117" s="5">
        <f>IF(Tabla_Compras_Extranjera[[#This Row],[id_padre]]="",0,_xlfn.XLOOKUP(Tabla_Compras_Extranjera[[#This Row],[id_padre]],Tabla_Compras_Extranjera[Id],Tabla_Compras_Extranjera[Nivel],0,0,1)+1)</f>
        <v>3</v>
      </c>
      <c r="D117" s="2" t="s">
        <v>1670</v>
      </c>
      <c r="E117">
        <f>IF(Tabla_Compras_Extranjera[[#This Row],[Id_anterior]]=1,ROW()-1,SUM(ROW()-1,Tabla_Compras_Extranjera[[#This Row],[Id_anterior]]))</f>
        <v>1627</v>
      </c>
      <c r="F11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COMPRAS_EXTRANJERA_COMEX_CONSULTAS_RECEPCIONES_POR_EMBARCADORA</v>
      </c>
      <c r="G117" s="2" t="str">
        <f>CLEAN(PROPER(Tabla_Compras_Extranjera[[#This Row],[Nombre Opción]]))</f>
        <v>Por Embarcadora</v>
      </c>
      <c r="H117" s="2" t="s">
        <v>1735</v>
      </c>
      <c r="I117" s="2" t="str">
        <f>_xlfn.XLOOKUP(Tabla_Compras_Extranjera[[#This Row],[id_padre]],Tabla_Compras_Extranjera[Id],Tabla_Compras_Extranjera[Codigo_Tecnico],"",0,1)</f>
        <v>COMPRAS_EXTRANJERA_COMEX_CONSULTAS_RECEPCIONES</v>
      </c>
      <c r="J11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/compras-extranjera-comex/consultas/recepciones/por-embarcadora</v>
      </c>
      <c r="K11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por-embarcadora</v>
      </c>
      <c r="L117" s="6" t="s">
        <v>1725</v>
      </c>
      <c r="M117" t="s">
        <v>1796</v>
      </c>
      <c r="N117" s="4" t="s">
        <v>360</v>
      </c>
      <c r="O117" s="4" t="s">
        <v>360</v>
      </c>
      <c r="P117" s="4" t="s">
        <v>360</v>
      </c>
      <c r="Q117" s="4" t="s">
        <v>360</v>
      </c>
      <c r="R117" s="4" t="s">
        <v>360</v>
      </c>
      <c r="S117" s="4" t="s">
        <v>360</v>
      </c>
      <c r="T117" s="2" t="str">
        <f>IF(Tabla_Compras_Extranjera[[#This Row],[id_padre]]=Tabla_Compras_Extranjera[[#This Row],[Id]],"NOK","OK")</f>
        <v>OK</v>
      </c>
    </row>
    <row r="118" spans="1:20" hidden="1" x14ac:dyDescent="0.5">
      <c r="A118">
        <f>MAX(Tabla_Activo_Fijo[Id])</f>
        <v>1511</v>
      </c>
      <c r="B118">
        <v>1621</v>
      </c>
      <c r="C118" s="5">
        <f>IF(Tabla_Compras_Extranjera[[#This Row],[id_padre]]="",0,_xlfn.XLOOKUP(Tabla_Compras_Extranjera[[#This Row],[id_padre]],Tabla_Compras_Extranjera[Id],Tabla_Compras_Extranjera[Nivel],0,0,1)+1)</f>
        <v>3</v>
      </c>
      <c r="D118" s="2" t="s">
        <v>1703</v>
      </c>
      <c r="E118">
        <f>IF(Tabla_Compras_Extranjera[[#This Row],[Id_anterior]]=1,ROW()-1,SUM(ROW()-1,Tabla_Compras_Extranjera[[#This Row],[Id_anterior]]))</f>
        <v>1628</v>
      </c>
      <c r="F11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COMPRAS_EXTRANJERA_COMEX_CONSULTAS_RECEPCIONES_DE_ALTAS_FISICAS_POR_FECHA</v>
      </c>
      <c r="G118" s="2" t="str">
        <f>CLEAN(PROPER(Tabla_Compras_Extranjera[[#This Row],[Nombre Opción]]))</f>
        <v>De Altas Fisicas Por Fecha</v>
      </c>
      <c r="H118" s="2" t="s">
        <v>1735</v>
      </c>
      <c r="I118" s="2" t="str">
        <f>_xlfn.XLOOKUP(Tabla_Compras_Extranjera[[#This Row],[id_padre]],Tabla_Compras_Extranjera[Id],Tabla_Compras_Extranjera[Codigo_Tecnico],"",0,1)</f>
        <v>COMPRAS_EXTRANJERA_COMEX_CONSULTAS_RECEPCIONES</v>
      </c>
      <c r="J11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/compras-extranjera-comex/consultas/recepciones/de-altas-fisicas-por-fecha</v>
      </c>
      <c r="K11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de-altas-fisicas-por-fecha</v>
      </c>
      <c r="L118" s="6" t="s">
        <v>1623</v>
      </c>
      <c r="M118" t="s">
        <v>1796</v>
      </c>
      <c r="N118" s="4" t="s">
        <v>360</v>
      </c>
      <c r="O118" s="4" t="s">
        <v>360</v>
      </c>
      <c r="P118" s="4" t="s">
        <v>360</v>
      </c>
      <c r="Q118" s="4" t="s">
        <v>360</v>
      </c>
      <c r="R118" s="4" t="s">
        <v>360</v>
      </c>
      <c r="S118" s="4" t="s">
        <v>360</v>
      </c>
      <c r="T118" s="2" t="str">
        <f>IF(Tabla_Compras_Extranjera[[#This Row],[id_padre]]=Tabla_Compras_Extranjera[[#This Row],[Id]],"NOK","OK")</f>
        <v>OK</v>
      </c>
    </row>
    <row r="119" spans="1:20" hidden="1" x14ac:dyDescent="0.5">
      <c r="A119">
        <f>MAX(Tabla_Activo_Fijo[Id])</f>
        <v>1511</v>
      </c>
      <c r="B119">
        <v>1621</v>
      </c>
      <c r="C119" s="5">
        <f>IF(Tabla_Compras_Extranjera[[#This Row],[id_padre]]="",0,_xlfn.XLOOKUP(Tabla_Compras_Extranjera[[#This Row],[id_padre]],Tabla_Compras_Extranjera[Id],Tabla_Compras_Extranjera[Nivel],0,0,1)+1)</f>
        <v>3</v>
      </c>
      <c r="D119" s="2" t="s">
        <v>1704</v>
      </c>
      <c r="E119">
        <f>IF(Tabla_Compras_Extranjera[[#This Row],[Id_anterior]]=1,ROW()-1,SUM(ROW()-1,Tabla_Compras_Extranjera[[#This Row],[Id_anterior]]))</f>
        <v>1629</v>
      </c>
      <c r="F11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COMPRAS_EXTRANJERA_COMEX_CONSULTAS_RECEPCIONES_DE_GUIAS_UN_REQUERIMIENTO</v>
      </c>
      <c r="G119" s="2" t="str">
        <f>CLEAN(PROPER(Tabla_Compras_Extranjera[[#This Row],[Nombre Opción]]))</f>
        <v>De Guias De Un Requerimiento</v>
      </c>
      <c r="H119" s="2" t="s">
        <v>1735</v>
      </c>
      <c r="I119" s="2" t="str">
        <f>_xlfn.XLOOKUP(Tabla_Compras_Extranjera[[#This Row],[id_padre]],Tabla_Compras_Extranjera[Id],Tabla_Compras_Extranjera[Codigo_Tecnico],"",0,1)</f>
        <v>COMPRAS_EXTRANJERA_COMEX_CONSULTAS_RECEPCIONES</v>
      </c>
      <c r="J11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/compras-extranjera-comex/consultas/recepciones/de-guias-un-requerimiento</v>
      </c>
      <c r="K11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de-guias-un-requerimiento</v>
      </c>
      <c r="L119" s="6" t="s">
        <v>1348</v>
      </c>
      <c r="M119" t="s">
        <v>1796</v>
      </c>
      <c r="N119" s="4" t="s">
        <v>360</v>
      </c>
      <c r="O119" s="4" t="s">
        <v>360</v>
      </c>
      <c r="P119" s="4" t="s">
        <v>360</v>
      </c>
      <c r="Q119" s="4" t="s">
        <v>360</v>
      </c>
      <c r="R119" s="4" t="s">
        <v>360</v>
      </c>
      <c r="S119" s="4" t="s">
        <v>360</v>
      </c>
      <c r="T119" s="2" t="str">
        <f>IF(Tabla_Compras_Extranjera[[#This Row],[id_padre]]=Tabla_Compras_Extranjera[[#This Row],[Id]],"NOK","OK")</f>
        <v>OK</v>
      </c>
    </row>
    <row r="120" spans="1:20" hidden="1" x14ac:dyDescent="0.5">
      <c r="A120">
        <f>MAX(Tabla_Activo_Fijo[Id])</f>
        <v>1511</v>
      </c>
      <c r="B120">
        <v>1516</v>
      </c>
      <c r="C120" s="5">
        <f>IF(Tabla_Compras_Extranjera[[#This Row],[id_padre]]="",0,_xlfn.XLOOKUP(Tabla_Compras_Extranjera[[#This Row],[id_padre]],Tabla_Compras_Extranjera[Id],Tabla_Compras_Extranjera[Nivel],0,0,1)+1)</f>
        <v>2</v>
      </c>
      <c r="D120" s="2" t="s">
        <v>302</v>
      </c>
      <c r="E120">
        <f>IF(Tabla_Compras_Extranjera[[#This Row],[Id_anterior]]=1,ROW()-1,SUM(ROW()-1,Tabla_Compras_Extranjera[[#This Row],[Id_anterior]]))</f>
        <v>1630</v>
      </c>
      <c r="F12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COMPRAS_EXTRANJERA_COMEX_INFORMES_SALDOS_PRESUPUESTARIOS_POR_UNIDAD_INTERNA</v>
      </c>
      <c r="G120" s="2" t="str">
        <f>CLEAN(PROPER(Tabla_Compras_Extranjera[[#This Row],[Nombre Opción]]))</f>
        <v>Saldos Presupuestarios Por Unidad Interna</v>
      </c>
      <c r="H120" s="2" t="s">
        <v>1735</v>
      </c>
      <c r="I120" s="2" t="str">
        <f>_xlfn.XLOOKUP(Tabla_Compras_Extranjera[[#This Row],[id_padre]],Tabla_Compras_Extranjera[Id],Tabla_Compras_Extranjera[Codigo_Tecnico],"",0,1)</f>
        <v>COMPRAS_EXTRANJERA_COMEX_INFORMES</v>
      </c>
      <c r="J12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/compras-extranjera-comex/informes/saldos-presupuestarios-por-unidad-interna</v>
      </c>
      <c r="K12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saldos-presupuestarios-por-unidad-interna</v>
      </c>
      <c r="L120" s="6" t="s">
        <v>1395</v>
      </c>
      <c r="M120" t="s">
        <v>1796</v>
      </c>
      <c r="N120" s="4" t="s">
        <v>360</v>
      </c>
      <c r="O120" s="4" t="s">
        <v>360</v>
      </c>
      <c r="P120" s="4" t="s">
        <v>360</v>
      </c>
      <c r="Q120" s="4" t="s">
        <v>360</v>
      </c>
      <c r="R120" s="4" t="s">
        <v>360</v>
      </c>
      <c r="S120" s="4" t="s">
        <v>360</v>
      </c>
      <c r="T120" s="2" t="str">
        <f>IF(Tabla_Compras_Extranjera[[#This Row],[id_padre]]=Tabla_Compras_Extranjera[[#This Row],[Id]],"NOK","OK")</f>
        <v>OK</v>
      </c>
    </row>
    <row r="121" spans="1:20" hidden="1" x14ac:dyDescent="0.5">
      <c r="A121">
        <f>MAX(Tabla_Activo_Fijo[Id])</f>
        <v>1511</v>
      </c>
      <c r="B121">
        <v>1516</v>
      </c>
      <c r="C121" s="5">
        <f>IF(Tabla_Compras_Extranjera[[#This Row],[id_padre]]="",0,_xlfn.XLOOKUP(Tabla_Compras_Extranjera[[#This Row],[id_padre]],Tabla_Compras_Extranjera[Id],Tabla_Compras_Extranjera[Nivel],0,0,1)+1)</f>
        <v>2</v>
      </c>
      <c r="D121" s="2" t="s">
        <v>1705</v>
      </c>
      <c r="E121">
        <f>IF(Tabla_Compras_Extranjera[[#This Row],[Id_anterior]]=1,ROW()-1,SUM(ROW()-1,Tabla_Compras_Extranjera[[#This Row],[Id_anterior]]))</f>
        <v>1631</v>
      </c>
      <c r="F12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COMPRAS_EXTRANJERA_COMEX_INFORMES_PROVEEDORES_POR_PRODUCTOS</v>
      </c>
      <c r="G121" s="2" t="str">
        <f>CLEAN(PROPER(Tabla_Compras_Extranjera[[#This Row],[Nombre Opción]]))</f>
        <v>Proveedores Por Productos</v>
      </c>
      <c r="H121" s="2" t="s">
        <v>1735</v>
      </c>
      <c r="I121" s="2" t="str">
        <f>_xlfn.XLOOKUP(Tabla_Compras_Extranjera[[#This Row],[id_padre]],Tabla_Compras_Extranjera[Id],Tabla_Compras_Extranjera[Codigo_Tecnico],"",0,1)</f>
        <v>COMPRAS_EXTRANJERA_COMEX_INFORMES</v>
      </c>
      <c r="J12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/compras-extranjera-comex/informes/proveedores-por-productos</v>
      </c>
      <c r="K12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proveedores-por-productos</v>
      </c>
      <c r="L121" s="6" t="s">
        <v>1407</v>
      </c>
      <c r="M121" t="s">
        <v>1796</v>
      </c>
      <c r="N121" s="4" t="s">
        <v>360</v>
      </c>
      <c r="O121" s="4" t="s">
        <v>360</v>
      </c>
      <c r="P121" s="4" t="s">
        <v>360</v>
      </c>
      <c r="Q121" s="4" t="s">
        <v>360</v>
      </c>
      <c r="R121" s="4" t="s">
        <v>360</v>
      </c>
      <c r="S121" s="4" t="s">
        <v>360</v>
      </c>
      <c r="T121" s="2" t="str">
        <f>IF(Tabla_Compras_Extranjera[[#This Row],[id_padre]]=Tabla_Compras_Extranjera[[#This Row],[Id]],"NOK","OK")</f>
        <v>OK</v>
      </c>
    </row>
    <row r="122" spans="1:20" hidden="1" x14ac:dyDescent="0.5">
      <c r="A122">
        <f>MAX(Tabla_Activo_Fijo[Id])</f>
        <v>1511</v>
      </c>
      <c r="B122">
        <v>1516</v>
      </c>
      <c r="C122" s="5">
        <f>IF(Tabla_Compras_Extranjera[[#This Row],[id_padre]]="",0,_xlfn.XLOOKUP(Tabla_Compras_Extranjera[[#This Row],[id_padre]],Tabla_Compras_Extranjera[Id],Tabla_Compras_Extranjera[Nivel],0,0,1)+1)</f>
        <v>2</v>
      </c>
      <c r="D122" s="2" t="s">
        <v>1706</v>
      </c>
      <c r="E122">
        <f>IF(Tabla_Compras_Extranjera[[#This Row],[Id_anterior]]=1,ROW()-1,SUM(ROW()-1,Tabla_Compras_Extranjera[[#This Row],[Id_anterior]]))</f>
        <v>1632</v>
      </c>
      <c r="F12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COMPRAS_EXTRANJERA_COMEX_INFORMES_PROVEEDORES_POR_NOMBRE</v>
      </c>
      <c r="G122" s="2" t="str">
        <f>CLEAN(PROPER(Tabla_Compras_Extranjera[[#This Row],[Nombre Opción]]))</f>
        <v>Proveedores Por Nombre</v>
      </c>
      <c r="H122" s="2" t="s">
        <v>1735</v>
      </c>
      <c r="I122" s="2" t="str">
        <f>_xlfn.XLOOKUP(Tabla_Compras_Extranjera[[#This Row],[id_padre]],Tabla_Compras_Extranjera[Id],Tabla_Compras_Extranjera[Codigo_Tecnico],"",0,1)</f>
        <v>COMPRAS_EXTRANJERA_COMEX_INFORMES</v>
      </c>
      <c r="J12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/compras-extranjera-comex/informes/proveedores-por-nombre</v>
      </c>
      <c r="K12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proveedores-por-nombre</v>
      </c>
      <c r="L122" s="6" t="s">
        <v>1377</v>
      </c>
      <c r="M122" t="s">
        <v>1796</v>
      </c>
      <c r="N122" s="4" t="s">
        <v>360</v>
      </c>
      <c r="O122" s="4" t="s">
        <v>360</v>
      </c>
      <c r="P122" s="4" t="s">
        <v>360</v>
      </c>
      <c r="Q122" s="4" t="s">
        <v>360</v>
      </c>
      <c r="R122" s="4" t="s">
        <v>360</v>
      </c>
      <c r="S122" s="4" t="s">
        <v>360</v>
      </c>
      <c r="T122" s="2" t="str">
        <f>IF(Tabla_Compras_Extranjera[[#This Row],[id_padre]]=Tabla_Compras_Extranjera[[#This Row],[Id]],"NOK","OK")</f>
        <v>OK</v>
      </c>
    </row>
    <row r="123" spans="1:20" hidden="1" x14ac:dyDescent="0.5">
      <c r="A123">
        <f>MAX(Tabla_Activo_Fijo[Id])</f>
        <v>1511</v>
      </c>
      <c r="B123">
        <v>1516</v>
      </c>
      <c r="C123" s="5">
        <f>IF(Tabla_Compras_Extranjera[[#This Row],[id_padre]]="",0,_xlfn.XLOOKUP(Tabla_Compras_Extranjera[[#This Row],[id_padre]],Tabla_Compras_Extranjera[Id],Tabla_Compras_Extranjera[Nivel],0,0,1)+1)</f>
        <v>2</v>
      </c>
      <c r="D123" s="2" t="s">
        <v>1707</v>
      </c>
      <c r="E123">
        <f>IF(Tabla_Compras_Extranjera[[#This Row],[Id_anterior]]=1,ROW()-1,SUM(ROW()-1,Tabla_Compras_Extranjera[[#This Row],[Id_anterior]]))</f>
        <v>1633</v>
      </c>
      <c r="F12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COMPRAS_EXTRANJERA_COMEX_INFORMES_LISTADO_SOL_INCOMPLETAS_POR_ADJUDICAR</v>
      </c>
      <c r="G123" s="2" t="str">
        <f>CLEAN(PROPER(Tabla_Compras_Extranjera[[#This Row],[Nombre Opción]]))</f>
        <v>Listado Sol. Incompletas Por Adjudicar</v>
      </c>
      <c r="H123" s="2" t="s">
        <v>1735</v>
      </c>
      <c r="I123" s="2" t="str">
        <f>_xlfn.XLOOKUP(Tabla_Compras_Extranjera[[#This Row],[id_padre]],Tabla_Compras_Extranjera[Id],Tabla_Compras_Extranjera[Codigo_Tecnico],"",0,1)</f>
        <v>COMPRAS_EXTRANJERA_COMEX_INFORMES</v>
      </c>
      <c r="J12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/compras-extranjera-comex/informes/listado-sol-incompletas-por-adjudicar</v>
      </c>
      <c r="K12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listado-sol-incompletas-por-adjudicar</v>
      </c>
      <c r="L123" s="6" t="s">
        <v>1475</v>
      </c>
      <c r="M123" t="s">
        <v>1796</v>
      </c>
      <c r="N123" s="4" t="s">
        <v>360</v>
      </c>
      <c r="O123" s="4" t="s">
        <v>360</v>
      </c>
      <c r="P123" s="4" t="s">
        <v>360</v>
      </c>
      <c r="Q123" s="4" t="s">
        <v>360</v>
      </c>
      <c r="R123" s="4" t="s">
        <v>360</v>
      </c>
      <c r="S123" s="4" t="s">
        <v>360</v>
      </c>
      <c r="T123" s="2" t="str">
        <f>IF(Tabla_Compras_Extranjera[[#This Row],[id_padre]]=Tabla_Compras_Extranjera[[#This Row],[Id]],"NOK","OK")</f>
        <v>OK</v>
      </c>
    </row>
    <row r="124" spans="1:20" hidden="1" x14ac:dyDescent="0.5">
      <c r="A124">
        <f>MAX(Tabla_Activo_Fijo[Id])</f>
        <v>1511</v>
      </c>
      <c r="B124">
        <v>1516</v>
      </c>
      <c r="C124" s="5">
        <f>IF(Tabla_Compras_Extranjera[[#This Row],[id_padre]]="",0,_xlfn.XLOOKUP(Tabla_Compras_Extranjera[[#This Row],[id_padre]],Tabla_Compras_Extranjera[Id],Tabla_Compras_Extranjera[Nivel],0,0,1)+1)</f>
        <v>2</v>
      </c>
      <c r="D124" s="2" t="s">
        <v>1708</v>
      </c>
      <c r="E124">
        <f>IF(Tabla_Compras_Extranjera[[#This Row],[Id_anterior]]=1,ROW()-1,SUM(ROW()-1,Tabla_Compras_Extranjera[[#This Row],[Id_anterior]]))</f>
        <v>1634</v>
      </c>
      <c r="F12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COMPRAS_EXTRANJERA_COMEX_INFORMES_ANALISIS_RETRASOS</v>
      </c>
      <c r="G124" s="2" t="str">
        <f>CLEAN(PROPER(Tabla_Compras_Extranjera[[#This Row],[Nombre Opción]]))</f>
        <v>Analisis De Retrasos</v>
      </c>
      <c r="H124" s="2" t="s">
        <v>1735</v>
      </c>
      <c r="I124" s="2" t="str">
        <f>_xlfn.XLOOKUP(Tabla_Compras_Extranjera[[#This Row],[id_padre]],Tabla_Compras_Extranjera[Id],Tabla_Compras_Extranjera[Codigo_Tecnico],"",0,1)</f>
        <v>COMPRAS_EXTRANJERA_COMEX_INFORMES</v>
      </c>
      <c r="J12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/compras-extranjera-comex/informes/analisis-retrasos</v>
      </c>
      <c r="K12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analisis-retrasos</v>
      </c>
      <c r="L124" s="6" t="s">
        <v>1541</v>
      </c>
      <c r="M124" t="s">
        <v>1796</v>
      </c>
      <c r="N124" s="4" t="s">
        <v>360</v>
      </c>
      <c r="O124" s="4" t="s">
        <v>360</v>
      </c>
      <c r="P124" s="4" t="s">
        <v>360</v>
      </c>
      <c r="Q124" s="4" t="s">
        <v>360</v>
      </c>
      <c r="R124" s="4" t="s">
        <v>360</v>
      </c>
      <c r="S124" s="4" t="s">
        <v>360</v>
      </c>
      <c r="T124" s="2" t="str">
        <f>IF(Tabla_Compras_Extranjera[[#This Row],[id_padre]]=Tabla_Compras_Extranjera[[#This Row],[Id]],"NOK","OK")</f>
        <v>OK</v>
      </c>
    </row>
    <row r="125" spans="1:20" hidden="1" x14ac:dyDescent="0.5">
      <c r="A125">
        <f>MAX(Tabla_Activo_Fijo[Id])</f>
        <v>1511</v>
      </c>
      <c r="B125">
        <v>1516</v>
      </c>
      <c r="C125" s="5">
        <f>IF(Tabla_Compras_Extranjera[[#This Row],[id_padre]]="",0,_xlfn.XLOOKUP(Tabla_Compras_Extranjera[[#This Row],[id_padre]],Tabla_Compras_Extranjera[Id],Tabla_Compras_Extranjera[Nivel],0,0,1)+1)</f>
        <v>2</v>
      </c>
      <c r="D125" s="2" t="s">
        <v>1709</v>
      </c>
      <c r="E125">
        <f>IF(Tabla_Compras_Extranjera[[#This Row],[Id_anterior]]=1,ROW()-1,SUM(ROW()-1,Tabla_Compras_Extranjera[[#This Row],[Id_anterior]]))</f>
        <v>1635</v>
      </c>
      <c r="F12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COMPRAS_EXTRANJERA_COMEX_INFORMES_SOLICITUDES_BIENES</v>
      </c>
      <c r="G125" s="2" t="str">
        <f>CLEAN(PROPER(Tabla_Compras_Extranjera[[#This Row],[Nombre Opción]]))</f>
        <v>Solicitudes De Bienes</v>
      </c>
      <c r="H125" s="2" t="s">
        <v>1735</v>
      </c>
      <c r="I125" s="2" t="str">
        <f>_xlfn.XLOOKUP(Tabla_Compras_Extranjera[[#This Row],[id_padre]],Tabla_Compras_Extranjera[Id],Tabla_Compras_Extranjera[Codigo_Tecnico],"",0,1)</f>
        <v>COMPRAS_EXTRANJERA_COMEX_INFORMES</v>
      </c>
      <c r="J12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/compras-extranjera-comex/informes/solicitudes-bienes</v>
      </c>
      <c r="K12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solicitudes-bienes</v>
      </c>
      <c r="L125" s="6" t="s">
        <v>1446</v>
      </c>
      <c r="M125" t="s">
        <v>1796</v>
      </c>
      <c r="N125" s="4" t="s">
        <v>360</v>
      </c>
      <c r="O125" s="4" t="s">
        <v>360</v>
      </c>
      <c r="P125" s="4" t="s">
        <v>360</v>
      </c>
      <c r="Q125" s="4" t="s">
        <v>360</v>
      </c>
      <c r="R125" s="4" t="s">
        <v>360</v>
      </c>
      <c r="S125" s="4" t="s">
        <v>360</v>
      </c>
      <c r="T125" s="2" t="str">
        <f>IF(Tabla_Compras_Extranjera[[#This Row],[id_padre]]=Tabla_Compras_Extranjera[[#This Row],[Id]],"NOK","OK")</f>
        <v>OK</v>
      </c>
    </row>
    <row r="126" spans="1:20" hidden="1" x14ac:dyDescent="0.5">
      <c r="A126">
        <f>MAX(Tabla_Activo_Fijo[Id])</f>
        <v>1511</v>
      </c>
      <c r="B126">
        <v>1516</v>
      </c>
      <c r="C126" s="5">
        <f>IF(Tabla_Compras_Extranjera[[#This Row],[id_padre]]="",0,_xlfn.XLOOKUP(Tabla_Compras_Extranjera[[#This Row],[id_padre]],Tabla_Compras_Extranjera[Id],Tabla_Compras_Extranjera[Nivel],0,0,1)+1)</f>
        <v>2</v>
      </c>
      <c r="D126" s="2" t="s">
        <v>1710</v>
      </c>
      <c r="E126">
        <f>IF(Tabla_Compras_Extranjera[[#This Row],[Id_anterior]]=1,ROW()-1,SUM(ROW()-1,Tabla_Compras_Extranjera[[#This Row],[Id_anterior]]))</f>
        <v>1636</v>
      </c>
      <c r="F12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COMPRAS_EXTRANJERA_COMEX_INFORMES_COMPOSICION_SOLICITUDES</v>
      </c>
      <c r="G126" s="2" t="str">
        <f>CLEAN(PROPER(Tabla_Compras_Extranjera[[#This Row],[Nombre Opción]]))</f>
        <v>Composición De Solicitudes</v>
      </c>
      <c r="H126" s="2" t="s">
        <v>1735</v>
      </c>
      <c r="I126" s="2" t="str">
        <f>_xlfn.XLOOKUP(Tabla_Compras_Extranjera[[#This Row],[id_padre]],Tabla_Compras_Extranjera[Id],Tabla_Compras_Extranjera[Codigo_Tecnico],"",0,1)</f>
        <v>COMPRAS_EXTRANJERA_COMEX_INFORMES</v>
      </c>
      <c r="J12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/compras-extranjera-comex/informes/composicion-solicitudes</v>
      </c>
      <c r="K12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composicion-solicitudes</v>
      </c>
      <c r="L126" s="6" t="s">
        <v>1411</v>
      </c>
      <c r="M126" t="s">
        <v>1796</v>
      </c>
      <c r="N126" s="4" t="s">
        <v>360</v>
      </c>
      <c r="O126" s="4" t="s">
        <v>360</v>
      </c>
      <c r="P126" s="4" t="s">
        <v>360</v>
      </c>
      <c r="Q126" s="4" t="s">
        <v>360</v>
      </c>
      <c r="R126" s="4" t="s">
        <v>360</v>
      </c>
      <c r="S126" s="4" t="s">
        <v>360</v>
      </c>
      <c r="T126" s="2" t="str">
        <f>IF(Tabla_Compras_Extranjera[[#This Row],[id_padre]]=Tabla_Compras_Extranjera[[#This Row],[Id]],"NOK","OK")</f>
        <v>OK</v>
      </c>
    </row>
    <row r="127" spans="1:20" hidden="1" x14ac:dyDescent="0.5">
      <c r="A127">
        <f>MAX(Tabla_Activo_Fijo[Id])</f>
        <v>1511</v>
      </c>
      <c r="B127">
        <v>1516</v>
      </c>
      <c r="C127" s="5">
        <f>IF(Tabla_Compras_Extranjera[[#This Row],[id_padre]]="",0,_xlfn.XLOOKUP(Tabla_Compras_Extranjera[[#This Row],[id_padre]],Tabla_Compras_Extranjera[Id],Tabla_Compras_Extranjera[Nivel],0,0,1)+1)</f>
        <v>2</v>
      </c>
      <c r="D127" s="2" t="s">
        <v>1711</v>
      </c>
      <c r="E127">
        <f>IF(Tabla_Compras_Extranjera[[#This Row],[Id_anterior]]=1,ROW()-1,SUM(ROW()-1,Tabla_Compras_Extranjera[[#This Row],[Id_anterior]]))</f>
        <v>1637</v>
      </c>
      <c r="F12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COMPRAS_EXTRANJERA_COMEX_INFORMES_ESTADO_SOLICITUDES</v>
      </c>
      <c r="G127" s="2" t="str">
        <f>CLEAN(PROPER(Tabla_Compras_Extranjera[[#This Row],[Nombre Opción]]))</f>
        <v>Estado De Solicitudes</v>
      </c>
      <c r="H127" s="2" t="s">
        <v>1735</v>
      </c>
      <c r="I127" s="2" t="str">
        <f>_xlfn.XLOOKUP(Tabla_Compras_Extranjera[[#This Row],[id_padre]],Tabla_Compras_Extranjera[Id],Tabla_Compras_Extranjera[Codigo_Tecnico],"",0,1)</f>
        <v>COMPRAS_EXTRANJERA_COMEX_INFORMES</v>
      </c>
      <c r="J12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/compras-extranjera-comex/informes/estado-solicitudes</v>
      </c>
      <c r="K12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estado-solicitudes</v>
      </c>
      <c r="L127" s="6" t="s">
        <v>1424</v>
      </c>
      <c r="M127" t="s">
        <v>1796</v>
      </c>
      <c r="N127" s="4" t="s">
        <v>360</v>
      </c>
      <c r="O127" s="4" t="s">
        <v>360</v>
      </c>
      <c r="P127" s="4" t="s">
        <v>360</v>
      </c>
      <c r="Q127" s="4" t="s">
        <v>360</v>
      </c>
      <c r="R127" s="4" t="s">
        <v>360</v>
      </c>
      <c r="S127" s="4" t="s">
        <v>360</v>
      </c>
      <c r="T127" s="2" t="str">
        <f>IF(Tabla_Compras_Extranjera[[#This Row],[id_padre]]=Tabla_Compras_Extranjera[[#This Row],[Id]],"NOK","OK")</f>
        <v>OK</v>
      </c>
    </row>
    <row r="128" spans="1:20" hidden="1" x14ac:dyDescent="0.5">
      <c r="A128">
        <f>MAX(Tabla_Activo_Fijo[Id])</f>
        <v>1511</v>
      </c>
      <c r="B128">
        <v>1516</v>
      </c>
      <c r="C128" s="5">
        <f>IF(Tabla_Compras_Extranjera[[#This Row],[id_padre]]="",0,_xlfn.XLOOKUP(Tabla_Compras_Extranjera[[#This Row],[id_padre]],Tabla_Compras_Extranjera[Id],Tabla_Compras_Extranjera[Nivel],0,0,1)+1)</f>
        <v>2</v>
      </c>
      <c r="D128" s="2" t="s">
        <v>1712</v>
      </c>
      <c r="E128">
        <f>IF(Tabla_Compras_Extranjera[[#This Row],[Id_anterior]]=1,ROW()-1,SUM(ROW()-1,Tabla_Compras_Extranjera[[#This Row],[Id_anterior]]))</f>
        <v>1638</v>
      </c>
      <c r="F128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COMPRAS_EXTRANJERA_COMEX_INFORMES_SOLICITUDES_POR_ENCARGO</v>
      </c>
      <c r="G128" s="2" t="str">
        <f>CLEAN(PROPER(Tabla_Compras_Extranjera[[#This Row],[Nombre Opción]]))</f>
        <v>Solicitudes Por Encargo</v>
      </c>
      <c r="H128" s="2" t="s">
        <v>1735</v>
      </c>
      <c r="I128" s="2" t="str">
        <f>_xlfn.XLOOKUP(Tabla_Compras_Extranjera[[#This Row],[id_padre]],Tabla_Compras_Extranjera[Id],Tabla_Compras_Extranjera[Codigo_Tecnico],"",0,1)</f>
        <v>COMPRAS_EXTRANJERA_COMEX_INFORMES</v>
      </c>
      <c r="J128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/compras-extranjera-comex/informes/solicitudes-por-encargo</v>
      </c>
      <c r="K128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solicitudes-por-encargo</v>
      </c>
      <c r="L128" s="6" t="s">
        <v>1355</v>
      </c>
      <c r="M128" t="s">
        <v>1796</v>
      </c>
      <c r="N128" s="4" t="s">
        <v>360</v>
      </c>
      <c r="O128" s="4" t="s">
        <v>360</v>
      </c>
      <c r="P128" s="4" t="s">
        <v>360</v>
      </c>
      <c r="Q128" s="4" t="s">
        <v>360</v>
      </c>
      <c r="R128" s="4" t="s">
        <v>360</v>
      </c>
      <c r="S128" s="4" t="s">
        <v>360</v>
      </c>
      <c r="T128" s="2" t="str">
        <f>IF(Tabla_Compras_Extranjera[[#This Row],[id_padre]]=Tabla_Compras_Extranjera[[#This Row],[Id]],"NOK","OK")</f>
        <v>OK</v>
      </c>
    </row>
    <row r="129" spans="1:20" hidden="1" x14ac:dyDescent="0.5">
      <c r="A129">
        <f>MAX(Tabla_Activo_Fijo[Id])</f>
        <v>1511</v>
      </c>
      <c r="B129">
        <v>1516</v>
      </c>
      <c r="C129" s="5">
        <f>IF(Tabla_Compras_Extranjera[[#This Row],[id_padre]]="",0,_xlfn.XLOOKUP(Tabla_Compras_Extranjera[[#This Row],[id_padre]],Tabla_Compras_Extranjera[Id],Tabla_Compras_Extranjera[Nivel],0,0,1)+1)</f>
        <v>2</v>
      </c>
      <c r="D129" s="2" t="s">
        <v>1713</v>
      </c>
      <c r="E129">
        <f>IF(Tabla_Compras_Extranjera[[#This Row],[Id_anterior]]=1,ROW()-1,SUM(ROW()-1,Tabla_Compras_Extranjera[[#This Row],[Id_anterior]]))</f>
        <v>1639</v>
      </c>
      <c r="F129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COMPRAS_EXTRANJERA_COMEX_INFORMES_SOLICITUDES_POR_PRIORIDAD</v>
      </c>
      <c r="G129" s="2" t="str">
        <f>CLEAN(PROPER(Tabla_Compras_Extranjera[[#This Row],[Nombre Opción]]))</f>
        <v>Solicitudes Por Prioridad</v>
      </c>
      <c r="H129" s="2" t="s">
        <v>1735</v>
      </c>
      <c r="I129" s="2" t="str">
        <f>_xlfn.XLOOKUP(Tabla_Compras_Extranjera[[#This Row],[id_padre]],Tabla_Compras_Extranjera[Id],Tabla_Compras_Extranjera[Codigo_Tecnico],"",0,1)</f>
        <v>COMPRAS_EXTRANJERA_COMEX_INFORMES</v>
      </c>
      <c r="J129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/compras-extranjera-comex/informes/solicitudes-por-prioridad</v>
      </c>
      <c r="K129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solicitudes-por-prioridad</v>
      </c>
      <c r="L129" s="6" t="s">
        <v>1530</v>
      </c>
      <c r="M129" t="s">
        <v>1796</v>
      </c>
      <c r="N129" s="4" t="s">
        <v>360</v>
      </c>
      <c r="O129" s="4" t="s">
        <v>360</v>
      </c>
      <c r="P129" s="4" t="s">
        <v>360</v>
      </c>
      <c r="Q129" s="4" t="s">
        <v>360</v>
      </c>
      <c r="R129" s="4" t="s">
        <v>360</v>
      </c>
      <c r="S129" s="4" t="s">
        <v>360</v>
      </c>
      <c r="T129" s="2" t="str">
        <f>IF(Tabla_Compras_Extranjera[[#This Row],[id_padre]]=Tabla_Compras_Extranjera[[#This Row],[Id]],"NOK","OK")</f>
        <v>OK</v>
      </c>
    </row>
    <row r="130" spans="1:20" hidden="1" x14ac:dyDescent="0.5">
      <c r="A130">
        <f>MAX(Tabla_Activo_Fijo[Id])</f>
        <v>1511</v>
      </c>
      <c r="B130">
        <v>1516</v>
      </c>
      <c r="C130" s="5">
        <f>IF(Tabla_Compras_Extranjera[[#This Row],[id_padre]]="",0,_xlfn.XLOOKUP(Tabla_Compras_Extranjera[[#This Row],[id_padre]],Tabla_Compras_Extranjera[Id],Tabla_Compras_Extranjera[Nivel],0,0,1)+1)</f>
        <v>2</v>
      </c>
      <c r="D130" s="2" t="s">
        <v>1277</v>
      </c>
      <c r="E130">
        <f>IF(Tabla_Compras_Extranjera[[#This Row],[Id_anterior]]=1,ROW()-1,SUM(ROW()-1,Tabla_Compras_Extranjera[[#This Row],[Id_anterior]]))</f>
        <v>1640</v>
      </c>
      <c r="F130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COMPRAS_EXTRANJERA_COMEX_INFORMES_EMISION_COTIZACION</v>
      </c>
      <c r="G130" s="2" t="str">
        <f>CLEAN(PROPER(Tabla_Compras_Extranjera[[#This Row],[Nombre Opción]]))</f>
        <v>Emisión De Cotización</v>
      </c>
      <c r="H130" s="2" t="s">
        <v>1735</v>
      </c>
      <c r="I130" s="2" t="str">
        <f>_xlfn.XLOOKUP(Tabla_Compras_Extranjera[[#This Row],[id_padre]],Tabla_Compras_Extranjera[Id],Tabla_Compras_Extranjera[Codigo_Tecnico],"",0,1)</f>
        <v>COMPRAS_EXTRANJERA_COMEX_INFORMES</v>
      </c>
      <c r="J130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/compras-extranjera-comex/informes/emision-cotizacion</v>
      </c>
      <c r="K130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emision-cotizacion</v>
      </c>
      <c r="L130" s="6" t="s">
        <v>1396</v>
      </c>
      <c r="M130" t="s">
        <v>1796</v>
      </c>
      <c r="N130" s="4" t="s">
        <v>360</v>
      </c>
      <c r="O130" s="4" t="s">
        <v>360</v>
      </c>
      <c r="P130" s="4" t="s">
        <v>360</v>
      </c>
      <c r="Q130" s="4" t="s">
        <v>360</v>
      </c>
      <c r="R130" s="4" t="s">
        <v>360</v>
      </c>
      <c r="S130" s="4" t="s">
        <v>360</v>
      </c>
      <c r="T130" s="2" t="str">
        <f>IF(Tabla_Compras_Extranjera[[#This Row],[id_padre]]=Tabla_Compras_Extranjera[[#This Row],[Id]],"NOK","OK")</f>
        <v>OK</v>
      </c>
    </row>
    <row r="131" spans="1:20" hidden="1" x14ac:dyDescent="0.5">
      <c r="A131">
        <f>MAX(Tabla_Activo_Fijo[Id])</f>
        <v>1511</v>
      </c>
      <c r="B131">
        <v>1516</v>
      </c>
      <c r="C131" s="5">
        <f>IF(Tabla_Compras_Extranjera[[#This Row],[id_padre]]="",0,_xlfn.XLOOKUP(Tabla_Compras_Extranjera[[#This Row],[id_padre]],Tabla_Compras_Extranjera[Id],Tabla_Compras_Extranjera[Nivel],0,0,1)+1)</f>
        <v>2</v>
      </c>
      <c r="D131" s="2" t="s">
        <v>1714</v>
      </c>
      <c r="E131">
        <f>IF(Tabla_Compras_Extranjera[[#This Row],[Id_anterior]]=1,ROW()-1,SUM(ROW()-1,Tabla_Compras_Extranjera[[#This Row],[Id_anterior]]))</f>
        <v>1641</v>
      </c>
      <c r="F131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COMPRAS_EXTRANJERA_COMEX_INFORMES_LISTADO_COTIZACIONES_PENDIENTES</v>
      </c>
      <c r="G131" s="2" t="str">
        <f>CLEAN(PROPER(Tabla_Compras_Extranjera[[#This Row],[Nombre Opción]]))</f>
        <v>Listado De Cotizaciones Pendientes</v>
      </c>
      <c r="H131" s="2" t="s">
        <v>1735</v>
      </c>
      <c r="I131" s="2" t="str">
        <f>_xlfn.XLOOKUP(Tabla_Compras_Extranjera[[#This Row],[id_padre]],Tabla_Compras_Extranjera[Id],Tabla_Compras_Extranjera[Codigo_Tecnico],"",0,1)</f>
        <v>COMPRAS_EXTRANJERA_COMEX_INFORMES</v>
      </c>
      <c r="J131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/compras-extranjera-comex/informes/listado-cotizaciones-pendientes</v>
      </c>
      <c r="K131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listado-cotizaciones-pendientes</v>
      </c>
      <c r="L131" s="6" t="s">
        <v>1501</v>
      </c>
      <c r="M131" t="s">
        <v>1796</v>
      </c>
      <c r="N131" s="4" t="s">
        <v>360</v>
      </c>
      <c r="O131" s="4" t="s">
        <v>360</v>
      </c>
      <c r="P131" s="4" t="s">
        <v>360</v>
      </c>
      <c r="Q131" s="4" t="s">
        <v>360</v>
      </c>
      <c r="R131" s="4" t="s">
        <v>360</v>
      </c>
      <c r="S131" s="4" t="s">
        <v>360</v>
      </c>
      <c r="T131" s="2" t="str">
        <f>IF(Tabla_Compras_Extranjera[[#This Row],[id_padre]]=Tabla_Compras_Extranjera[[#This Row],[Id]],"NOK","OK")</f>
        <v>OK</v>
      </c>
    </row>
    <row r="132" spans="1:20" hidden="1" x14ac:dyDescent="0.5">
      <c r="A132">
        <f>MAX(Tabla_Activo_Fijo[Id])</f>
        <v>1511</v>
      </c>
      <c r="B132">
        <v>1516</v>
      </c>
      <c r="C132" s="5">
        <f>IF(Tabla_Compras_Extranjera[[#This Row],[id_padre]]="",0,_xlfn.XLOOKUP(Tabla_Compras_Extranjera[[#This Row],[id_padre]],Tabla_Compras_Extranjera[Id],Tabla_Compras_Extranjera[Nivel],0,0,1)+1)</f>
        <v>2</v>
      </c>
      <c r="D132" s="2" t="s">
        <v>580</v>
      </c>
      <c r="E132">
        <f>IF(Tabla_Compras_Extranjera[[#This Row],[Id_anterior]]=1,ROW()-1,SUM(ROW()-1,Tabla_Compras_Extranjera[[#This Row],[Id_anterior]]))</f>
        <v>1642</v>
      </c>
      <c r="F132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COMPRAS_EXTRANJERA_COMEX_INFORMES_ORDENES_COMPRA</v>
      </c>
      <c r="G132" s="2" t="str">
        <f>CLEAN(PROPER(Tabla_Compras_Extranjera[[#This Row],[Nombre Opción]]))</f>
        <v>Ordenes De Compra</v>
      </c>
      <c r="H132" s="2" t="s">
        <v>1735</v>
      </c>
      <c r="I132" s="2" t="str">
        <f>_xlfn.XLOOKUP(Tabla_Compras_Extranjera[[#This Row],[id_padre]],Tabla_Compras_Extranjera[Id],Tabla_Compras_Extranjera[Codigo_Tecnico],"",0,1)</f>
        <v>COMPRAS_EXTRANJERA_COMEX_INFORMES</v>
      </c>
      <c r="J132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/compras-extranjera-comex/informes/ordenes-compra</v>
      </c>
      <c r="K132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ordenes-compra</v>
      </c>
      <c r="L132" s="6" t="s">
        <v>1349</v>
      </c>
      <c r="M132" t="s">
        <v>1796</v>
      </c>
      <c r="N132" s="4" t="s">
        <v>360</v>
      </c>
      <c r="O132" s="4" t="s">
        <v>360</v>
      </c>
      <c r="P132" s="4" t="s">
        <v>360</v>
      </c>
      <c r="Q132" s="4" t="s">
        <v>360</v>
      </c>
      <c r="R132" s="4" t="s">
        <v>360</v>
      </c>
      <c r="S132" s="4" t="s">
        <v>360</v>
      </c>
      <c r="T132" s="2" t="str">
        <f>IF(Tabla_Compras_Extranjera[[#This Row],[id_padre]]=Tabla_Compras_Extranjera[[#This Row],[Id]],"NOK","OK")</f>
        <v>OK</v>
      </c>
    </row>
    <row r="133" spans="1:20" hidden="1" x14ac:dyDescent="0.5">
      <c r="A133">
        <f>MAX(Tabla_Activo_Fijo[Id])</f>
        <v>1511</v>
      </c>
      <c r="B133">
        <v>1516</v>
      </c>
      <c r="C133" s="5">
        <f>IF(Tabla_Compras_Extranjera[[#This Row],[id_padre]]="",0,_xlfn.XLOOKUP(Tabla_Compras_Extranjera[[#This Row],[id_padre]],Tabla_Compras_Extranjera[Id],Tabla_Compras_Extranjera[Nivel],0,0,1)+1)</f>
        <v>2</v>
      </c>
      <c r="D133" s="2" t="s">
        <v>1715</v>
      </c>
      <c r="E133">
        <f>IF(Tabla_Compras_Extranjera[[#This Row],[Id_anterior]]=1,ROW()-1,SUM(ROW()-1,Tabla_Compras_Extranjera[[#This Row],[Id_anterior]]))</f>
        <v>1643</v>
      </c>
      <c r="F133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COMPRAS_EXTRANJERA_COMEX_INFORMES_FECHA_RECEPCION_MATERIALES</v>
      </c>
      <c r="G133" s="2" t="str">
        <f>CLEAN(PROPER(Tabla_Compras_Extranjera[[#This Row],[Nombre Opción]]))</f>
        <v>Fecha De Recepción Materiales</v>
      </c>
      <c r="H133" s="2" t="s">
        <v>1735</v>
      </c>
      <c r="I133" s="2" t="str">
        <f>_xlfn.XLOOKUP(Tabla_Compras_Extranjera[[#This Row],[id_padre]],Tabla_Compras_Extranjera[Id],Tabla_Compras_Extranjera[Codigo_Tecnico],"",0,1)</f>
        <v>COMPRAS_EXTRANJERA_COMEX_INFORMES</v>
      </c>
      <c r="J133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/compras-extranjera-comex/informes/fecha-recepcion-materiales</v>
      </c>
      <c r="K133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fecha-recepcion-materiales</v>
      </c>
      <c r="L133" s="6" t="s">
        <v>1357</v>
      </c>
      <c r="M133" t="s">
        <v>1796</v>
      </c>
      <c r="N133" s="4" t="s">
        <v>360</v>
      </c>
      <c r="O133" s="4" t="s">
        <v>360</v>
      </c>
      <c r="P133" s="4" t="s">
        <v>360</v>
      </c>
      <c r="Q133" s="4" t="s">
        <v>360</v>
      </c>
      <c r="R133" s="4" t="s">
        <v>360</v>
      </c>
      <c r="S133" s="4" t="s">
        <v>360</v>
      </c>
      <c r="T133" s="2" t="str">
        <f>IF(Tabla_Compras_Extranjera[[#This Row],[id_padre]]=Tabla_Compras_Extranjera[[#This Row],[Id]],"NOK","OK")</f>
        <v>OK</v>
      </c>
    </row>
    <row r="134" spans="1:20" hidden="1" x14ac:dyDescent="0.5">
      <c r="A134">
        <f>MAX(Tabla_Activo_Fijo[Id])</f>
        <v>1511</v>
      </c>
      <c r="B134">
        <v>1516</v>
      </c>
      <c r="C134" s="5">
        <f>IF(Tabla_Compras_Extranjera[[#This Row],[id_padre]]="",0,_xlfn.XLOOKUP(Tabla_Compras_Extranjera[[#This Row],[id_padre]],Tabla_Compras_Extranjera[Id],Tabla_Compras_Extranjera[Nivel],0,0,1)+1)</f>
        <v>2</v>
      </c>
      <c r="D134" s="2" t="s">
        <v>1716</v>
      </c>
      <c r="E134">
        <f>IF(Tabla_Compras_Extranjera[[#This Row],[Id_anterior]]=1,ROW()-1,SUM(ROW()-1,Tabla_Compras_Extranjera[[#This Row],[Id_anterior]]))</f>
        <v>1644</v>
      </c>
      <c r="F134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COMPRAS_EXTRANJERA_COMEX_INFORMES_ORDENES_VENCIDAS</v>
      </c>
      <c r="G134" s="2" t="str">
        <f>CLEAN(PROPER(Tabla_Compras_Extranjera[[#This Row],[Nombre Opción]]))</f>
        <v>Ordenes Vencidas</v>
      </c>
      <c r="H134" s="2" t="s">
        <v>1735</v>
      </c>
      <c r="I134" s="2" t="str">
        <f>_xlfn.XLOOKUP(Tabla_Compras_Extranjera[[#This Row],[id_padre]],Tabla_Compras_Extranjera[Id],Tabla_Compras_Extranjera[Codigo_Tecnico],"",0,1)</f>
        <v>COMPRAS_EXTRANJERA_COMEX_INFORMES</v>
      </c>
      <c r="J134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/compras-extranjera-comex/informes/ordenes-vencidas</v>
      </c>
      <c r="K134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ordenes-vencidas</v>
      </c>
      <c r="L134" s="6" t="s">
        <v>1383</v>
      </c>
      <c r="M134" t="s">
        <v>1796</v>
      </c>
      <c r="N134" s="4" t="s">
        <v>360</v>
      </c>
      <c r="O134" s="4" t="s">
        <v>360</v>
      </c>
      <c r="P134" s="4" t="s">
        <v>360</v>
      </c>
      <c r="Q134" s="4" t="s">
        <v>360</v>
      </c>
      <c r="R134" s="4" t="s">
        <v>360</v>
      </c>
      <c r="S134" s="4" t="s">
        <v>360</v>
      </c>
      <c r="T134" s="2" t="str">
        <f>IF(Tabla_Compras_Extranjera[[#This Row],[id_padre]]=Tabla_Compras_Extranjera[[#This Row],[Id]],"NOK","OK")</f>
        <v>OK</v>
      </c>
    </row>
    <row r="135" spans="1:20" hidden="1" x14ac:dyDescent="0.5">
      <c r="A135">
        <f>MAX(Tabla_Activo_Fijo[Id])</f>
        <v>1511</v>
      </c>
      <c r="B135">
        <v>1516</v>
      </c>
      <c r="C135" s="5">
        <f>IF(Tabla_Compras_Extranjera[[#This Row],[id_padre]]="",0,_xlfn.XLOOKUP(Tabla_Compras_Extranjera[[#This Row],[id_padre]],Tabla_Compras_Extranjera[Id],Tabla_Compras_Extranjera[Nivel],0,0,1)+1)</f>
        <v>2</v>
      </c>
      <c r="D135" s="2" t="s">
        <v>1717</v>
      </c>
      <c r="E135">
        <f>IF(Tabla_Compras_Extranjera[[#This Row],[Id_anterior]]=1,ROW()-1,SUM(ROW()-1,Tabla_Compras_Extranjera[[#This Row],[Id_anterior]]))</f>
        <v>1645</v>
      </c>
      <c r="F135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COMPRAS_EXTRANJERA_COMEX_INFORMES_COTIZACIONES_VENCIDAS</v>
      </c>
      <c r="G135" s="2" t="str">
        <f>CLEAN(PROPER(Tabla_Compras_Extranjera[[#This Row],[Nombre Opción]]))</f>
        <v>Cotizaciones Vencidas</v>
      </c>
      <c r="H135" s="2" t="s">
        <v>1735</v>
      </c>
      <c r="I135" s="2" t="str">
        <f>_xlfn.XLOOKUP(Tabla_Compras_Extranjera[[#This Row],[id_padre]],Tabla_Compras_Extranjera[Id],Tabla_Compras_Extranjera[Codigo_Tecnico],"",0,1)</f>
        <v>COMPRAS_EXTRANJERA_COMEX_INFORMES</v>
      </c>
      <c r="J135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/compras-extranjera-comex/informes/cotizaciones-vencidas</v>
      </c>
      <c r="K135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cotizaciones-vencidas</v>
      </c>
      <c r="L135" s="6" t="s">
        <v>1381</v>
      </c>
      <c r="M135" t="s">
        <v>1796</v>
      </c>
      <c r="N135" s="4" t="s">
        <v>360</v>
      </c>
      <c r="O135" s="4" t="s">
        <v>360</v>
      </c>
      <c r="P135" s="4" t="s">
        <v>360</v>
      </c>
      <c r="Q135" s="4" t="s">
        <v>360</v>
      </c>
      <c r="R135" s="4" t="s">
        <v>360</v>
      </c>
      <c r="S135" s="4" t="s">
        <v>360</v>
      </c>
      <c r="T135" s="2" t="str">
        <f>IF(Tabla_Compras_Extranjera[[#This Row],[id_padre]]=Tabla_Compras_Extranjera[[#This Row],[Id]],"NOK","OK")</f>
        <v>OK</v>
      </c>
    </row>
    <row r="136" spans="1:20" hidden="1" x14ac:dyDescent="0.5">
      <c r="A136">
        <f>MAX(Tabla_Activo_Fijo[Id])</f>
        <v>1511</v>
      </c>
      <c r="B136" s="2">
        <v>1516</v>
      </c>
      <c r="C136" s="5">
        <f>IF(Tabla_Compras_Extranjera[[#This Row],[id_padre]]="",0,_xlfn.XLOOKUP(Tabla_Compras_Extranjera[[#This Row],[id_padre]],Tabla_Compras_Extranjera[Id],Tabla_Compras_Extranjera[Nivel],0,0,1)+1)</f>
        <v>2</v>
      </c>
      <c r="D136" s="2" t="s">
        <v>1322</v>
      </c>
      <c r="E136" s="2">
        <f>IF(Tabla_Compras_Extranjera[[#This Row],[Id_anterior]]=1,ROW()-1,SUM(ROW()-1,Tabla_Compras_Extranjera[[#This Row],[Id_anterior]]))</f>
        <v>1646</v>
      </c>
      <c r="F136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COMPRAS_EXTRANJERA_COMEX_INFORMES_COMPOSICION_COTIZACIONES</v>
      </c>
      <c r="G136" s="2" t="str">
        <f>CLEAN(PROPER(Tabla_Compras_Extranjera[[#This Row],[Nombre Opción]]))</f>
        <v>Composición De Cotizaciones</v>
      </c>
      <c r="H136" s="2" t="s">
        <v>1735</v>
      </c>
      <c r="I136" s="2" t="str">
        <f>_xlfn.XLOOKUP(Tabla_Compras_Extranjera[[#This Row],[id_padre]],Tabla_Compras_Extranjera[Id],Tabla_Compras_Extranjera[Codigo_Tecnico],"",0,1)</f>
        <v>COMPRAS_EXTRANJERA_COMEX_INFORMES</v>
      </c>
      <c r="J136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/compras-extranjera-comex/informes/composicion-cotizaciones</v>
      </c>
      <c r="K136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composicion-cotizaciones</v>
      </c>
      <c r="L136" s="6" t="s">
        <v>1510</v>
      </c>
      <c r="M136" t="s">
        <v>1796</v>
      </c>
      <c r="N136" s="4" t="s">
        <v>360</v>
      </c>
      <c r="O136" s="4" t="s">
        <v>360</v>
      </c>
      <c r="P136" s="4" t="s">
        <v>360</v>
      </c>
      <c r="Q136" s="4" t="s">
        <v>360</v>
      </c>
      <c r="R136" s="4" t="s">
        <v>360</v>
      </c>
      <c r="S136" s="4" t="s">
        <v>360</v>
      </c>
      <c r="T136" s="2" t="str">
        <f>IF(Tabla_Compras_Extranjera[[#This Row],[id_padre]]=Tabla_Compras_Extranjera[[#This Row],[Id]],"NOK","OK")</f>
        <v>OK</v>
      </c>
    </row>
    <row r="137" spans="1:20" hidden="1" x14ac:dyDescent="0.5">
      <c r="A137">
        <f>MAX(Tabla_Activo_Fijo[Id])</f>
        <v>1511</v>
      </c>
      <c r="B137" s="2">
        <v>1516</v>
      </c>
      <c r="C137" s="5">
        <f>IF(Tabla_Compras_Extranjera[[#This Row],[id_padre]]="",0,_xlfn.XLOOKUP(Tabla_Compras_Extranjera[[#This Row],[id_padre]],Tabla_Compras_Extranjera[Id],Tabla_Compras_Extranjera[Nivel],0,0,1)+1)</f>
        <v>2</v>
      </c>
      <c r="D137" s="2" t="s">
        <v>1718</v>
      </c>
      <c r="E137" s="2">
        <f>IF(Tabla_Compras_Extranjera[[#This Row],[Id_anterior]]=1,ROW()-1,SUM(ROW()-1,Tabla_Compras_Extranjera[[#This Row],[Id_anterior]]))</f>
        <v>1647</v>
      </c>
      <c r="F137" s="2" t="str">
        <f>IF(Tabla_Compras_Extranjera[[#This Row],[id_padre]]="",SUBSTITUTE(UPPER(Tabla_Compras_Extranjera[[#This Row],[Slug]]),"-","_"),CONCATENATE(_xlfn.XLOOKUP(Tabla_Compras_Extranjera[[#This Row],[id_padre]],Tabla_Compras_Extranjera[Id],Tabla_Compras_Extranjera[Codigo_Tecnico],"",0,1),"_",SUBSTITUTE(UPPER(Tabla_Compras_Extranjera[[#This Row],[Slug]]),"-","_")))</f>
        <v>COMPRAS_EXTRANJERA_COMEX_INFORMES_RELACION_ITEM_POR_TAREA</v>
      </c>
      <c r="G137" s="2" t="str">
        <f>CLEAN(PROPER(Tabla_Compras_Extranjera[[#This Row],[Nombre Opción]]))</f>
        <v>Relación Item Por Tarea</v>
      </c>
      <c r="H137" s="2" t="s">
        <v>1735</v>
      </c>
      <c r="I137" s="2" t="str">
        <f>_xlfn.XLOOKUP(Tabla_Compras_Extranjera[[#This Row],[id_padre]],Tabla_Compras_Extranjera[Id],Tabla_Compras_Extranjera[Codigo_Tecnico],"",0,1)</f>
        <v>COMPRAS_EXTRANJERA_COMEX_INFORMES</v>
      </c>
      <c r="J137" s="6" t="str">
        <f>IF(Tabla_Compras_Extranjera[[#This Row],[Nivel]]=0,CONCATENATE("/",Tabla_Compras_Extranjera[[#This Row],[Slug]]),CONCATENATE(_xlfn.XLOOKUP(Tabla_Compras_Extranjera[[#This Row],[id_padre]],Tabla_Compras_Extranjera[Id],Tabla_Compras_Extranjera[Ruta_Web],"",0,1),"/",Tabla_Compras_Extranjera[[#This Row],[Slug]]))</f>
        <v>/compras-extranjera-comex/informes/relacion-item-por-tarea</v>
      </c>
      <c r="K137" s="6" t="str">
        <f>SUBSTITUTE(SUBSTITUTE(SUBSTITUTE(SUBSTITUTE(SUBSTITUTE(SUBSTITUTE(SUBSTITUTE(SUBSTITUTE(SUBSTITUTE(SUBSTITUTE(SUBSTITUTE(SUBSTITUTE(SUBSTITUTE(SUBSTITUTE(SUBSTITUTE(SUBSTITUTE(SUBSTITUTE(SUBSTITUTE(SUBSTITUTE(SUBSTITUTE(SUBSTITUTE(LOWER(Tabla_Compras_Extranjera[[#This Row],[Nombre Opción]])," ","-"),"á","a"),"é","e"),"í","i"),"ó","o"),"ú","u"),"/en-","/"),"/de-","/"),"-de-","-"),"-del-","-"),"-la-","-"),"-las-","-"),"-a-","-"),"-y/o-","-"),"-en-","-"),"o/c","o-c"),"-/-","-"),"-–-","-"),".",""),"(",""),")","")</f>
        <v>relacion-item-por-tarea</v>
      </c>
      <c r="L137" s="6" t="s">
        <v>1728</v>
      </c>
      <c r="M137" t="s">
        <v>1796</v>
      </c>
      <c r="N137" s="4" t="s">
        <v>360</v>
      </c>
      <c r="O137" s="4" t="s">
        <v>360</v>
      </c>
      <c r="P137" s="4" t="s">
        <v>360</v>
      </c>
      <c r="Q137" s="4" t="s">
        <v>360</v>
      </c>
      <c r="R137" s="4" t="s">
        <v>360</v>
      </c>
      <c r="S137" s="4" t="s">
        <v>360</v>
      </c>
      <c r="T137" s="2" t="str">
        <f>IF(Tabla_Compras_Extranjera[[#This Row],[id_padre]]=Tabla_Compras_Extranjera[[#This Row],[Id]],"NOK","OK")</f>
        <v>OK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010079-D150-4E18-B399-A5967A9B789D}">
          <x14:formula1>
            <xm:f>Modulos!$C$2:$C$15</xm:f>
          </x14:formula1>
          <xm:sqref>M2:M137</xm:sqref>
        </x14:dataValidation>
        <x14:dataValidation type="list" allowBlank="1" showInputMessage="1" showErrorMessage="1" xr:uid="{30AA142D-3423-4DF4-82D2-F9C6CA0A1AC7}">
          <x14:formula1>
            <xm:f>Lista!$A$2:$A$3</xm:f>
          </x14:formula1>
          <xm:sqref>N2:S137</xm:sqref>
        </x14:dataValidation>
        <x14:dataValidation type="list" allowBlank="1" showInputMessage="1" showErrorMessage="1" xr:uid="{61966E22-749B-43C5-AA49-C9343AA3A9B3}">
          <x14:formula1>
            <xm:f>Equipo!$B$2:$B$7</xm:f>
          </x14:formula1>
          <xm:sqref>U2:U137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20C3-7AD1-4BE9-8E94-BADE0F004E22}">
  <dimension ref="A1:Q6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1.41015625" defaultRowHeight="14.35" x14ac:dyDescent="0.5"/>
  <cols>
    <col min="1" max="1" width="5.703125" customWidth="1"/>
    <col min="2" max="3" width="5.703125" style="2" customWidth="1"/>
    <col min="4" max="4" width="10.703125" customWidth="1"/>
    <col min="5" max="5" width="5.703125" customWidth="1"/>
    <col min="6" max="8" width="10.703125" style="4" customWidth="1"/>
    <col min="9" max="9" width="10.703125" customWidth="1"/>
    <col min="10" max="12" width="10.703125" style="2" customWidth="1"/>
    <col min="13" max="13" width="10.703125" style="6" customWidth="1"/>
    <col min="14" max="14" width="5.703125" style="6" customWidth="1"/>
    <col min="15" max="15" width="5.703125" style="2" customWidth="1"/>
    <col min="16" max="16384" width="11.41015625" style="2"/>
  </cols>
  <sheetData>
    <row r="1" spans="1:17" s="3" customFormat="1" ht="87.35" x14ac:dyDescent="0.5">
      <c r="A1" s="3" t="s">
        <v>1808</v>
      </c>
      <c r="B1" s="3" t="s">
        <v>1324</v>
      </c>
      <c r="C1" s="3" t="s">
        <v>24</v>
      </c>
      <c r="D1" s="3" t="s">
        <v>23</v>
      </c>
      <c r="E1" s="3" t="s">
        <v>16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8" t="s">
        <v>1334</v>
      </c>
      <c r="L1" s="3" t="s">
        <v>1328</v>
      </c>
      <c r="M1" s="3" t="s">
        <v>14</v>
      </c>
      <c r="N1" s="3" t="s">
        <v>1921</v>
      </c>
      <c r="O1" s="3" t="s">
        <v>1932</v>
      </c>
      <c r="P1" s="3" t="s">
        <v>2005</v>
      </c>
      <c r="Q1" s="3" t="s">
        <v>2030</v>
      </c>
    </row>
    <row r="2" spans="1:17" x14ac:dyDescent="0.5">
      <c r="A2" s="2">
        <f>MAX(Tabla_Compras_Extranjera[Id])</f>
        <v>1647</v>
      </c>
      <c r="B2" t="s">
        <v>98</v>
      </c>
      <c r="C2" s="5">
        <f>IF(Tabla_Consolidados[[#This Row],[id_padre]]="",0,_xlfn.XLOOKUP(Tabla_Consolidados[[#This Row],[id_padre]],Tabla_Consolidados[Id],Tabla_Consolidados[Nivel],0,0,1)+1)</f>
        <v>0</v>
      </c>
      <c r="D2" s="2" t="s">
        <v>938</v>
      </c>
      <c r="E2">
        <f>IF(Tabla_Consolidados[[#This Row],[Id_anterior]]=1,ROW()-1,SUM(ROW()-1,Tabla_Consolidados[[#This Row],[Id_anterior]]))</f>
        <v>1648</v>
      </c>
      <c r="F2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</v>
      </c>
      <c r="G2" s="2" t="str">
        <f>CLEAN(PROPER(Tabla_Consolidados[[#This Row],[Nombre Opción]]))</f>
        <v>Consolidado</v>
      </c>
      <c r="H2" s="2" t="s">
        <v>1735</v>
      </c>
      <c r="I2" s="2" t="str">
        <f>_xlfn.XLOOKUP(Tabla_Consolidados[[#This Row],[id_padre]],Tabla_Consolidados[Id],Tabla_Consolidados[Codigo_Tecnico],"",0,1)</f>
        <v/>
      </c>
      <c r="J2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</v>
      </c>
      <c r="K2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</v>
      </c>
      <c r="L2" s="6" t="s">
        <v>1456</v>
      </c>
      <c r="M2" t="s">
        <v>1874</v>
      </c>
      <c r="N2" s="4" t="s">
        <v>360</v>
      </c>
      <c r="O2" s="4" t="s">
        <v>360</v>
      </c>
      <c r="P2" s="2" t="str">
        <f>IF(Tabla_Consolidados[[#This Row],[id_padre]]=Tabla_Consolidados[[#This Row],[Id]],"NOK","OK")</f>
        <v>OK</v>
      </c>
    </row>
    <row r="3" spans="1:17" x14ac:dyDescent="0.5">
      <c r="A3" s="2">
        <f>MAX(Tabla_Compras_Extranjera[Id])</f>
        <v>1647</v>
      </c>
      <c r="B3">
        <v>1648</v>
      </c>
      <c r="C3" s="5">
        <f>IF(Tabla_Consolidados[[#This Row],[id_padre]]="",0,_xlfn.XLOOKUP(Tabla_Consolidados[[#This Row],[id_padre]],Tabla_Consolidados[Id],Tabla_Consolidados[Nivel],0,0,1)+1)</f>
        <v>1</v>
      </c>
      <c r="D3" s="2" t="s">
        <v>18</v>
      </c>
      <c r="E3">
        <f>IF(Tabla_Consolidados[[#This Row],[Id_anterior]]=1,ROW()-1,SUM(ROW()-1,Tabla_Consolidados[[#This Row],[Id_anterior]]))</f>
        <v>1649</v>
      </c>
      <c r="F3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</v>
      </c>
      <c r="G3" s="2" t="str">
        <f>CLEAN(PROPER(Tabla_Consolidados[[#This Row],[Nombre Opción]]))</f>
        <v>Parámetros</v>
      </c>
      <c r="H3" s="2" t="s">
        <v>1735</v>
      </c>
      <c r="I3" s="2" t="str">
        <f>_xlfn.XLOOKUP(Tabla_Consolidados[[#This Row],[id_padre]],Tabla_Consolidados[Id],Tabla_Consolidados[Codigo_Tecnico],"",0,1)</f>
        <v>CONSOLIDADO</v>
      </c>
      <c r="J3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</v>
      </c>
      <c r="K3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parametros</v>
      </c>
      <c r="L3" s="6" t="s">
        <v>1337</v>
      </c>
      <c r="M3" t="s">
        <v>1874</v>
      </c>
      <c r="N3" s="4" t="s">
        <v>360</v>
      </c>
      <c r="O3" s="4" t="s">
        <v>360</v>
      </c>
      <c r="P3" s="2" t="str">
        <f>IF(Tabla_Consolidados[[#This Row],[id_padre]]=Tabla_Consolidados[[#This Row],[Id]],"NOK","OK")</f>
        <v>OK</v>
      </c>
    </row>
    <row r="4" spans="1:17" hidden="1" x14ac:dyDescent="0.5">
      <c r="A4" s="2">
        <f>MAX(Tabla_Compras_Extranjera[Id])</f>
        <v>1647</v>
      </c>
      <c r="B4">
        <v>1648</v>
      </c>
      <c r="C4" s="5">
        <f>IF(Tabla_Consolidados[[#This Row],[id_padre]]="",0,_xlfn.XLOOKUP(Tabla_Consolidados[[#This Row],[id_padre]],Tabla_Consolidados[Id],Tabla_Consolidados[Nivel],0,0,1)+1)</f>
        <v>1</v>
      </c>
      <c r="D4" s="2" t="s">
        <v>19</v>
      </c>
      <c r="E4">
        <f>IF(Tabla_Consolidados[[#This Row],[Id_anterior]]=1,ROW()-1,SUM(ROW()-1,Tabla_Consolidados[[#This Row],[Id_anterior]]))</f>
        <v>1650</v>
      </c>
      <c r="F4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</v>
      </c>
      <c r="G4" s="2" t="str">
        <f>CLEAN(PROPER(Tabla_Consolidados[[#This Row],[Nombre Opción]]))</f>
        <v>Procesos</v>
      </c>
      <c r="H4" s="2" t="s">
        <v>1735</v>
      </c>
      <c r="I4" s="2" t="str">
        <f>_xlfn.XLOOKUP(Tabla_Consolidados[[#This Row],[id_padre]],Tabla_Consolidados[Id],Tabla_Consolidados[Codigo_Tecnico],"",0,1)</f>
        <v>CONSOLIDADO</v>
      </c>
      <c r="J4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</v>
      </c>
      <c r="K4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procesos</v>
      </c>
      <c r="L4" s="6" t="s">
        <v>1338</v>
      </c>
      <c r="M4" t="s">
        <v>1874</v>
      </c>
      <c r="N4" s="4" t="s">
        <v>360</v>
      </c>
      <c r="O4" s="4" t="s">
        <v>360</v>
      </c>
      <c r="P4" s="2" t="str">
        <f>IF(Tabla_Consolidados[[#This Row],[id_padre]]=Tabla_Consolidados[[#This Row],[Id]],"NOK","OK")</f>
        <v>OK</v>
      </c>
    </row>
    <row r="5" spans="1:17" hidden="1" x14ac:dyDescent="0.5">
      <c r="A5" s="2">
        <f>MAX(Tabla_Compras_Extranjera[Id])</f>
        <v>1647</v>
      </c>
      <c r="B5">
        <v>1648</v>
      </c>
      <c r="C5" s="5">
        <f>IF(Tabla_Consolidados[[#This Row],[id_padre]]="",0,_xlfn.XLOOKUP(Tabla_Consolidados[[#This Row],[id_padre]],Tabla_Consolidados[Id],Tabla_Consolidados[Nivel],0,0,1)+1)</f>
        <v>1</v>
      </c>
      <c r="D5" s="2" t="s">
        <v>20</v>
      </c>
      <c r="E5">
        <f>IF(Tabla_Consolidados[[#This Row],[Id_anterior]]=1,ROW()-1,SUM(ROW()-1,Tabla_Consolidados[[#This Row],[Id_anterior]]))</f>
        <v>1651</v>
      </c>
      <c r="F5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CONSOLIDADO_CONSULTAS</v>
      </c>
      <c r="G5" s="2" t="str">
        <f>CLEAN(PROPER(Tabla_Consolidados[[#This Row],[Nombre Opción]]))</f>
        <v>Consultas</v>
      </c>
      <c r="H5" s="2" t="s">
        <v>1735</v>
      </c>
      <c r="I5" s="2" t="str">
        <f>_xlfn.XLOOKUP(Tabla_Consolidados[[#This Row],[id_padre]],Tabla_Consolidados[Id],Tabla_Consolidados[Codigo_Tecnico],"",0,1)</f>
        <v>CONSOLIDADO</v>
      </c>
      <c r="J5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/consolidado/consultas</v>
      </c>
      <c r="K5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consultas</v>
      </c>
      <c r="L5" s="6" t="s">
        <v>1339</v>
      </c>
      <c r="M5" t="s">
        <v>1874</v>
      </c>
      <c r="N5" s="4" t="s">
        <v>360</v>
      </c>
      <c r="O5" s="4" t="s">
        <v>360</v>
      </c>
      <c r="P5" s="2" t="str">
        <f>IF(Tabla_Consolidados[[#This Row],[id_padre]]=Tabla_Consolidados[[#This Row],[Id]],"NOK","OK")</f>
        <v>OK</v>
      </c>
    </row>
    <row r="6" spans="1:17" hidden="1" x14ac:dyDescent="0.5">
      <c r="A6" s="2">
        <f>MAX(Tabla_Compras_Extranjera[Id])</f>
        <v>1647</v>
      </c>
      <c r="B6">
        <v>1648</v>
      </c>
      <c r="C6" s="5">
        <f>IF(Tabla_Consolidados[[#This Row],[id_padre]]="",0,_xlfn.XLOOKUP(Tabla_Consolidados[[#This Row],[id_padre]],Tabla_Consolidados[Id],Tabla_Consolidados[Nivel],0,0,1)+1)</f>
        <v>1</v>
      </c>
      <c r="D6" s="2" t="s">
        <v>21</v>
      </c>
      <c r="E6">
        <f>IF(Tabla_Consolidados[[#This Row],[Id_anterior]]=1,ROW()-1,SUM(ROW()-1,Tabla_Consolidados[[#This Row],[Id_anterior]]))</f>
        <v>1652</v>
      </c>
      <c r="F6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</v>
      </c>
      <c r="G6" s="2" t="str">
        <f>CLEAN(PROPER(Tabla_Consolidados[[#This Row],[Nombre Opción]]))</f>
        <v>Informes</v>
      </c>
      <c r="H6" s="2" t="s">
        <v>1735</v>
      </c>
      <c r="I6" s="2" t="str">
        <f>_xlfn.XLOOKUP(Tabla_Consolidados[[#This Row],[id_padre]],Tabla_Consolidados[Id],Tabla_Consolidados[Codigo_Tecnico],"",0,1)</f>
        <v>CONSOLIDADO</v>
      </c>
      <c r="J6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</v>
      </c>
      <c r="K6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informes</v>
      </c>
      <c r="L6" s="6" t="s">
        <v>1340</v>
      </c>
      <c r="M6" t="s">
        <v>1874</v>
      </c>
      <c r="N6" s="4" t="s">
        <v>360</v>
      </c>
      <c r="O6" s="4" t="s">
        <v>360</v>
      </c>
      <c r="P6" s="2" t="str">
        <f>IF(Tabla_Consolidados[[#This Row],[id_padre]]=Tabla_Consolidados[[#This Row],[Id]],"NOK","OK")</f>
        <v>OK</v>
      </c>
    </row>
    <row r="7" spans="1:17" x14ac:dyDescent="0.5">
      <c r="A7" s="2">
        <f>MAX(Tabla_Compras_Extranjera[Id])</f>
        <v>1647</v>
      </c>
      <c r="B7">
        <v>1649</v>
      </c>
      <c r="C7" s="5">
        <f>IF(Tabla_Consolidados[[#This Row],[id_padre]]="",0,_xlfn.XLOOKUP(Tabla_Consolidados[[#This Row],[id_padre]],Tabla_Consolidados[Id],Tabla_Consolidados[Nivel],0,0,1)+1)</f>
        <v>2</v>
      </c>
      <c r="D7" s="2" t="s">
        <v>1875</v>
      </c>
      <c r="E7">
        <f>IF(Tabla_Consolidados[[#This Row],[Id_anterior]]=1,ROW()-1,SUM(ROW()-1,Tabla_Consolidados[[#This Row],[Id_anterior]]))</f>
        <v>1653</v>
      </c>
      <c r="F7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CONSOLIDADO_PARAMETROS_MANTENIMIENTO_APROBACION</v>
      </c>
      <c r="G7" s="2" t="str">
        <f>CLEAN(PROPER(Tabla_Consolidados[[#This Row],[Nombre Opción]]))</f>
        <v>Mantenimiento Aprobación</v>
      </c>
      <c r="H7" s="2" t="s">
        <v>1735</v>
      </c>
      <c r="I7" s="2" t="str">
        <f>_xlfn.XLOOKUP(Tabla_Consolidados[[#This Row],[id_padre]],Tabla_Consolidados[Id],Tabla_Consolidados[Codigo_Tecnico],"",0,1)</f>
        <v>CONSOLIDADO_PARAMETROS</v>
      </c>
      <c r="J7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/consolidado/parametros/mantenimiento-aprobacion</v>
      </c>
      <c r="K7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mantenimiento-aprobacion</v>
      </c>
      <c r="L7" s="6" t="s">
        <v>1410</v>
      </c>
      <c r="M7" t="s">
        <v>1874</v>
      </c>
      <c r="N7" s="4" t="s">
        <v>360</v>
      </c>
      <c r="O7" s="4" t="s">
        <v>360</v>
      </c>
      <c r="P7" s="2" t="str">
        <f>IF(Tabla_Consolidados[[#This Row],[id_padre]]=Tabla_Consolidados[[#This Row],[Id]],"NOK","OK")</f>
        <v>OK</v>
      </c>
    </row>
    <row r="8" spans="1:17" x14ac:dyDescent="0.5">
      <c r="A8" s="2">
        <f>MAX(Tabla_Compras_Extranjera[Id])</f>
        <v>1647</v>
      </c>
      <c r="B8">
        <v>1649</v>
      </c>
      <c r="C8" s="5">
        <f>IF(Tabla_Consolidados[[#This Row],[id_padre]]="",0,_xlfn.XLOOKUP(Tabla_Consolidados[[#This Row],[id_padre]],Tabla_Consolidados[Id],Tabla_Consolidados[Nivel],0,0,1)+1)</f>
        <v>2</v>
      </c>
      <c r="D8" s="2" t="s">
        <v>1876</v>
      </c>
      <c r="E8">
        <f>IF(Tabla_Consolidados[[#This Row],[Id_anterior]]=1,ROW()-1,SUM(ROW()-1,Tabla_Consolidados[[#This Row],[Id_anterior]]))</f>
        <v>1654</v>
      </c>
      <c r="F8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CONSOLIDADO_PARAMETROS_MANTENIMIENTO_CLASIFICACION</v>
      </c>
      <c r="G8" s="2" t="str">
        <f>CLEAN(PROPER(Tabla_Consolidados[[#This Row],[Nombre Opción]]))</f>
        <v>Mantenimiento Clasificación</v>
      </c>
      <c r="H8" s="2" t="s">
        <v>1735</v>
      </c>
      <c r="I8" s="2" t="str">
        <f>_xlfn.XLOOKUP(Tabla_Consolidados[[#This Row],[id_padre]],Tabla_Consolidados[Id],Tabla_Consolidados[Codigo_Tecnico],"",0,1)</f>
        <v>CONSOLIDADO_PARAMETROS</v>
      </c>
      <c r="J8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/consolidado/parametros/mantenimiento-clasificacion</v>
      </c>
      <c r="K8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mantenimiento-clasificacion</v>
      </c>
      <c r="L8" s="6" t="s">
        <v>1407</v>
      </c>
      <c r="M8" t="s">
        <v>1874</v>
      </c>
      <c r="N8" s="4" t="s">
        <v>360</v>
      </c>
      <c r="O8" s="4" t="s">
        <v>360</v>
      </c>
      <c r="P8" s="2" t="str">
        <f>IF(Tabla_Consolidados[[#This Row],[id_padre]]=Tabla_Consolidados[[#This Row],[Id]],"NOK","OK")</f>
        <v>OK</v>
      </c>
    </row>
    <row r="9" spans="1:17" x14ac:dyDescent="0.5">
      <c r="A9" s="2">
        <f>MAX(Tabla_Compras_Extranjera[Id])</f>
        <v>1647</v>
      </c>
      <c r="B9">
        <v>1649</v>
      </c>
      <c r="C9" s="5">
        <f>IF(Tabla_Consolidados[[#This Row],[id_padre]]="",0,_xlfn.XLOOKUP(Tabla_Consolidados[[#This Row],[id_padre]],Tabla_Consolidados[Id],Tabla_Consolidados[Nivel],0,0,1)+1)</f>
        <v>2</v>
      </c>
      <c r="D9" s="2" t="s">
        <v>1877</v>
      </c>
      <c r="E9">
        <f>IF(Tabla_Consolidados[[#This Row],[Id_anterior]]=1,ROW()-1,SUM(ROW()-1,Tabla_Consolidados[[#This Row],[Id_anterior]]))</f>
        <v>1655</v>
      </c>
      <c r="F9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CONSOLIDADO_PARAMETROS_MANTENIMIENTO_CUENTAS_ACTIVO</v>
      </c>
      <c r="G9" s="2" t="str">
        <f>CLEAN(PROPER(Tabla_Consolidados[[#This Row],[Nombre Opción]]))</f>
        <v>Mantenimiento Cuentas De Activo</v>
      </c>
      <c r="H9" s="2" t="s">
        <v>1735</v>
      </c>
      <c r="I9" s="2" t="str">
        <f>_xlfn.XLOOKUP(Tabla_Consolidados[[#This Row],[id_padre]],Tabla_Consolidados[Id],Tabla_Consolidados[Codigo_Tecnico],"",0,1)</f>
        <v>CONSOLIDADO_PARAMETROS</v>
      </c>
      <c r="J9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/consolidado/parametros/mantenimiento-cuentas-activo</v>
      </c>
      <c r="K9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mantenimiento-cuentas-activo</v>
      </c>
      <c r="L9" s="6" t="s">
        <v>1395</v>
      </c>
      <c r="M9" t="s">
        <v>1874</v>
      </c>
      <c r="N9" s="4" t="s">
        <v>360</v>
      </c>
      <c r="O9" s="4" t="s">
        <v>360</v>
      </c>
      <c r="P9" s="2" t="str">
        <f>IF(Tabla_Consolidados[[#This Row],[id_padre]]=Tabla_Consolidados[[#This Row],[Id]],"NOK","OK")</f>
        <v>OK</v>
      </c>
    </row>
    <row r="10" spans="1:17" x14ac:dyDescent="0.5">
      <c r="A10" s="2">
        <f>MAX(Tabla_Compras_Extranjera[Id])</f>
        <v>1647</v>
      </c>
      <c r="B10">
        <v>1649</v>
      </c>
      <c r="C10" s="5">
        <f>IF(Tabla_Consolidados[[#This Row],[id_padre]]="",0,_xlfn.XLOOKUP(Tabla_Consolidados[[#This Row],[id_padre]],Tabla_Consolidados[Id],Tabla_Consolidados[Nivel],0,0,1)+1)</f>
        <v>2</v>
      </c>
      <c r="D10" s="2" t="s">
        <v>1878</v>
      </c>
      <c r="E10">
        <f>IF(Tabla_Consolidados[[#This Row],[Id_anterior]]=1,ROW()-1,SUM(ROW()-1,Tabla_Consolidados[[#This Row],[Id_anterior]]))</f>
        <v>1656</v>
      </c>
      <c r="F10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CONSOLIDADO_PARAMETROS_MANTENIMIENTO_CUENTAS_PASIVO</v>
      </c>
      <c r="G10" s="2" t="str">
        <f>CLEAN(PROPER(Tabla_Consolidados[[#This Row],[Nombre Opción]]))</f>
        <v>Mantenimiento Cuentas De Pasivo</v>
      </c>
      <c r="H10" s="2" t="s">
        <v>1735</v>
      </c>
      <c r="I10" s="2" t="str">
        <f>_xlfn.XLOOKUP(Tabla_Consolidados[[#This Row],[id_padre]],Tabla_Consolidados[Id],Tabla_Consolidados[Codigo_Tecnico],"",0,1)</f>
        <v>CONSOLIDADO_PARAMETROS</v>
      </c>
      <c r="J10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/consolidado/parametros/mantenimiento-cuentas-pasivo</v>
      </c>
      <c r="K10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mantenimiento-cuentas-pasivo</v>
      </c>
      <c r="L10" s="6" t="s">
        <v>1567</v>
      </c>
      <c r="M10" t="s">
        <v>1874</v>
      </c>
      <c r="N10" s="4" t="s">
        <v>360</v>
      </c>
      <c r="O10" s="4" t="s">
        <v>360</v>
      </c>
      <c r="P10" s="2" t="str">
        <f>IF(Tabla_Consolidados[[#This Row],[id_padre]]=Tabla_Consolidados[[#This Row],[Id]],"NOK","OK")</f>
        <v>OK</v>
      </c>
    </row>
    <row r="11" spans="1:17" x14ac:dyDescent="0.5">
      <c r="A11" s="2">
        <f>MAX(Tabla_Compras_Extranjera[Id])</f>
        <v>1647</v>
      </c>
      <c r="B11">
        <v>1649</v>
      </c>
      <c r="C11" s="5">
        <f>IF(Tabla_Consolidados[[#This Row],[id_padre]]="",0,_xlfn.XLOOKUP(Tabla_Consolidados[[#This Row],[id_padre]],Tabla_Consolidados[Id],Tabla_Consolidados[Nivel],0,0,1)+1)</f>
        <v>2</v>
      </c>
      <c r="D11" s="2" t="s">
        <v>1879</v>
      </c>
      <c r="E11">
        <f>IF(Tabla_Consolidados[[#This Row],[Id_anterior]]=1,ROW()-1,SUM(ROW()-1,Tabla_Consolidados[[#This Row],[Id_anterior]]))</f>
        <v>1657</v>
      </c>
      <c r="F11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CONSOLIDADO_PARAMETROS_MANTENIMIENTO_CUENTAS_ESTADO_FLUJO</v>
      </c>
      <c r="G11" s="2" t="str">
        <f>CLEAN(PROPER(Tabla_Consolidados[[#This Row],[Nombre Opción]]))</f>
        <v>Mantenimiento Cuentas De Estado De Flujo</v>
      </c>
      <c r="H11" s="2" t="s">
        <v>1735</v>
      </c>
      <c r="I11" s="2" t="str">
        <f>_xlfn.XLOOKUP(Tabla_Consolidados[[#This Row],[id_padre]],Tabla_Consolidados[Id],Tabla_Consolidados[Codigo_Tecnico],"",0,1)</f>
        <v>CONSOLIDADO_PARAMETROS</v>
      </c>
      <c r="J11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/consolidado/parametros/mantenimiento-cuentas-estado-flujo</v>
      </c>
      <c r="K11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mantenimiento-cuentas-estado-flujo</v>
      </c>
      <c r="L11" s="6" t="s">
        <v>1379</v>
      </c>
      <c r="M11" t="s">
        <v>1874</v>
      </c>
      <c r="N11" s="4" t="s">
        <v>360</v>
      </c>
      <c r="O11" s="4" t="s">
        <v>360</v>
      </c>
      <c r="P11" s="2" t="str">
        <f>IF(Tabla_Consolidados[[#This Row],[id_padre]]=Tabla_Consolidados[[#This Row],[Id]],"NOK","OK")</f>
        <v>OK</v>
      </c>
    </row>
    <row r="12" spans="1:17" x14ac:dyDescent="0.5">
      <c r="A12" s="2">
        <f>MAX(Tabla_Compras_Extranjera[Id])</f>
        <v>1647</v>
      </c>
      <c r="B12">
        <v>1649</v>
      </c>
      <c r="C12" s="5">
        <f>IF(Tabla_Consolidados[[#This Row],[id_padre]]="",0,_xlfn.XLOOKUP(Tabla_Consolidados[[#This Row],[id_padre]],Tabla_Consolidados[Id],Tabla_Consolidados[Nivel],0,0,1)+1)</f>
        <v>2</v>
      </c>
      <c r="D12" s="2" t="s">
        <v>1880</v>
      </c>
      <c r="E12">
        <f>IF(Tabla_Consolidados[[#This Row],[Id_anterior]]=1,ROW()-1,SUM(ROW()-1,Tabla_Consolidados[[#This Row],[Id_anterior]]))</f>
        <v>1658</v>
      </c>
      <c r="F12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CONSOLIDADO_PARAMETROS_MANTENIMIENTO_CUENTAS_RESULTADO</v>
      </c>
      <c r="G12" s="2" t="str">
        <f>CLEAN(PROPER(Tabla_Consolidados[[#This Row],[Nombre Opción]]))</f>
        <v>Mantenimiento Cuentas De Resultado</v>
      </c>
      <c r="H12" s="2" t="s">
        <v>1735</v>
      </c>
      <c r="I12" s="2" t="str">
        <f>_xlfn.XLOOKUP(Tabla_Consolidados[[#This Row],[id_padre]],Tabla_Consolidados[Id],Tabla_Consolidados[Codigo_Tecnico],"",0,1)</f>
        <v>CONSOLIDADO_PARAMETROS</v>
      </c>
      <c r="J12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/consolidado/parametros/mantenimiento-cuentas-resultado</v>
      </c>
      <c r="K12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mantenimiento-cuentas-resultado</v>
      </c>
      <c r="L12" s="6" t="s">
        <v>1413</v>
      </c>
      <c r="M12" t="s">
        <v>1874</v>
      </c>
      <c r="N12" s="4" t="s">
        <v>360</v>
      </c>
      <c r="O12" s="4" t="s">
        <v>360</v>
      </c>
      <c r="P12" s="2" t="str">
        <f>IF(Tabla_Consolidados[[#This Row],[id_padre]]=Tabla_Consolidados[[#This Row],[Id]],"NOK","OK")</f>
        <v>OK</v>
      </c>
    </row>
    <row r="13" spans="1:17" x14ac:dyDescent="0.5">
      <c r="A13" s="2">
        <f>MAX(Tabla_Compras_Extranjera[Id])</f>
        <v>1647</v>
      </c>
      <c r="B13">
        <v>1649</v>
      </c>
      <c r="C13" s="5">
        <f>IF(Tabla_Consolidados[[#This Row],[id_padre]]="",0,_xlfn.XLOOKUP(Tabla_Consolidados[[#This Row],[id_padre]],Tabla_Consolidados[Id],Tabla_Consolidados[Nivel],0,0,1)+1)</f>
        <v>2</v>
      </c>
      <c r="D13" s="2" t="s">
        <v>1881</v>
      </c>
      <c r="E13">
        <f>IF(Tabla_Consolidados[[#This Row],[Id_anterior]]=1,ROW()-1,SUM(ROW()-1,Tabla_Consolidados[[#This Row],[Id_anterior]]))</f>
        <v>1659</v>
      </c>
      <c r="F13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CONSOLIDADO_PARAMETROS_MANTENIMIENTO_FACTOR_ACTUALIZACION</v>
      </c>
      <c r="G13" s="2" t="str">
        <f>CLEAN(PROPER(Tabla_Consolidados[[#This Row],[Nombre Opción]]))</f>
        <v>Mantenimiento Factor De Actualización</v>
      </c>
      <c r="H13" s="2" t="s">
        <v>1735</v>
      </c>
      <c r="I13" s="2" t="str">
        <f>_xlfn.XLOOKUP(Tabla_Consolidados[[#This Row],[id_padre]],Tabla_Consolidados[Id],Tabla_Consolidados[Codigo_Tecnico],"",0,1)</f>
        <v>CONSOLIDADO_PARAMETROS</v>
      </c>
      <c r="J13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/consolidado/parametros/mantenimiento-factor-actualizacion</v>
      </c>
      <c r="K13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mantenimiento-factor-actualizacion</v>
      </c>
      <c r="L13" s="6" t="s">
        <v>1481</v>
      </c>
      <c r="M13" t="s">
        <v>1874</v>
      </c>
      <c r="N13" s="4" t="s">
        <v>360</v>
      </c>
      <c r="O13" s="4" t="s">
        <v>360</v>
      </c>
      <c r="P13" s="2" t="str">
        <f>IF(Tabla_Consolidados[[#This Row],[id_padre]]=Tabla_Consolidados[[#This Row],[Id]],"NOK","OK")</f>
        <v>OK</v>
      </c>
    </row>
    <row r="14" spans="1:17" x14ac:dyDescent="0.5">
      <c r="A14" s="2">
        <f>MAX(Tabla_Compras_Extranjera[Id])</f>
        <v>1647</v>
      </c>
      <c r="B14">
        <v>1649</v>
      </c>
      <c r="C14" s="5">
        <f>IF(Tabla_Consolidados[[#This Row],[id_padre]]="",0,_xlfn.XLOOKUP(Tabla_Consolidados[[#This Row],[id_padre]],Tabla_Consolidados[Id],Tabla_Consolidados[Nivel],0,0,1)+1)</f>
        <v>2</v>
      </c>
      <c r="D14" s="2" t="s">
        <v>1882</v>
      </c>
      <c r="E14">
        <f>IF(Tabla_Consolidados[[#This Row],[Id_anterior]]=1,ROW()-1,SUM(ROW()-1,Tabla_Consolidados[[#This Row],[Id_anterior]]))</f>
        <v>1660</v>
      </c>
      <c r="F14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</v>
      </c>
      <c r="G14" s="2" t="str">
        <f>CLEAN(PROPER(Tabla_Consolidados[[#This Row],[Nombre Opción]]))</f>
        <v>Homologación</v>
      </c>
      <c r="H14" s="2" t="s">
        <v>1735</v>
      </c>
      <c r="I14" s="2" t="str">
        <f>_xlfn.XLOOKUP(Tabla_Consolidados[[#This Row],[id_padre]],Tabla_Consolidados[Id],Tabla_Consolidados[Codigo_Tecnico],"",0,1)</f>
        <v>CONSOLIDADO_PARAMETROS</v>
      </c>
      <c r="J14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</v>
      </c>
      <c r="K14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homologacion</v>
      </c>
      <c r="L14" s="6" t="s">
        <v>1408</v>
      </c>
      <c r="M14" t="s">
        <v>1874</v>
      </c>
      <c r="N14" s="4" t="s">
        <v>360</v>
      </c>
      <c r="O14" s="4" t="s">
        <v>360</v>
      </c>
      <c r="P14" s="2" t="str">
        <f>IF(Tabla_Consolidados[[#This Row],[id_padre]]=Tabla_Consolidados[[#This Row],[Id]],"NOK","OK")</f>
        <v>OK</v>
      </c>
    </row>
    <row r="15" spans="1:17" x14ac:dyDescent="0.5">
      <c r="A15" s="2">
        <f>MAX(Tabla_Compras_Extranjera[Id])</f>
        <v>1647</v>
      </c>
      <c r="B15">
        <v>1660</v>
      </c>
      <c r="C15" s="5">
        <f>IF(Tabla_Consolidados[[#This Row],[id_padre]]="",0,_xlfn.XLOOKUP(Tabla_Consolidados[[#This Row],[id_padre]],Tabla_Consolidados[Id],Tabla_Consolidados[Nivel],0,0,1)+1)</f>
        <v>3</v>
      </c>
      <c r="D15" s="2" t="s">
        <v>1883</v>
      </c>
      <c r="E15">
        <f>IF(Tabla_Consolidados[[#This Row],[Id_anterior]]=1,ROW()-1,SUM(ROW()-1,Tabla_Consolidados[[#This Row],[Id_anterior]]))</f>
        <v>1661</v>
      </c>
      <c r="F15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CONSOLIDADO_PARAMETROS_HOMOLOGACION_MANTENIMIENTO_CUENTAS_CORREO_SIGFE</v>
      </c>
      <c r="G15" s="2" t="str">
        <f>CLEAN(PROPER(Tabla_Consolidados[[#This Row],[Nombre Opción]]))</f>
        <v>Mantenimiento Cuentas De Correo Sigfe</v>
      </c>
      <c r="H15" s="2" t="s">
        <v>1735</v>
      </c>
      <c r="I15" s="2" t="str">
        <f>_xlfn.XLOOKUP(Tabla_Consolidados[[#This Row],[id_padre]],Tabla_Consolidados[Id],Tabla_Consolidados[Codigo_Tecnico],"",0,1)</f>
        <v>CONSOLIDADO_PARAMETROS_HOMOLOGACION</v>
      </c>
      <c r="J15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/consolidado/parametros/homologacion/mantenimiento-cuentas-correo-sigfe</v>
      </c>
      <c r="K15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mantenimiento-cuentas-correo-sigfe</v>
      </c>
      <c r="L15" s="6" t="s">
        <v>1452</v>
      </c>
      <c r="M15" t="s">
        <v>1874</v>
      </c>
      <c r="N15" s="4" t="s">
        <v>360</v>
      </c>
      <c r="O15" s="4" t="s">
        <v>360</v>
      </c>
      <c r="P15" s="2" t="str">
        <f>IF(Tabla_Consolidados[[#This Row],[id_padre]]=Tabla_Consolidados[[#This Row],[Id]],"NOK","OK")</f>
        <v>OK</v>
      </c>
    </row>
    <row r="16" spans="1:17" x14ac:dyDescent="0.5">
      <c r="A16" s="2">
        <f>MAX(Tabla_Compras_Extranjera[Id])</f>
        <v>1647</v>
      </c>
      <c r="B16">
        <v>1660</v>
      </c>
      <c r="C16" s="5">
        <f>IF(Tabla_Consolidados[[#This Row],[id_padre]]="",0,_xlfn.XLOOKUP(Tabla_Consolidados[[#This Row],[id_padre]],Tabla_Consolidados[Id],Tabla_Consolidados[Nivel],0,0,1)+1)</f>
        <v>3</v>
      </c>
      <c r="D16" s="2" t="s">
        <v>1884</v>
      </c>
      <c r="E16">
        <f>IF(Tabla_Consolidados[[#This Row],[Id_anterior]]=1,ROW()-1,SUM(ROW()-1,Tabla_Consolidados[[#This Row],[Id_anterior]]))</f>
        <v>1662</v>
      </c>
      <c r="F16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CONSOLIDADO_PARAMETROS_HOMOLOGACION_MANTENIMIENTO_REGLAS_EXTERNAS</v>
      </c>
      <c r="G16" s="2" t="str">
        <f>CLEAN(PROPER(Tabla_Consolidados[[#This Row],[Nombre Opción]]))</f>
        <v>Mantenimiento Reglas Externas</v>
      </c>
      <c r="H16" s="2" t="s">
        <v>1735</v>
      </c>
      <c r="I16" s="2" t="str">
        <f>_xlfn.XLOOKUP(Tabla_Consolidados[[#This Row],[id_padre]],Tabla_Consolidados[Id],Tabla_Consolidados[Codigo_Tecnico],"",0,1)</f>
        <v>CONSOLIDADO_PARAMETROS_HOMOLOGACION</v>
      </c>
      <c r="J16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/consolidado/parametros/homologacion/mantenimiento-reglas-externas</v>
      </c>
      <c r="K16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mantenimiento-reglas-externas</v>
      </c>
      <c r="L16" s="6" t="s">
        <v>1424</v>
      </c>
      <c r="M16" t="s">
        <v>1874</v>
      </c>
      <c r="N16" s="4" t="s">
        <v>360</v>
      </c>
      <c r="O16" s="4" t="s">
        <v>360</v>
      </c>
      <c r="P16" s="2" t="str">
        <f>IF(Tabla_Consolidados[[#This Row],[id_padre]]=Tabla_Consolidados[[#This Row],[Id]],"NOK","OK")</f>
        <v>OK</v>
      </c>
    </row>
    <row r="17" spans="1:16" x14ac:dyDescent="0.5">
      <c r="A17" s="2">
        <f>MAX(Tabla_Compras_Extranjera[Id])</f>
        <v>1647</v>
      </c>
      <c r="B17">
        <v>1662</v>
      </c>
      <c r="C17" s="5">
        <f>IF(Tabla_Consolidados[[#This Row],[id_padre]]="",0,_xlfn.XLOOKUP(Tabla_Consolidados[[#This Row],[id_padre]],Tabla_Consolidados[Id],Tabla_Consolidados[Nivel],0,0,1)+1)</f>
        <v>4</v>
      </c>
      <c r="D17" s="2" t="s">
        <v>1885</v>
      </c>
      <c r="E17">
        <f>IF(Tabla_Consolidados[[#This Row],[Id_anterior]]=1,ROW()-1,SUM(ROW()-1,Tabla_Consolidados[[#This Row],[Id_anterior]]))</f>
        <v>1663</v>
      </c>
      <c r="F17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CONSOLIDADO_PARAMETROS_HOMOLOGACION_MANTENIMIENTO_REGLAS_EXTERNAS_DE_COMPROMISO</v>
      </c>
      <c r="G17" s="2" t="str">
        <f>CLEAN(PROPER(Tabla_Consolidados[[#This Row],[Nombre Opción]]))</f>
        <v>De Compromiso</v>
      </c>
      <c r="H17" s="2" t="s">
        <v>1735</v>
      </c>
      <c r="I17" s="2" t="str">
        <f>_xlfn.XLOOKUP(Tabla_Consolidados[[#This Row],[id_padre]],Tabla_Consolidados[Id],Tabla_Consolidados[Codigo_Tecnico],"",0,1)</f>
        <v>CONSOLIDADO_PARAMETROS_HOMOLOGACION_MANTENIMIENTO_REGLAS_EXTERNAS</v>
      </c>
      <c r="J17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/consolidado/parametros/homologacion/mantenimiento-reglas-externas/de-compromiso</v>
      </c>
      <c r="K17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de-compromiso</v>
      </c>
      <c r="L17" s="6" t="s">
        <v>1409</v>
      </c>
      <c r="M17" t="s">
        <v>1874</v>
      </c>
      <c r="N17" s="4" t="s">
        <v>360</v>
      </c>
      <c r="O17" s="4" t="s">
        <v>360</v>
      </c>
      <c r="P17" s="2" t="str">
        <f>IF(Tabla_Consolidados[[#This Row],[id_padre]]=Tabla_Consolidados[[#This Row],[Id]],"NOK","OK")</f>
        <v>OK</v>
      </c>
    </row>
    <row r="18" spans="1:16" x14ac:dyDescent="0.5">
      <c r="A18" s="2">
        <f>MAX(Tabla_Compras_Extranjera[Id])</f>
        <v>1647</v>
      </c>
      <c r="B18">
        <v>1662</v>
      </c>
      <c r="C18" s="5">
        <f>IF(Tabla_Consolidados[[#This Row],[id_padre]]="",0,_xlfn.XLOOKUP(Tabla_Consolidados[[#This Row],[id_padre]],Tabla_Consolidados[Id],Tabla_Consolidados[Nivel],0,0,1)+1)</f>
        <v>4</v>
      </c>
      <c r="D18" s="2" t="s">
        <v>1886</v>
      </c>
      <c r="E18">
        <f>IF(Tabla_Consolidados[[#This Row],[Id_anterior]]=1,ROW()-1,SUM(ROW()-1,Tabla_Consolidados[[#This Row],[Id_anterior]]))</f>
        <v>1664</v>
      </c>
      <c r="F18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CONSOLIDADO_PARAMETROS_HOMOLOGACION_MANTENIMIENTO_REGLAS_EXTERNAS_DE_DEVENGO</v>
      </c>
      <c r="G18" s="2" t="str">
        <f>CLEAN(PROPER(Tabla_Consolidados[[#This Row],[Nombre Opción]]))</f>
        <v>De Devengo</v>
      </c>
      <c r="H18" s="2" t="s">
        <v>1735</v>
      </c>
      <c r="I18" s="2" t="str">
        <f>_xlfn.XLOOKUP(Tabla_Consolidados[[#This Row],[id_padre]],Tabla_Consolidados[Id],Tabla_Consolidados[Codigo_Tecnico],"",0,1)</f>
        <v>CONSOLIDADO_PARAMETROS_HOMOLOGACION_MANTENIMIENTO_REGLAS_EXTERNAS</v>
      </c>
      <c r="J18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/consolidado/parametros/homologacion/mantenimiento-reglas-externas/de-devengo</v>
      </c>
      <c r="K18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de-devengo</v>
      </c>
      <c r="L18" s="6" t="s">
        <v>1357</v>
      </c>
      <c r="M18" t="s">
        <v>1874</v>
      </c>
      <c r="N18" s="4" t="s">
        <v>360</v>
      </c>
      <c r="O18" s="4" t="s">
        <v>360</v>
      </c>
      <c r="P18" s="2" t="str">
        <f>IF(Tabla_Consolidados[[#This Row],[id_padre]]=Tabla_Consolidados[[#This Row],[Id]],"NOK","OK")</f>
        <v>OK</v>
      </c>
    </row>
    <row r="19" spans="1:16" x14ac:dyDescent="0.5">
      <c r="A19" s="2">
        <f>MAX(Tabla_Compras_Extranjera[Id])</f>
        <v>1647</v>
      </c>
      <c r="B19">
        <v>1662</v>
      </c>
      <c r="C19" s="5">
        <f>IF(Tabla_Consolidados[[#This Row],[id_padre]]="",0,_xlfn.XLOOKUP(Tabla_Consolidados[[#This Row],[id_padre]],Tabla_Consolidados[Id],Tabla_Consolidados[Nivel],0,0,1)+1)</f>
        <v>4</v>
      </c>
      <c r="D19" s="2" t="s">
        <v>1887</v>
      </c>
      <c r="E19">
        <f>IF(Tabla_Consolidados[[#This Row],[Id_anterior]]=1,ROW()-1,SUM(ROW()-1,Tabla_Consolidados[[#This Row],[Id_anterior]]))</f>
        <v>1665</v>
      </c>
      <c r="F19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CONSOLIDADO_PARAMETROS_HOMOLOGACION_MANTENIMIENTO_REGLAS_EXTERNAS_DE_EFECTIVO</v>
      </c>
      <c r="G19" s="2" t="str">
        <f>CLEAN(PROPER(Tabla_Consolidados[[#This Row],[Nombre Opción]]))</f>
        <v>De Efectivo</v>
      </c>
      <c r="H19" s="2" t="s">
        <v>1735</v>
      </c>
      <c r="I19" s="2" t="str">
        <f>_xlfn.XLOOKUP(Tabla_Consolidados[[#This Row],[id_padre]],Tabla_Consolidados[Id],Tabla_Consolidados[Codigo_Tecnico],"",0,1)</f>
        <v>CONSOLIDADO_PARAMETROS_HOMOLOGACION_MANTENIMIENTO_REGLAS_EXTERNAS</v>
      </c>
      <c r="J19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/consolidado/parametros/homologacion/mantenimiento-reglas-externas/de-efectivo</v>
      </c>
      <c r="K19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de-efectivo</v>
      </c>
      <c r="L19" s="6" t="s">
        <v>1498</v>
      </c>
      <c r="M19" t="s">
        <v>1874</v>
      </c>
      <c r="N19" s="4" t="s">
        <v>360</v>
      </c>
      <c r="O19" s="4" t="s">
        <v>360</v>
      </c>
      <c r="P19" s="2" t="str">
        <f>IF(Tabla_Consolidados[[#This Row],[id_padre]]=Tabla_Consolidados[[#This Row],[Id]],"NOK","OK")</f>
        <v>OK</v>
      </c>
    </row>
    <row r="20" spans="1:16" x14ac:dyDescent="0.5">
      <c r="A20" s="2">
        <f>MAX(Tabla_Compras_Extranjera[Id])</f>
        <v>1647</v>
      </c>
      <c r="B20">
        <v>1662</v>
      </c>
      <c r="C20" s="5">
        <f>IF(Tabla_Consolidados[[#This Row],[id_padre]]="",0,_xlfn.XLOOKUP(Tabla_Consolidados[[#This Row],[id_padre]],Tabla_Consolidados[Id],Tabla_Consolidados[Nivel],0,0,1)+1)</f>
        <v>4</v>
      </c>
      <c r="D20" s="2" t="s">
        <v>1888</v>
      </c>
      <c r="E20">
        <f>IF(Tabla_Consolidados[[#This Row],[Id_anterior]]=1,ROW()-1,SUM(ROW()-1,Tabla_Consolidados[[#This Row],[Id_anterior]]))</f>
        <v>1666</v>
      </c>
      <c r="F20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CONSOLIDADO_PARAMETROS_HOMOLOGACION_MANTENIMIENTO_REGLAS_EXTERNAS_DE_CONTABILIDAD</v>
      </c>
      <c r="G20" s="2" t="str">
        <f>CLEAN(PROPER(Tabla_Consolidados[[#This Row],[Nombre Opción]]))</f>
        <v>De Contabilidad</v>
      </c>
      <c r="H20" s="2" t="s">
        <v>1735</v>
      </c>
      <c r="I20" s="2" t="str">
        <f>_xlfn.XLOOKUP(Tabla_Consolidados[[#This Row],[id_padre]],Tabla_Consolidados[Id],Tabla_Consolidados[Codigo_Tecnico],"",0,1)</f>
        <v>CONSOLIDADO_PARAMETROS_HOMOLOGACION_MANTENIMIENTO_REGLAS_EXTERNAS</v>
      </c>
      <c r="J20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/consolidado/parametros/homologacion/mantenimiento-reglas-externas/de-contabilidad</v>
      </c>
      <c r="K20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de-contabilidad</v>
      </c>
      <c r="L20" s="6" t="s">
        <v>1367</v>
      </c>
      <c r="M20" t="s">
        <v>1874</v>
      </c>
      <c r="N20" s="4" t="s">
        <v>360</v>
      </c>
      <c r="O20" s="4" t="s">
        <v>360</v>
      </c>
      <c r="P20" s="2" t="str">
        <f>IF(Tabla_Consolidados[[#This Row],[id_padre]]=Tabla_Consolidados[[#This Row],[Id]],"NOK","OK")</f>
        <v>OK</v>
      </c>
    </row>
    <row r="21" spans="1:16" x14ac:dyDescent="0.5">
      <c r="A21" s="2">
        <f>MAX(Tabla_Compras_Extranjera[Id])</f>
        <v>1647</v>
      </c>
      <c r="B21">
        <v>1662</v>
      </c>
      <c r="C21" s="5">
        <f>IF(Tabla_Consolidados[[#This Row],[id_padre]]="",0,_xlfn.XLOOKUP(Tabla_Consolidados[[#This Row],[id_padre]],Tabla_Consolidados[Id],Tabla_Consolidados[Nivel],0,0,1)+1)</f>
        <v>4</v>
      </c>
      <c r="D21" s="2" t="s">
        <v>1889</v>
      </c>
      <c r="E21">
        <f>IF(Tabla_Consolidados[[#This Row],[Id_anterior]]=1,ROW()-1,SUM(ROW()-1,Tabla_Consolidados[[#This Row],[Id_anterior]]))</f>
        <v>1667</v>
      </c>
      <c r="F21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CONSOLIDADO_PARAMETROS_HOMOLOGACION_MANTENIMIENTO_REGLAS_EXTERNAS_DE_CARTERA_CONTABLE</v>
      </c>
      <c r="G21" s="2" t="str">
        <f>CLEAN(PROPER(Tabla_Consolidados[[#This Row],[Nombre Opción]]))</f>
        <v>De Cartera Contable</v>
      </c>
      <c r="H21" s="2" t="s">
        <v>1735</v>
      </c>
      <c r="I21" s="2" t="str">
        <f>_xlfn.XLOOKUP(Tabla_Consolidados[[#This Row],[id_padre]],Tabla_Consolidados[Id],Tabla_Consolidados[Codigo_Tecnico],"",0,1)</f>
        <v>CONSOLIDADO_PARAMETROS_HOMOLOGACION_MANTENIMIENTO_REGLAS_EXTERNAS</v>
      </c>
      <c r="J21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/consolidado/parametros/homologacion/mantenimiento-reglas-externas/de-cartera-contable</v>
      </c>
      <c r="K21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de-cartera-contable</v>
      </c>
      <c r="L21" s="6" t="s">
        <v>1331</v>
      </c>
      <c r="M21" t="s">
        <v>1874</v>
      </c>
      <c r="N21" s="4" t="s">
        <v>360</v>
      </c>
      <c r="O21" s="4" t="s">
        <v>360</v>
      </c>
      <c r="P21" s="2" t="str">
        <f>IF(Tabla_Consolidados[[#This Row],[id_padre]]=Tabla_Consolidados[[#This Row],[Id]],"NOK","OK")</f>
        <v>OK</v>
      </c>
    </row>
    <row r="22" spans="1:16" x14ac:dyDescent="0.5">
      <c r="A22" s="2">
        <f>MAX(Tabla_Compras_Extranjera[Id])</f>
        <v>1647</v>
      </c>
      <c r="B22">
        <v>1660</v>
      </c>
      <c r="C22" s="5">
        <f>IF(Tabla_Consolidados[[#This Row],[id_padre]]="",0,_xlfn.XLOOKUP(Tabla_Consolidados[[#This Row],[id_padre]],Tabla_Consolidados[Id],Tabla_Consolidados[Nivel],0,0,1)+1)</f>
        <v>3</v>
      </c>
      <c r="D22" s="2" t="s">
        <v>1890</v>
      </c>
      <c r="E22">
        <f>IF(Tabla_Consolidados[[#This Row],[Id_anterior]]=1,ROW()-1,SUM(ROW()-1,Tabla_Consolidados[[#This Row],[Id_anterior]]))</f>
        <v>1668</v>
      </c>
      <c r="F22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CONSOLIDADO_PARAMETROS_HOMOLOGACION_MANTENIMIENTO_REGLAS_INTERNAS</v>
      </c>
      <c r="G22" s="2" t="str">
        <f>CLEAN(PROPER(Tabla_Consolidados[[#This Row],[Nombre Opción]]))</f>
        <v>Mantenimiento Reglas Internas</v>
      </c>
      <c r="H22" s="2" t="s">
        <v>1735</v>
      </c>
      <c r="I22" s="2" t="str">
        <f>_xlfn.XLOOKUP(Tabla_Consolidados[[#This Row],[id_padre]],Tabla_Consolidados[Id],Tabla_Consolidados[Codigo_Tecnico],"",0,1)</f>
        <v>CONSOLIDADO_PARAMETROS_HOMOLOGACION</v>
      </c>
      <c r="J22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/consolidado/parametros/homologacion/mantenimiento-reglas-internas</v>
      </c>
      <c r="K22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mantenimiento-reglas-internas</v>
      </c>
      <c r="L22" s="6" t="s">
        <v>1358</v>
      </c>
      <c r="M22" t="s">
        <v>1874</v>
      </c>
      <c r="N22" s="4" t="s">
        <v>360</v>
      </c>
      <c r="O22" s="4" t="s">
        <v>360</v>
      </c>
      <c r="P22" s="2" t="str">
        <f>IF(Tabla_Consolidados[[#This Row],[id_padre]]=Tabla_Consolidados[[#This Row],[Id]],"NOK","OK")</f>
        <v>OK</v>
      </c>
    </row>
    <row r="23" spans="1:16" x14ac:dyDescent="0.5">
      <c r="A23" s="2">
        <f>MAX(Tabla_Compras_Extranjera[Id])</f>
        <v>1647</v>
      </c>
      <c r="B23">
        <v>1668</v>
      </c>
      <c r="C23" s="5">
        <f>IF(Tabla_Consolidados[[#This Row],[id_padre]]="",0,_xlfn.XLOOKUP(Tabla_Consolidados[[#This Row],[id_padre]],Tabla_Consolidados[Id],Tabla_Consolidados[Nivel],0,0,1)+1)</f>
        <v>4</v>
      </c>
      <c r="D23" s="2" t="s">
        <v>1885</v>
      </c>
      <c r="E23">
        <f>IF(Tabla_Consolidados[[#This Row],[Id_anterior]]=1,ROW()-1,SUM(ROW()-1,Tabla_Consolidados[[#This Row],[Id_anterior]]))</f>
        <v>1669</v>
      </c>
      <c r="F23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CONSOLIDADO_PARAMETROS_HOMOLOGACION_MANTENIMIENTO_REGLAS_INTERNAS_DE_COMPROMISO</v>
      </c>
      <c r="G23" s="2" t="str">
        <f>CLEAN(PROPER(Tabla_Consolidados[[#This Row],[Nombre Opción]]))</f>
        <v>De Compromiso</v>
      </c>
      <c r="H23" s="2" t="s">
        <v>1735</v>
      </c>
      <c r="I23" s="2" t="str">
        <f>_xlfn.XLOOKUP(Tabla_Consolidados[[#This Row],[id_padre]],Tabla_Consolidados[Id],Tabla_Consolidados[Codigo_Tecnico],"",0,1)</f>
        <v>CONSOLIDADO_PARAMETROS_HOMOLOGACION_MANTENIMIENTO_REGLAS_INTERNAS</v>
      </c>
      <c r="J23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/consolidado/parametros/homologacion/mantenimiento-reglas-internas/de-compromiso</v>
      </c>
      <c r="K23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de-compromiso</v>
      </c>
      <c r="L23" s="6" t="s">
        <v>1409</v>
      </c>
      <c r="M23" t="s">
        <v>1874</v>
      </c>
      <c r="N23" s="4" t="s">
        <v>360</v>
      </c>
      <c r="O23" s="4" t="s">
        <v>360</v>
      </c>
      <c r="P23" s="2" t="str">
        <f>IF(Tabla_Consolidados[[#This Row],[id_padre]]=Tabla_Consolidados[[#This Row],[Id]],"NOK","OK")</f>
        <v>OK</v>
      </c>
    </row>
    <row r="24" spans="1:16" hidden="1" x14ac:dyDescent="0.5">
      <c r="A24" s="2">
        <f>MAX(Tabla_Compras_Extranjera[Id])</f>
        <v>1647</v>
      </c>
      <c r="B24">
        <v>1650</v>
      </c>
      <c r="C24" s="5">
        <f>IF(Tabla_Consolidados[[#This Row],[id_padre]]="",0,_xlfn.XLOOKUP(Tabla_Consolidados[[#This Row],[id_padre]],Tabla_Consolidados[Id],Tabla_Consolidados[Nivel],0,0,1)+1)</f>
        <v>2</v>
      </c>
      <c r="D24" s="2" t="s">
        <v>1891</v>
      </c>
      <c r="E24">
        <f>IF(Tabla_Consolidados[[#This Row],[Id_anterior]]=1,ROW()-1,SUM(ROW()-1,Tabla_Consolidados[[#This Row],[Id_anterior]]))</f>
        <v>1670</v>
      </c>
      <c r="F24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CONSOLIDADO_PROCESOS_PREPARA_INFORMACION_BALANCE_CONSOLIDADO</v>
      </c>
      <c r="G24" s="2" t="str">
        <f>CLEAN(PROPER(Tabla_Consolidados[[#This Row],[Nombre Opción]]))</f>
        <v>Prepara Información Balance Consolidado</v>
      </c>
      <c r="H24" s="2" t="s">
        <v>1735</v>
      </c>
      <c r="I24" s="2" t="str">
        <f>_xlfn.XLOOKUP(Tabla_Consolidados[[#This Row],[id_padre]],Tabla_Consolidados[Id],Tabla_Consolidados[Codigo_Tecnico],"",0,1)</f>
        <v>CONSOLIDADO_PROCESOS</v>
      </c>
      <c r="J24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/consolidado/procesos/prepara-informacion-balance-consolidado</v>
      </c>
      <c r="K24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prepara-informacion-balance-consolidado</v>
      </c>
      <c r="L24" s="6" t="s">
        <v>1922</v>
      </c>
      <c r="M24" t="s">
        <v>1874</v>
      </c>
      <c r="N24" s="4" t="s">
        <v>360</v>
      </c>
      <c r="O24" s="4" t="s">
        <v>360</v>
      </c>
      <c r="P24" s="2" t="str">
        <f>IF(Tabla_Consolidados[[#This Row],[id_padre]]=Tabla_Consolidados[[#This Row],[Id]],"NOK","OK")</f>
        <v>OK</v>
      </c>
    </row>
    <row r="25" spans="1:16" hidden="1" x14ac:dyDescent="0.5">
      <c r="A25" s="2">
        <f>MAX(Tabla_Compras_Extranjera[Id])</f>
        <v>1647</v>
      </c>
      <c r="B25">
        <v>1650</v>
      </c>
      <c r="C25" s="5">
        <f>IF(Tabla_Consolidados[[#This Row],[id_padre]]="",0,_xlfn.XLOOKUP(Tabla_Consolidados[[#This Row],[id_padre]],Tabla_Consolidados[Id],Tabla_Consolidados[Nivel],0,0,1)+1)</f>
        <v>2</v>
      </c>
      <c r="D25" s="2" t="s">
        <v>1892</v>
      </c>
      <c r="E25">
        <f>IF(Tabla_Consolidados[[#This Row],[Id_anterior]]=1,ROW()-1,SUM(ROW()-1,Tabla_Consolidados[[#This Row],[Id_anterior]]))</f>
        <v>1671</v>
      </c>
      <c r="F25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CONSOLIDADO_PROCESOS_HOJA_TRABAJO_BALANCE_CONSOLIDADO</v>
      </c>
      <c r="G25" s="2" t="str">
        <f>CLEAN(PROPER(Tabla_Consolidados[[#This Row],[Nombre Opción]]))</f>
        <v>Hoja De Trabajo Balance Consolidado</v>
      </c>
      <c r="H25" s="2" t="s">
        <v>1735</v>
      </c>
      <c r="I25" s="2" t="str">
        <f>_xlfn.XLOOKUP(Tabla_Consolidados[[#This Row],[id_padre]],Tabla_Consolidados[Id],Tabla_Consolidados[Codigo_Tecnico],"",0,1)</f>
        <v>CONSOLIDADO_PROCESOS</v>
      </c>
      <c r="J25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/consolidado/procesos/hoja-trabajo-balance-consolidado</v>
      </c>
      <c r="K25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hoja-trabajo-balance-consolidado</v>
      </c>
      <c r="L25" s="6" t="s">
        <v>1431</v>
      </c>
      <c r="M25" t="s">
        <v>1874</v>
      </c>
      <c r="N25" s="4" t="s">
        <v>360</v>
      </c>
      <c r="O25" s="4" t="s">
        <v>360</v>
      </c>
      <c r="P25" s="2" t="str">
        <f>IF(Tabla_Consolidados[[#This Row],[id_padre]]=Tabla_Consolidados[[#This Row],[Id]],"NOK","OK")</f>
        <v>OK</v>
      </c>
    </row>
    <row r="26" spans="1:16" hidden="1" x14ac:dyDescent="0.5">
      <c r="A26" s="2">
        <f>MAX(Tabla_Compras_Extranjera[Id])</f>
        <v>1647</v>
      </c>
      <c r="B26">
        <v>1671</v>
      </c>
      <c r="C26" s="5">
        <f>IF(Tabla_Consolidados[[#This Row],[id_padre]]="",0,_xlfn.XLOOKUP(Tabla_Consolidados[[#This Row],[id_padre]],Tabla_Consolidados[Id],Tabla_Consolidados[Nivel],0,0,1)+1)</f>
        <v>3</v>
      </c>
      <c r="D26" s="2" t="s">
        <v>1893</v>
      </c>
      <c r="E26">
        <f>IF(Tabla_Consolidados[[#This Row],[Id_anterior]]=1,ROW()-1,SUM(ROW()-1,Tabla_Consolidados[[#This Row],[Id_anterior]]))</f>
        <v>1672</v>
      </c>
      <c r="F26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CONSOLIDADO_PROCESOS_HOJA_TRABAJO_BALANCE_CONSOLIDADO_ANEXO_NRO_1_FACH</v>
      </c>
      <c r="G26" s="2" t="str">
        <f>CLEAN(PROPER(Tabla_Consolidados[[#This Row],[Nombre Opción]]))</f>
        <v>Anexo Nro 1 Fach</v>
      </c>
      <c r="H26" s="2" t="s">
        <v>1735</v>
      </c>
      <c r="I26" s="2" t="str">
        <f>_xlfn.XLOOKUP(Tabla_Consolidados[[#This Row],[id_padre]],Tabla_Consolidados[Id],Tabla_Consolidados[Codigo_Tecnico],"",0,1)</f>
        <v>CONSOLIDADO_PROCESOS_HOJA_TRABAJO_BALANCE_CONSOLIDADO</v>
      </c>
      <c r="J26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/consolidado/procesos/hoja-trabajo-balance-consolidado/anexo-nro-1-fach</v>
      </c>
      <c r="K26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anexo-nro-1-fach</v>
      </c>
      <c r="L26" s="6" t="s">
        <v>1505</v>
      </c>
      <c r="M26" t="s">
        <v>1874</v>
      </c>
      <c r="N26" s="4" t="s">
        <v>360</v>
      </c>
      <c r="O26" s="4" t="s">
        <v>360</v>
      </c>
      <c r="P26" s="2" t="str">
        <f>IF(Tabla_Consolidados[[#This Row],[id_padre]]=Tabla_Consolidados[[#This Row],[Id]],"NOK","OK")</f>
        <v>OK</v>
      </c>
    </row>
    <row r="27" spans="1:16" hidden="1" x14ac:dyDescent="0.5">
      <c r="A27" s="2">
        <f>MAX(Tabla_Compras_Extranjera[Id])</f>
        <v>1647</v>
      </c>
      <c r="B27">
        <v>1671</v>
      </c>
      <c r="C27" s="5">
        <f>IF(Tabla_Consolidados[[#This Row],[id_padre]]="",0,_xlfn.XLOOKUP(Tabla_Consolidados[[#This Row],[id_padre]],Tabla_Consolidados[Id],Tabla_Consolidados[Nivel],0,0,1)+1)</f>
        <v>3</v>
      </c>
      <c r="D27" s="2" t="s">
        <v>1894</v>
      </c>
      <c r="E27">
        <f>IF(Tabla_Consolidados[[#This Row],[Id_anterior]]=1,ROW()-1,SUM(ROW()-1,Tabla_Consolidados[[#This Row],[Id_anterior]]))</f>
        <v>1673</v>
      </c>
      <c r="F27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CONSOLIDADO_PROCESOS_HOJA_TRABAJO_BALANCE_CONSOLIDADO_ANEXO_NRO_2_PAF</v>
      </c>
      <c r="G27" s="2" t="str">
        <f>CLEAN(PROPER(Tabla_Consolidados[[#This Row],[Nombre Opción]]))</f>
        <v>Anexo Nro 2 Paf</v>
      </c>
      <c r="H27" s="2" t="s">
        <v>1735</v>
      </c>
      <c r="I27" s="2" t="str">
        <f>_xlfn.XLOOKUP(Tabla_Consolidados[[#This Row],[id_padre]],Tabla_Consolidados[Id],Tabla_Consolidados[Codigo_Tecnico],"",0,1)</f>
        <v>CONSOLIDADO_PROCESOS_HOJA_TRABAJO_BALANCE_CONSOLIDADO</v>
      </c>
      <c r="J27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/consolidado/procesos/hoja-trabajo-balance-consolidado/anexo-nro-2-paf</v>
      </c>
      <c r="K27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anexo-nro-2-paf</v>
      </c>
      <c r="L27" s="6" t="s">
        <v>1926</v>
      </c>
      <c r="M27" t="s">
        <v>1874</v>
      </c>
      <c r="N27" s="4" t="s">
        <v>360</v>
      </c>
      <c r="O27" s="4" t="s">
        <v>360</v>
      </c>
      <c r="P27" s="2" t="str">
        <f>IF(Tabla_Consolidados[[#This Row],[id_padre]]=Tabla_Consolidados[[#This Row],[Id]],"NOK","OK")</f>
        <v>OK</v>
      </c>
    </row>
    <row r="28" spans="1:16" hidden="1" x14ac:dyDescent="0.5">
      <c r="A28" s="2">
        <f>MAX(Tabla_Compras_Extranjera[Id])</f>
        <v>1647</v>
      </c>
      <c r="B28">
        <v>1671</v>
      </c>
      <c r="C28" s="5">
        <f>IF(Tabla_Consolidados[[#This Row],[id_padre]]="",0,_xlfn.XLOOKUP(Tabla_Consolidados[[#This Row],[id_padre]],Tabla_Consolidados[Id],Tabla_Consolidados[Nivel],0,0,1)+1)</f>
        <v>3</v>
      </c>
      <c r="D28" s="2" t="s">
        <v>1895</v>
      </c>
      <c r="E28">
        <f>IF(Tabla_Consolidados[[#This Row],[Id_anterior]]=1,ROW()-1,SUM(ROW()-1,Tabla_Consolidados[[#This Row],[Id_anterior]]))</f>
        <v>1674</v>
      </c>
      <c r="F28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CONSOLIDADO_PROCESOS_HOJA_TRABAJO_BALANCE_CONSOLIDADO_ANEXO_NRO_3_SALUD</v>
      </c>
      <c r="G28" s="2" t="str">
        <f>CLEAN(PROPER(Tabla_Consolidados[[#This Row],[Nombre Opción]]))</f>
        <v>Anexo Nro 3 Salud</v>
      </c>
      <c r="H28" s="2" t="s">
        <v>1735</v>
      </c>
      <c r="I28" s="2" t="str">
        <f>_xlfn.XLOOKUP(Tabla_Consolidados[[#This Row],[id_padre]],Tabla_Consolidados[Id],Tabla_Consolidados[Codigo_Tecnico],"",0,1)</f>
        <v>CONSOLIDADO_PROCESOS_HOJA_TRABAJO_BALANCE_CONSOLIDADO</v>
      </c>
      <c r="J28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/consolidado/procesos/hoja-trabajo-balance-consolidado/anexo-nro-3-salud</v>
      </c>
      <c r="K28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anexo-nro-3-salud</v>
      </c>
      <c r="L28" s="6" t="s">
        <v>1585</v>
      </c>
      <c r="M28" t="s">
        <v>1874</v>
      </c>
      <c r="N28" s="4" t="s">
        <v>360</v>
      </c>
      <c r="O28" s="4" t="s">
        <v>360</v>
      </c>
      <c r="P28" s="2" t="str">
        <f>IF(Tabla_Consolidados[[#This Row],[id_padre]]=Tabla_Consolidados[[#This Row],[Id]],"NOK","OK")</f>
        <v>OK</v>
      </c>
    </row>
    <row r="29" spans="1:16" hidden="1" x14ac:dyDescent="0.5">
      <c r="A29" s="2">
        <f>MAX(Tabla_Compras_Extranjera[Id])</f>
        <v>1647</v>
      </c>
      <c r="B29">
        <v>1674</v>
      </c>
      <c r="C29" s="5">
        <f>IF(Tabla_Consolidados[[#This Row],[id_padre]]="",0,_xlfn.XLOOKUP(Tabla_Consolidados[[#This Row],[id_padre]],Tabla_Consolidados[Id],Tabla_Consolidados[Nivel],0,0,1)+1)</f>
        <v>4</v>
      </c>
      <c r="D29" s="2" t="s">
        <v>1896</v>
      </c>
      <c r="E29">
        <f>IF(Tabla_Consolidados[[#This Row],[Id_anterior]]=1,ROW()-1,SUM(ROW()-1,Tabla_Consolidados[[#This Row],[Id_anterior]]))</f>
        <v>1675</v>
      </c>
      <c r="F29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CONSOLIDADO_PROCESOS_HOJA_TRABAJO_BALANCE_CONSOLIDADO_ANEXO_NRO_3_SALUD_ENTIDAD_003</v>
      </c>
      <c r="G29" s="2" t="str">
        <f>CLEAN(PROPER(Tabla_Consolidados[[#This Row],[Nombre Opción]]))</f>
        <v>Entidad 003</v>
      </c>
      <c r="H29" s="2" t="s">
        <v>1735</v>
      </c>
      <c r="I29" s="2" t="str">
        <f>_xlfn.XLOOKUP(Tabla_Consolidados[[#This Row],[id_padre]],Tabla_Consolidados[Id],Tabla_Consolidados[Codigo_Tecnico],"",0,1)</f>
        <v>CONSOLIDADO_PROCESOS_HOJA_TRABAJO_BALANCE_CONSOLIDADO_ANEXO_NRO_3_SALUD</v>
      </c>
      <c r="J29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/consolidado/procesos/hoja-trabajo-balance-consolidado/anexo-nro-3-salud/entidad-003</v>
      </c>
      <c r="K29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entidad-003</v>
      </c>
      <c r="L29" s="6" t="s">
        <v>1401</v>
      </c>
      <c r="M29" t="s">
        <v>1874</v>
      </c>
      <c r="N29" s="4" t="s">
        <v>360</v>
      </c>
      <c r="O29" s="4" t="s">
        <v>360</v>
      </c>
      <c r="P29" s="2" t="str">
        <f>IF(Tabla_Consolidados[[#This Row],[id_padre]]=Tabla_Consolidados[[#This Row],[Id]],"NOK","OK")</f>
        <v>OK</v>
      </c>
    </row>
    <row r="30" spans="1:16" hidden="1" x14ac:dyDescent="0.5">
      <c r="A30" s="2">
        <f>MAX(Tabla_Compras_Extranjera[Id])</f>
        <v>1647</v>
      </c>
      <c r="B30">
        <v>1674</v>
      </c>
      <c r="C30" s="5">
        <f>IF(Tabla_Consolidados[[#This Row],[id_padre]]="",0,_xlfn.XLOOKUP(Tabla_Consolidados[[#This Row],[id_padre]],Tabla_Consolidados[Id],Tabla_Consolidados[Nivel],0,0,1)+1)</f>
        <v>4</v>
      </c>
      <c r="D30" s="2" t="s">
        <v>1897</v>
      </c>
      <c r="E30">
        <f>IF(Tabla_Consolidados[[#This Row],[Id_anterior]]=1,ROW()-1,SUM(ROW()-1,Tabla_Consolidados[[#This Row],[Id_anterior]]))</f>
        <v>1676</v>
      </c>
      <c r="F30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CONSOLIDADO_PROCESOS_HOJA_TRABAJO_BALANCE_CONSOLIDADO_ANEXO_NRO_3_SALUD_ENTIDAD_020</v>
      </c>
      <c r="G30" s="2" t="str">
        <f>CLEAN(PROPER(Tabla_Consolidados[[#This Row],[Nombre Opción]]))</f>
        <v>Entidad 020</v>
      </c>
      <c r="H30" s="2" t="s">
        <v>1735</v>
      </c>
      <c r="I30" s="2" t="str">
        <f>_xlfn.XLOOKUP(Tabla_Consolidados[[#This Row],[id_padre]],Tabla_Consolidados[Id],Tabla_Consolidados[Codigo_Tecnico],"",0,1)</f>
        <v>CONSOLIDADO_PROCESOS_HOJA_TRABAJO_BALANCE_CONSOLIDADO_ANEXO_NRO_3_SALUD</v>
      </c>
      <c r="J30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/consolidado/procesos/hoja-trabajo-balance-consolidado/anexo-nro-3-salud/entidad-020</v>
      </c>
      <c r="K30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entidad-020</v>
      </c>
      <c r="L30" s="6" t="s">
        <v>1389</v>
      </c>
      <c r="M30" t="s">
        <v>1874</v>
      </c>
      <c r="N30" s="4" t="s">
        <v>360</v>
      </c>
      <c r="O30" s="4" t="s">
        <v>360</v>
      </c>
      <c r="P30" s="2" t="str">
        <f>IF(Tabla_Consolidados[[#This Row],[id_padre]]=Tabla_Consolidados[[#This Row],[Id]],"NOK","OK")</f>
        <v>OK</v>
      </c>
    </row>
    <row r="31" spans="1:16" hidden="1" x14ac:dyDescent="0.5">
      <c r="A31" s="2">
        <f>MAX(Tabla_Compras_Extranjera[Id])</f>
        <v>1647</v>
      </c>
      <c r="B31">
        <v>1674</v>
      </c>
      <c r="C31" s="5">
        <f>IF(Tabla_Consolidados[[#This Row],[id_padre]]="",0,_xlfn.XLOOKUP(Tabla_Consolidados[[#This Row],[id_padre]],Tabla_Consolidados[Id],Tabla_Consolidados[Nivel],0,0,1)+1)</f>
        <v>4</v>
      </c>
      <c r="D31" s="2" t="s">
        <v>938</v>
      </c>
      <c r="E31">
        <f>IF(Tabla_Consolidados[[#This Row],[Id_anterior]]=1,ROW()-1,SUM(ROW()-1,Tabla_Consolidados[[#This Row],[Id_anterior]]))</f>
        <v>1677</v>
      </c>
      <c r="F31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CONSOLIDADO_PROCESOS_HOJA_TRABAJO_BALANCE_CONSOLIDADO_ANEXO_NRO_3_SALUD_CONSOLIDADO</v>
      </c>
      <c r="G31" s="2" t="str">
        <f>CLEAN(PROPER(Tabla_Consolidados[[#This Row],[Nombre Opción]]))</f>
        <v>Consolidado</v>
      </c>
      <c r="H31" s="2" t="s">
        <v>1735</v>
      </c>
      <c r="I31" s="2" t="str">
        <f>_xlfn.XLOOKUP(Tabla_Consolidados[[#This Row],[id_padre]],Tabla_Consolidados[Id],Tabla_Consolidados[Codigo_Tecnico],"",0,1)</f>
        <v>CONSOLIDADO_PROCESOS_HOJA_TRABAJO_BALANCE_CONSOLIDADO_ANEXO_NRO_3_SALUD</v>
      </c>
      <c r="J31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/consolidado/procesos/hoja-trabajo-balance-consolidado/anexo-nro-3-salud/consolidado</v>
      </c>
      <c r="K31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consolidado</v>
      </c>
      <c r="L31" s="6" t="s">
        <v>1456</v>
      </c>
      <c r="M31" t="s">
        <v>1874</v>
      </c>
      <c r="N31" s="4" t="s">
        <v>360</v>
      </c>
      <c r="O31" s="4" t="s">
        <v>360</v>
      </c>
      <c r="P31" s="2" t="str">
        <f>IF(Tabla_Consolidados[[#This Row],[id_padre]]=Tabla_Consolidados[[#This Row],[Id]],"NOK","OK")</f>
        <v>OK</v>
      </c>
    </row>
    <row r="32" spans="1:16" hidden="1" x14ac:dyDescent="0.5">
      <c r="A32" s="2">
        <f>MAX(Tabla_Compras_Extranjera[Id])</f>
        <v>1647</v>
      </c>
      <c r="B32">
        <v>1671</v>
      </c>
      <c r="C32" s="5">
        <f>IF(Tabla_Consolidados[[#This Row],[id_padre]]="",0,_xlfn.XLOOKUP(Tabla_Consolidados[[#This Row],[id_padre]],Tabla_Consolidados[Id],Tabla_Consolidados[Nivel],0,0,1)+1)</f>
        <v>3</v>
      </c>
      <c r="D32" s="2" t="s">
        <v>1898</v>
      </c>
      <c r="E32">
        <f>IF(Tabla_Consolidados[[#This Row],[Id_anterior]]=1,ROW()-1,SUM(ROW()-1,Tabla_Consolidados[[#This Row],[Id_anterior]]))</f>
        <v>1678</v>
      </c>
      <c r="F32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CONSOLIDADO_PROCESOS_HOJA_TRABAJO_BALANCE_CONSOLIDADO_ANEXO_NRO_4_SAF</v>
      </c>
      <c r="G32" s="2" t="str">
        <f>CLEAN(PROPER(Tabla_Consolidados[[#This Row],[Nombre Opción]]))</f>
        <v>Anexo Nro 4 Saf</v>
      </c>
      <c r="H32" s="2" t="s">
        <v>1735</v>
      </c>
      <c r="I32" s="2" t="str">
        <f>_xlfn.XLOOKUP(Tabla_Consolidados[[#This Row],[id_padre]],Tabla_Consolidados[Id],Tabla_Consolidados[Codigo_Tecnico],"",0,1)</f>
        <v>CONSOLIDADO_PROCESOS_HOJA_TRABAJO_BALANCE_CONSOLIDADO</v>
      </c>
      <c r="J32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/consolidado/procesos/hoja-trabajo-balance-consolidado/anexo-nro-4-saf</v>
      </c>
      <c r="K32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anexo-nro-4-saf</v>
      </c>
      <c r="L32" s="6" t="s">
        <v>1601</v>
      </c>
      <c r="M32" t="s">
        <v>1874</v>
      </c>
      <c r="N32" s="4" t="s">
        <v>360</v>
      </c>
      <c r="O32" s="4" t="s">
        <v>360</v>
      </c>
      <c r="P32" s="2" t="str">
        <f>IF(Tabla_Consolidados[[#This Row],[id_padre]]=Tabla_Consolidados[[#This Row],[Id]],"NOK","OK")</f>
        <v>OK</v>
      </c>
    </row>
    <row r="33" spans="1:16" hidden="1" x14ac:dyDescent="0.5">
      <c r="A33" s="2">
        <f>MAX(Tabla_Compras_Extranjera[Id])</f>
        <v>1647</v>
      </c>
      <c r="B33">
        <v>1650</v>
      </c>
      <c r="C33" s="5">
        <f>IF(Tabla_Consolidados[[#This Row],[id_padre]]="",0,_xlfn.XLOOKUP(Tabla_Consolidados[[#This Row],[id_padre]],Tabla_Consolidados[Id],Tabla_Consolidados[Nivel],0,0,1)+1)</f>
        <v>2</v>
      </c>
      <c r="D33" s="2" t="s">
        <v>1882</v>
      </c>
      <c r="E33">
        <f>IF(Tabla_Consolidados[[#This Row],[Id_anterior]]=1,ROW()-1,SUM(ROW()-1,Tabla_Consolidados[[#This Row],[Id_anterior]]))</f>
        <v>1679</v>
      </c>
      <c r="F33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</v>
      </c>
      <c r="G33" s="2" t="str">
        <f>CLEAN(PROPER(Tabla_Consolidados[[#This Row],[Nombre Opción]]))</f>
        <v>Homologación</v>
      </c>
      <c r="H33" s="2" t="s">
        <v>1735</v>
      </c>
      <c r="I33" s="2" t="str">
        <f>_xlfn.XLOOKUP(Tabla_Consolidados[[#This Row],[id_padre]],Tabla_Consolidados[Id],Tabla_Consolidados[Codigo_Tecnico],"",0,1)</f>
        <v>CONSOLIDADO_PROCESOS</v>
      </c>
      <c r="J33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</v>
      </c>
      <c r="K33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homologacion</v>
      </c>
      <c r="L33" s="6" t="s">
        <v>1408</v>
      </c>
      <c r="M33" t="s">
        <v>1874</v>
      </c>
      <c r="N33" s="4" t="s">
        <v>360</v>
      </c>
      <c r="O33" s="4" t="s">
        <v>360</v>
      </c>
      <c r="P33" s="2" t="str">
        <f>IF(Tabla_Consolidados[[#This Row],[id_padre]]=Tabla_Consolidados[[#This Row],[Id]],"NOK","OK")</f>
        <v>OK</v>
      </c>
    </row>
    <row r="34" spans="1:16" hidden="1" x14ac:dyDescent="0.5">
      <c r="A34" s="2">
        <f>MAX(Tabla_Compras_Extranjera[Id])</f>
        <v>1647</v>
      </c>
      <c r="B34">
        <v>1679</v>
      </c>
      <c r="C34" s="5">
        <f>IF(Tabla_Consolidados[[#This Row],[id_padre]]="",0,_xlfn.XLOOKUP(Tabla_Consolidados[[#This Row],[id_padre]],Tabla_Consolidados[Id],Tabla_Consolidados[Nivel],0,0,1)+1)</f>
        <v>3</v>
      </c>
      <c r="D34" s="2" t="s">
        <v>1899</v>
      </c>
      <c r="E34">
        <f>IF(Tabla_Consolidados[[#This Row],[Id_anterior]]=1,ROW()-1,SUM(ROW()-1,Tabla_Consolidados[[#This Row],[Id_anterior]]))</f>
        <v>1680</v>
      </c>
      <c r="F34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</v>
      </c>
      <c r="G34" s="2" t="str">
        <f>CLEAN(PROPER(Tabla_Consolidados[[#This Row],[Nombre Opción]]))</f>
        <v>Reglas Funcionales Internas</v>
      </c>
      <c r="H34" s="2" t="s">
        <v>1735</v>
      </c>
      <c r="I34" s="2" t="str">
        <f>_xlfn.XLOOKUP(Tabla_Consolidados[[#This Row],[id_padre]],Tabla_Consolidados[Id],Tabla_Consolidados[Codigo_Tecnico],"",0,1)</f>
        <v>CONSOLIDADO_PROCESOS_HOMOLOGACION</v>
      </c>
      <c r="J34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</v>
      </c>
      <c r="K34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reglas-funcionales-internas</v>
      </c>
      <c r="L34" s="6" t="s">
        <v>1486</v>
      </c>
      <c r="M34" t="s">
        <v>1874</v>
      </c>
      <c r="N34" s="4" t="s">
        <v>360</v>
      </c>
      <c r="O34" s="4" t="s">
        <v>360</v>
      </c>
      <c r="P34" s="2" t="str">
        <f>IF(Tabla_Consolidados[[#This Row],[id_padre]]=Tabla_Consolidados[[#This Row],[Id]],"NOK","OK")</f>
        <v>OK</v>
      </c>
    </row>
    <row r="35" spans="1:16" hidden="1" x14ac:dyDescent="0.5">
      <c r="A35" s="2">
        <f>MAX(Tabla_Compras_Extranjera[Id])</f>
        <v>1647</v>
      </c>
      <c r="B35">
        <v>1680</v>
      </c>
      <c r="C35" s="5">
        <f>IF(Tabla_Consolidados[[#This Row],[id_padre]]="",0,_xlfn.XLOOKUP(Tabla_Consolidados[[#This Row],[id_padre]],Tabla_Consolidados[Id],Tabla_Consolidados[Nivel],0,0,1)+1)</f>
        <v>4</v>
      </c>
      <c r="D35" s="2" t="s">
        <v>1900</v>
      </c>
      <c r="E35">
        <f>IF(Tabla_Consolidados[[#This Row],[Id_anterior]]=1,ROW()-1,SUM(ROW()-1,Tabla_Consolidados[[#This Row],[Id_anterior]]))</f>
        <v>1681</v>
      </c>
      <c r="F35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CONSOLIDADO_PROCESOS_HOMOLOGACION_REGLAS_FUNCIONALES_INTERNAS_VALIDACIONES_TABLAS_SIGFE</v>
      </c>
      <c r="G35" s="2" t="str">
        <f>CLEAN(PROPER(Tabla_Consolidados[[#This Row],[Nombre Opción]]))</f>
        <v>Validaciones Tablas Sigfe</v>
      </c>
      <c r="H35" s="2" t="s">
        <v>1735</v>
      </c>
      <c r="I35" s="2" t="str">
        <f>_xlfn.XLOOKUP(Tabla_Consolidados[[#This Row],[id_padre]],Tabla_Consolidados[Id],Tabla_Consolidados[Codigo_Tecnico],"",0,1)</f>
        <v>CONSOLIDADO_PROCESOS_HOMOLOGACION_REGLAS_FUNCIONALES_INTERNAS</v>
      </c>
      <c r="J35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/consolidado/procesos/homologacion/reglas-funcionales-internas/validaciones-tablas-sigfe</v>
      </c>
      <c r="K35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validaciones-tablas-sigfe</v>
      </c>
      <c r="L35" s="6" t="s">
        <v>1386</v>
      </c>
      <c r="M35" t="s">
        <v>1874</v>
      </c>
      <c r="N35" s="4" t="s">
        <v>360</v>
      </c>
      <c r="O35" s="4" t="s">
        <v>360</v>
      </c>
      <c r="P35" s="2" t="str">
        <f>IF(Tabla_Consolidados[[#This Row],[id_padre]]=Tabla_Consolidados[[#This Row],[Id]],"NOK","OK")</f>
        <v>OK</v>
      </c>
    </row>
    <row r="36" spans="1:16" hidden="1" x14ac:dyDescent="0.5">
      <c r="A36" s="2">
        <f>MAX(Tabla_Compras_Extranjera[Id])</f>
        <v>1647</v>
      </c>
      <c r="B36">
        <v>1680</v>
      </c>
      <c r="C36" s="5">
        <f>IF(Tabla_Consolidados[[#This Row],[id_padre]]="",0,_xlfn.XLOOKUP(Tabla_Consolidados[[#This Row],[id_padre]],Tabla_Consolidados[Id],Tabla_Consolidados[Nivel],0,0,1)+1)</f>
        <v>4</v>
      </c>
      <c r="D36" s="2" t="s">
        <v>1901</v>
      </c>
      <c r="E36">
        <f>IF(Tabla_Consolidados[[#This Row],[Id_anterior]]=1,ROW()-1,SUM(ROW()-1,Tabla_Consolidados[[#This Row],[Id_anterior]]))</f>
        <v>1682</v>
      </c>
      <c r="F36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CONSOLIDADO_PROCESOS_HOMOLOGACION_REGLAS_FUNCIONALES_INTERNAS_CONSISTENCIA_ARCHIVO_CT_DV_EF</v>
      </c>
      <c r="G36" s="2" t="str">
        <f>CLEAN(PROPER(Tabla_Consolidados[[#This Row],[Nombre Opción]]))</f>
        <v>Consistencia De Archivo Ct-Dv-Ef</v>
      </c>
      <c r="H36" s="2" t="s">
        <v>1735</v>
      </c>
      <c r="I36" s="2" t="str">
        <f>_xlfn.XLOOKUP(Tabla_Consolidados[[#This Row],[id_padre]],Tabla_Consolidados[Id],Tabla_Consolidados[Codigo_Tecnico],"",0,1)</f>
        <v>CONSOLIDADO_PROCESOS_HOMOLOGACION_REGLAS_FUNCIONALES_INTERNAS</v>
      </c>
      <c r="J36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/consolidado/procesos/homologacion/reglas-funcionales-internas/consistencia-archivo-ct-dv-ef</v>
      </c>
      <c r="K36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consistencia-archivo-ct-dv-ef</v>
      </c>
      <c r="L36" s="6" t="s">
        <v>1923</v>
      </c>
      <c r="M36" t="s">
        <v>1874</v>
      </c>
      <c r="N36" s="4" t="s">
        <v>360</v>
      </c>
      <c r="O36" s="4" t="s">
        <v>360</v>
      </c>
      <c r="P36" s="2" t="str">
        <f>IF(Tabla_Consolidados[[#This Row],[id_padre]]=Tabla_Consolidados[[#This Row],[Id]],"NOK","OK")</f>
        <v>OK</v>
      </c>
    </row>
    <row r="37" spans="1:16" hidden="1" x14ac:dyDescent="0.5">
      <c r="A37" s="2">
        <f>MAX(Tabla_Compras_Extranjera[Id])</f>
        <v>1647</v>
      </c>
      <c r="B37">
        <v>1680</v>
      </c>
      <c r="C37" s="5">
        <f>IF(Tabla_Consolidados[[#This Row],[id_padre]]="",0,_xlfn.XLOOKUP(Tabla_Consolidados[[#This Row],[id_padre]],Tabla_Consolidados[Id],Tabla_Consolidados[Nivel],0,0,1)+1)</f>
        <v>4</v>
      </c>
      <c r="D37" s="2" t="s">
        <v>1902</v>
      </c>
      <c r="E37">
        <f>IF(Tabla_Consolidados[[#This Row],[Id_anterior]]=1,ROW()-1,SUM(ROW()-1,Tabla_Consolidados[[#This Row],[Id_anterior]]))</f>
        <v>1683</v>
      </c>
      <c r="F37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CONSOLIDADO_PROCESOS_HOMOLOGACION_REGLAS_FUNCIONALES_INTERNAS_CONSISTENCIA_ARCHIVO_CT_CCT</v>
      </c>
      <c r="G37" s="2" t="str">
        <f>CLEAN(PROPER(Tabla_Consolidados[[#This Row],[Nombre Opción]]))</f>
        <v>Consistencia De Archivo Ct-Cct</v>
      </c>
      <c r="H37" s="2" t="s">
        <v>1735</v>
      </c>
      <c r="I37" s="2" t="str">
        <f>_xlfn.XLOOKUP(Tabla_Consolidados[[#This Row],[id_padre]],Tabla_Consolidados[Id],Tabla_Consolidados[Codigo_Tecnico],"",0,1)</f>
        <v>CONSOLIDADO_PROCESOS_HOMOLOGACION_REGLAS_FUNCIONALES_INTERNAS</v>
      </c>
      <c r="J37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/consolidado/procesos/homologacion/reglas-funcionales-internas/consistencia-archivo-ct-cct</v>
      </c>
      <c r="K37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consistencia-archivo-ct-cct</v>
      </c>
      <c r="L37" s="6" t="s">
        <v>1924</v>
      </c>
      <c r="M37" t="s">
        <v>1874</v>
      </c>
      <c r="N37" s="4" t="s">
        <v>360</v>
      </c>
      <c r="O37" s="4" t="s">
        <v>360</v>
      </c>
      <c r="P37" s="2" t="str">
        <f>IF(Tabla_Consolidados[[#This Row],[id_padre]]=Tabla_Consolidados[[#This Row],[Id]],"NOK","OK")</f>
        <v>OK</v>
      </c>
    </row>
    <row r="38" spans="1:16" hidden="1" x14ac:dyDescent="0.5">
      <c r="A38" s="2">
        <f>MAX(Tabla_Compras_Extranjera[Id])</f>
        <v>1647</v>
      </c>
      <c r="B38">
        <v>1680</v>
      </c>
      <c r="C38" s="5">
        <f>IF(Tabla_Consolidados[[#This Row],[id_padre]]="",0,_xlfn.XLOOKUP(Tabla_Consolidados[[#This Row],[id_padre]],Tabla_Consolidados[Id],Tabla_Consolidados[Nivel],0,0,1)+1)</f>
        <v>4</v>
      </c>
      <c r="D38" s="2" t="s">
        <v>1903</v>
      </c>
      <c r="E38">
        <f>IF(Tabla_Consolidados[[#This Row],[Id_anterior]]=1,ROW()-1,SUM(ROW()-1,Tabla_Consolidados[[#This Row],[Id_anterior]]))</f>
        <v>1684</v>
      </c>
      <c r="F38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CONSOLIDADO_PROCESOS_HOMOLOGACION_REGLAS_FUNCIONALES_INTERNAS_DEBITOS_115_CREDITOS_215_SALDOS_CONCEPTO_PPTO</v>
      </c>
      <c r="G38" s="2" t="str">
        <f>CLEAN(PROPER(Tabla_Consolidados[[#This Row],[Nombre Opción]]))</f>
        <v>Debitos 115 Creditos 215 / Saldos Concepto Ppto</v>
      </c>
      <c r="H38" s="2" t="s">
        <v>1735</v>
      </c>
      <c r="I38" s="2" t="str">
        <f>_xlfn.XLOOKUP(Tabla_Consolidados[[#This Row],[id_padre]],Tabla_Consolidados[Id],Tabla_Consolidados[Codigo_Tecnico],"",0,1)</f>
        <v>CONSOLIDADO_PROCESOS_HOMOLOGACION_REGLAS_FUNCIONALES_INTERNAS</v>
      </c>
      <c r="J38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/consolidado/procesos/homologacion/reglas-funcionales-internas/debitos-115-creditos-215-saldos-concepto-ppto</v>
      </c>
      <c r="K38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debitos-115-creditos-215-saldos-concepto-ppto</v>
      </c>
      <c r="L38" s="6" t="s">
        <v>1437</v>
      </c>
      <c r="M38" t="s">
        <v>1874</v>
      </c>
      <c r="N38" s="4" t="s">
        <v>360</v>
      </c>
      <c r="O38" s="4" t="s">
        <v>360</v>
      </c>
      <c r="P38" s="2" t="str">
        <f>IF(Tabla_Consolidados[[#This Row],[id_padre]]=Tabla_Consolidados[[#This Row],[Id]],"NOK","OK")</f>
        <v>OK</v>
      </c>
    </row>
    <row r="39" spans="1:16" hidden="1" x14ac:dyDescent="0.5">
      <c r="A39" s="2">
        <f>MAX(Tabla_Compras_Extranjera[Id])</f>
        <v>1647</v>
      </c>
      <c r="B39">
        <v>1680</v>
      </c>
      <c r="C39" s="5">
        <f>IF(Tabla_Consolidados[[#This Row],[id_padre]]="",0,_xlfn.XLOOKUP(Tabla_Consolidados[[#This Row],[id_padre]],Tabla_Consolidados[Id],Tabla_Consolidados[Nivel],0,0,1)+1)</f>
        <v>4</v>
      </c>
      <c r="D39" s="2" t="s">
        <v>1885</v>
      </c>
      <c r="E39">
        <f>IF(Tabla_Consolidados[[#This Row],[Id_anterior]]=1,ROW()-1,SUM(ROW()-1,Tabla_Consolidados[[#This Row],[Id_anterior]]))</f>
        <v>1685</v>
      </c>
      <c r="F39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CONSOLIDADO_PROCESOS_HOMOLOGACION_REGLAS_FUNCIONALES_INTERNAS_DE_COMPROMISO</v>
      </c>
      <c r="G39" s="2" t="str">
        <f>CLEAN(PROPER(Tabla_Consolidados[[#This Row],[Nombre Opción]]))</f>
        <v>De Compromiso</v>
      </c>
      <c r="H39" s="2" t="s">
        <v>1735</v>
      </c>
      <c r="I39" s="2" t="str">
        <f>_xlfn.XLOOKUP(Tabla_Consolidados[[#This Row],[id_padre]],Tabla_Consolidados[Id],Tabla_Consolidados[Codigo_Tecnico],"",0,1)</f>
        <v>CONSOLIDADO_PROCESOS_HOMOLOGACION_REGLAS_FUNCIONALES_INTERNAS</v>
      </c>
      <c r="J39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/consolidado/procesos/homologacion/reglas-funcionales-internas/de-compromiso</v>
      </c>
      <c r="K39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de-compromiso</v>
      </c>
      <c r="L39" s="6" t="s">
        <v>1409</v>
      </c>
      <c r="M39" t="s">
        <v>1874</v>
      </c>
      <c r="N39" s="4" t="s">
        <v>360</v>
      </c>
      <c r="O39" s="4" t="s">
        <v>360</v>
      </c>
      <c r="P39" s="2" t="str">
        <f>IF(Tabla_Consolidados[[#This Row],[id_padre]]=Tabla_Consolidados[[#This Row],[Id]],"NOK","OK")</f>
        <v>OK</v>
      </c>
    </row>
    <row r="40" spans="1:16" hidden="1" x14ac:dyDescent="0.5">
      <c r="A40" s="2">
        <f>MAX(Tabla_Compras_Extranjera[Id])</f>
        <v>1647</v>
      </c>
      <c r="B40">
        <v>1680</v>
      </c>
      <c r="C40" s="5">
        <f>IF(Tabla_Consolidados[[#This Row],[id_padre]]="",0,_xlfn.XLOOKUP(Tabla_Consolidados[[#This Row],[id_padre]],Tabla_Consolidados[Id],Tabla_Consolidados[Nivel],0,0,1)+1)</f>
        <v>4</v>
      </c>
      <c r="D40" s="2" t="s">
        <v>1886</v>
      </c>
      <c r="E40">
        <f>IF(Tabla_Consolidados[[#This Row],[Id_anterior]]=1,ROW()-1,SUM(ROW()-1,Tabla_Consolidados[[#This Row],[Id_anterior]]))</f>
        <v>1686</v>
      </c>
      <c r="F40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CONSOLIDADO_PROCESOS_HOMOLOGACION_REGLAS_FUNCIONALES_INTERNAS_DE_DEVENGO</v>
      </c>
      <c r="G40" s="2" t="str">
        <f>CLEAN(PROPER(Tabla_Consolidados[[#This Row],[Nombre Opción]]))</f>
        <v>De Devengo</v>
      </c>
      <c r="H40" s="2" t="s">
        <v>1735</v>
      </c>
      <c r="I40" s="2" t="str">
        <f>_xlfn.XLOOKUP(Tabla_Consolidados[[#This Row],[id_padre]],Tabla_Consolidados[Id],Tabla_Consolidados[Codigo_Tecnico],"",0,1)</f>
        <v>CONSOLIDADO_PROCESOS_HOMOLOGACION_REGLAS_FUNCIONALES_INTERNAS</v>
      </c>
      <c r="J40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/consolidado/procesos/homologacion/reglas-funcionales-internas/de-devengo</v>
      </c>
      <c r="K40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de-devengo</v>
      </c>
      <c r="L40" s="6" t="s">
        <v>1357</v>
      </c>
      <c r="M40" t="s">
        <v>1874</v>
      </c>
      <c r="N40" s="4" t="s">
        <v>360</v>
      </c>
      <c r="O40" s="4" t="s">
        <v>360</v>
      </c>
      <c r="P40" s="2" t="str">
        <f>IF(Tabla_Consolidados[[#This Row],[id_padre]]=Tabla_Consolidados[[#This Row],[Id]],"NOK","OK")</f>
        <v>OK</v>
      </c>
    </row>
    <row r="41" spans="1:16" hidden="1" x14ac:dyDescent="0.5">
      <c r="A41" s="2">
        <f>MAX(Tabla_Compras_Extranjera[Id])</f>
        <v>1647</v>
      </c>
      <c r="B41">
        <v>1680</v>
      </c>
      <c r="C41" s="5">
        <f>IF(Tabla_Consolidados[[#This Row],[id_padre]]="",0,_xlfn.XLOOKUP(Tabla_Consolidados[[#This Row],[id_padre]],Tabla_Consolidados[Id],Tabla_Consolidados[Nivel],0,0,1)+1)</f>
        <v>4</v>
      </c>
      <c r="D41" s="2" t="s">
        <v>1887</v>
      </c>
      <c r="E41">
        <f>IF(Tabla_Consolidados[[#This Row],[Id_anterior]]=1,ROW()-1,SUM(ROW()-1,Tabla_Consolidados[[#This Row],[Id_anterior]]))</f>
        <v>1687</v>
      </c>
      <c r="F41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CONSOLIDADO_PROCESOS_HOMOLOGACION_REGLAS_FUNCIONALES_INTERNAS_DE_EFECTIVO</v>
      </c>
      <c r="G41" s="2" t="str">
        <f>CLEAN(PROPER(Tabla_Consolidados[[#This Row],[Nombre Opción]]))</f>
        <v>De Efectivo</v>
      </c>
      <c r="H41" s="2" t="s">
        <v>1735</v>
      </c>
      <c r="I41" s="2" t="str">
        <f>_xlfn.XLOOKUP(Tabla_Consolidados[[#This Row],[id_padre]],Tabla_Consolidados[Id],Tabla_Consolidados[Codigo_Tecnico],"",0,1)</f>
        <v>CONSOLIDADO_PROCESOS_HOMOLOGACION_REGLAS_FUNCIONALES_INTERNAS</v>
      </c>
      <c r="J41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/consolidado/procesos/homologacion/reglas-funcionales-internas/de-efectivo</v>
      </c>
      <c r="K41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de-efectivo</v>
      </c>
      <c r="L41" s="6" t="s">
        <v>1498</v>
      </c>
      <c r="M41" t="s">
        <v>1874</v>
      </c>
      <c r="N41" s="4" t="s">
        <v>360</v>
      </c>
      <c r="O41" s="4" t="s">
        <v>360</v>
      </c>
      <c r="P41" s="2" t="str">
        <f>IF(Tabla_Consolidados[[#This Row],[id_padre]]=Tabla_Consolidados[[#This Row],[Id]],"NOK","OK")</f>
        <v>OK</v>
      </c>
    </row>
    <row r="42" spans="1:16" hidden="1" x14ac:dyDescent="0.5">
      <c r="A42" s="2">
        <f>MAX(Tabla_Compras_Extranjera[Id])</f>
        <v>1647</v>
      </c>
      <c r="B42">
        <v>1680</v>
      </c>
      <c r="C42" s="5">
        <f>IF(Tabla_Consolidados[[#This Row],[id_padre]]="",0,_xlfn.XLOOKUP(Tabla_Consolidados[[#This Row],[id_padre]],Tabla_Consolidados[Id],Tabla_Consolidados[Nivel],0,0,1)+1)</f>
        <v>4</v>
      </c>
      <c r="D42" s="2" t="s">
        <v>1888</v>
      </c>
      <c r="E42">
        <f>IF(Tabla_Consolidados[[#This Row],[Id_anterior]]=1,ROW()-1,SUM(ROW()-1,Tabla_Consolidados[[#This Row],[Id_anterior]]))</f>
        <v>1688</v>
      </c>
      <c r="F42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CONSOLIDADO_PROCESOS_HOMOLOGACION_REGLAS_FUNCIONALES_INTERNAS_DE_CONTABILIDAD</v>
      </c>
      <c r="G42" s="2" t="str">
        <f>CLEAN(PROPER(Tabla_Consolidados[[#This Row],[Nombre Opción]]))</f>
        <v>De Contabilidad</v>
      </c>
      <c r="H42" s="2" t="s">
        <v>1735</v>
      </c>
      <c r="I42" s="2" t="str">
        <f>_xlfn.XLOOKUP(Tabla_Consolidados[[#This Row],[id_padre]],Tabla_Consolidados[Id],Tabla_Consolidados[Codigo_Tecnico],"",0,1)</f>
        <v>CONSOLIDADO_PROCESOS_HOMOLOGACION_REGLAS_FUNCIONALES_INTERNAS</v>
      </c>
      <c r="J42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/consolidado/procesos/homologacion/reglas-funcionales-internas/de-contabilidad</v>
      </c>
      <c r="K42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de-contabilidad</v>
      </c>
      <c r="L42" s="6" t="s">
        <v>1367</v>
      </c>
      <c r="M42" t="s">
        <v>1874</v>
      </c>
      <c r="N42" s="4" t="s">
        <v>360</v>
      </c>
      <c r="O42" s="4" t="s">
        <v>360</v>
      </c>
      <c r="P42" s="2" t="str">
        <f>IF(Tabla_Consolidados[[#This Row],[id_padre]]=Tabla_Consolidados[[#This Row],[Id]],"NOK","OK")</f>
        <v>OK</v>
      </c>
    </row>
    <row r="43" spans="1:16" hidden="1" x14ac:dyDescent="0.5">
      <c r="A43" s="2">
        <f>MAX(Tabla_Compras_Extranjera[Id])</f>
        <v>1647</v>
      </c>
      <c r="B43">
        <v>1680</v>
      </c>
      <c r="C43" s="5">
        <f>IF(Tabla_Consolidados[[#This Row],[id_padre]]="",0,_xlfn.XLOOKUP(Tabla_Consolidados[[#This Row],[id_padre]],Tabla_Consolidados[Id],Tabla_Consolidados[Nivel],0,0,1)+1)</f>
        <v>4</v>
      </c>
      <c r="D43" s="2" t="s">
        <v>1889</v>
      </c>
      <c r="E43">
        <f>IF(Tabla_Consolidados[[#This Row],[Id_anterior]]=1,ROW()-1,SUM(ROW()-1,Tabla_Consolidados[[#This Row],[Id_anterior]]))</f>
        <v>1689</v>
      </c>
      <c r="F43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CONSOLIDADO_PROCESOS_HOMOLOGACION_REGLAS_FUNCIONALES_INTERNAS_DE_CARTERA_CONTABLE</v>
      </c>
      <c r="G43" s="2" t="str">
        <f>CLEAN(PROPER(Tabla_Consolidados[[#This Row],[Nombre Opción]]))</f>
        <v>De Cartera Contable</v>
      </c>
      <c r="H43" s="2" t="s">
        <v>1735</v>
      </c>
      <c r="I43" s="2" t="str">
        <f>_xlfn.XLOOKUP(Tabla_Consolidados[[#This Row],[id_padre]],Tabla_Consolidados[Id],Tabla_Consolidados[Codigo_Tecnico],"",0,1)</f>
        <v>CONSOLIDADO_PROCESOS_HOMOLOGACION_REGLAS_FUNCIONALES_INTERNAS</v>
      </c>
      <c r="J43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/consolidado/procesos/homologacion/reglas-funcionales-internas/de-cartera-contable</v>
      </c>
      <c r="K43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de-cartera-contable</v>
      </c>
      <c r="L43" s="6" t="s">
        <v>1331</v>
      </c>
      <c r="M43" t="s">
        <v>1874</v>
      </c>
      <c r="N43" s="4" t="s">
        <v>360</v>
      </c>
      <c r="O43" s="4" t="s">
        <v>360</v>
      </c>
      <c r="P43" s="2" t="str">
        <f>IF(Tabla_Consolidados[[#This Row],[id_padre]]=Tabla_Consolidados[[#This Row],[Id]],"NOK","OK")</f>
        <v>OK</v>
      </c>
    </row>
    <row r="44" spans="1:16" hidden="1" x14ac:dyDescent="0.5">
      <c r="A44" s="2">
        <f>MAX(Tabla_Compras_Extranjera[Id])</f>
        <v>1647</v>
      </c>
      <c r="B44">
        <v>1679</v>
      </c>
      <c r="C44" s="5">
        <f>IF(Tabla_Consolidados[[#This Row],[id_padre]]="",0,_xlfn.XLOOKUP(Tabla_Consolidados[[#This Row],[id_padre]],Tabla_Consolidados[Id],Tabla_Consolidados[Nivel],0,0,1)+1)</f>
        <v>3</v>
      </c>
      <c r="D44" s="2" t="s">
        <v>1904</v>
      </c>
      <c r="E44">
        <f>IF(Tabla_Consolidados[[#This Row],[Id_anterior]]=1,ROW()-1,SUM(ROW()-1,Tabla_Consolidados[[#This Row],[Id_anterior]]))</f>
        <v>1690</v>
      </c>
      <c r="F44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CONSOLIDADO_PROCESOS_HOMOLOGACION_GENERA_ARCHIVO_SIGFE_2</v>
      </c>
      <c r="G44" s="2" t="str">
        <f>CLEAN(PROPER(Tabla_Consolidados[[#This Row],[Nombre Opción]]))</f>
        <v>Genera Archivo Sigfe 2</v>
      </c>
      <c r="H44" s="2" t="s">
        <v>1735</v>
      </c>
      <c r="I44" s="2" t="str">
        <f>_xlfn.XLOOKUP(Tabla_Consolidados[[#This Row],[id_padre]],Tabla_Consolidados[Id],Tabla_Consolidados[Codigo_Tecnico],"",0,1)</f>
        <v>CONSOLIDADO_PROCESOS_HOMOLOGACION</v>
      </c>
      <c r="J44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/consolidado/procesos/homologacion/genera-archivo-sigfe-2</v>
      </c>
      <c r="K44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genera-archivo-sigfe-2</v>
      </c>
      <c r="L44" s="6" t="s">
        <v>1359</v>
      </c>
      <c r="M44" t="s">
        <v>1874</v>
      </c>
      <c r="N44" s="4" t="s">
        <v>360</v>
      </c>
      <c r="O44" s="4" t="s">
        <v>360</v>
      </c>
      <c r="P44" s="2" t="str">
        <f>IF(Tabla_Consolidados[[#This Row],[id_padre]]=Tabla_Consolidados[[#This Row],[Id]],"NOK","OK")</f>
        <v>OK</v>
      </c>
    </row>
    <row r="45" spans="1:16" hidden="1" x14ac:dyDescent="0.5">
      <c r="A45" s="2">
        <f>MAX(Tabla_Compras_Extranjera[Id])</f>
        <v>1647</v>
      </c>
      <c r="B45">
        <v>1679</v>
      </c>
      <c r="C45" s="5">
        <f>IF(Tabla_Consolidados[[#This Row],[id_padre]]="",0,_xlfn.XLOOKUP(Tabla_Consolidados[[#This Row],[id_padre]],Tabla_Consolidados[Id],Tabla_Consolidados[Nivel],0,0,1)+1)</f>
        <v>3</v>
      </c>
      <c r="D45" s="2" t="s">
        <v>1905</v>
      </c>
      <c r="E45">
        <f>IF(Tabla_Consolidados[[#This Row],[Id_anterior]]=1,ROW()-1,SUM(ROW()-1,Tabla_Consolidados[[#This Row],[Id_anterior]]))</f>
        <v>1691</v>
      </c>
      <c r="F45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CONSOLIDADO_PROCESOS_HOMOLOGACION_REGLAS_EXTERNAS_SIGFE_2</v>
      </c>
      <c r="G45" s="2" t="str">
        <f>CLEAN(PROPER(Tabla_Consolidados[[#This Row],[Nombre Opción]]))</f>
        <v>Reglas Externas Sigfe 2</v>
      </c>
      <c r="H45" s="2" t="s">
        <v>1735</v>
      </c>
      <c r="I45" s="2" t="str">
        <f>_xlfn.XLOOKUP(Tabla_Consolidados[[#This Row],[id_padre]],Tabla_Consolidados[Id],Tabla_Consolidados[Codigo_Tecnico],"",0,1)</f>
        <v>CONSOLIDADO_PROCESOS_HOMOLOGACION</v>
      </c>
      <c r="J45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/consolidado/procesos/homologacion/reglas-externas-sigfe-2</v>
      </c>
      <c r="K45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reglas-externas-sigfe-2</v>
      </c>
      <c r="L45" s="6" t="s">
        <v>1521</v>
      </c>
      <c r="M45" t="s">
        <v>1874</v>
      </c>
      <c r="N45" s="4" t="s">
        <v>360</v>
      </c>
      <c r="O45" s="4" t="s">
        <v>360</v>
      </c>
      <c r="P45" s="2" t="str">
        <f>IF(Tabla_Consolidados[[#This Row],[id_padre]]=Tabla_Consolidados[[#This Row],[Id]],"NOK","OK")</f>
        <v>OK</v>
      </c>
    </row>
    <row r="46" spans="1:16" hidden="1" x14ac:dyDescent="0.5">
      <c r="A46" s="2">
        <f>MAX(Tabla_Compras_Extranjera[Id])</f>
        <v>1647</v>
      </c>
      <c r="B46">
        <v>1679</v>
      </c>
      <c r="C46" s="5">
        <f>IF(Tabla_Consolidados[[#This Row],[id_padre]]="",0,_xlfn.XLOOKUP(Tabla_Consolidados[[#This Row],[id_padre]],Tabla_Consolidados[Id],Tabla_Consolidados[Nivel],0,0,1)+1)</f>
        <v>3</v>
      </c>
      <c r="D46" s="2" t="s">
        <v>1906</v>
      </c>
      <c r="E46">
        <f>IF(Tabla_Consolidados[[#This Row],[Id_anterior]]=1,ROW()-1,SUM(ROW()-1,Tabla_Consolidados[[#This Row],[Id_anterior]]))</f>
        <v>1692</v>
      </c>
      <c r="F46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CONSOLIDADO_PROCESOS_HOMOLOGACION_ENVIA_ARCHIVO_SIGFE_2</v>
      </c>
      <c r="G46" s="2" t="str">
        <f>CLEAN(PROPER(Tabla_Consolidados[[#This Row],[Nombre Opción]]))</f>
        <v>Envia Archivo Sigfe 2</v>
      </c>
      <c r="H46" s="2" t="s">
        <v>1735</v>
      </c>
      <c r="I46" s="2" t="str">
        <f>_xlfn.XLOOKUP(Tabla_Consolidados[[#This Row],[id_padre]],Tabla_Consolidados[Id],Tabla_Consolidados[Codigo_Tecnico],"",0,1)</f>
        <v>CONSOLIDADO_PROCESOS_HOMOLOGACION</v>
      </c>
      <c r="J46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/consolidado/procesos/homologacion/envia-archivo-sigfe-2</v>
      </c>
      <c r="K46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envia-archivo-sigfe-2</v>
      </c>
      <c r="L46" s="6" t="s">
        <v>1396</v>
      </c>
      <c r="M46" t="s">
        <v>1874</v>
      </c>
      <c r="N46" s="4" t="s">
        <v>360</v>
      </c>
      <c r="O46" s="4" t="s">
        <v>360</v>
      </c>
      <c r="P46" s="2" t="str">
        <f>IF(Tabla_Consolidados[[#This Row],[id_padre]]=Tabla_Consolidados[[#This Row],[Id]],"NOK","OK")</f>
        <v>OK</v>
      </c>
    </row>
    <row r="47" spans="1:16" hidden="1" x14ac:dyDescent="0.5">
      <c r="A47" s="2">
        <f>MAX(Tabla_Compras_Extranjera[Id])</f>
        <v>1647</v>
      </c>
      <c r="B47">
        <v>1679</v>
      </c>
      <c r="C47" s="5">
        <f>IF(Tabla_Consolidados[[#This Row],[id_padre]]="",0,_xlfn.XLOOKUP(Tabla_Consolidados[[#This Row],[id_padre]],Tabla_Consolidados[Id],Tabla_Consolidados[Nivel],0,0,1)+1)</f>
        <v>3</v>
      </c>
      <c r="D47" s="2" t="s">
        <v>1907</v>
      </c>
      <c r="E47">
        <f>IF(Tabla_Consolidados[[#This Row],[Id_anterior]]=1,ROW()-1,SUM(ROW()-1,Tabla_Consolidados[[#This Row],[Id_anterior]]))</f>
        <v>1693</v>
      </c>
      <c r="F47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CONSOLIDADO_PROCESOS_HOMOLOGACION_ELIMINA_ARCHIVO_SIGFE_2</v>
      </c>
      <c r="G47" s="2" t="str">
        <f>CLEAN(PROPER(Tabla_Consolidados[[#This Row],[Nombre Opción]]))</f>
        <v>Elimina Archivo Sigfe 2</v>
      </c>
      <c r="H47" s="2" t="s">
        <v>1735</v>
      </c>
      <c r="I47" s="2" t="str">
        <f>_xlfn.XLOOKUP(Tabla_Consolidados[[#This Row],[id_padre]],Tabla_Consolidados[Id],Tabla_Consolidados[Codigo_Tecnico],"",0,1)</f>
        <v>CONSOLIDADO_PROCESOS_HOMOLOGACION</v>
      </c>
      <c r="J47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/consolidado/procesos/homologacion/elimina-archivo-sigfe-2</v>
      </c>
      <c r="K47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elimina-archivo-sigfe-2</v>
      </c>
      <c r="L47" s="6" t="s">
        <v>1925</v>
      </c>
      <c r="M47" t="s">
        <v>1874</v>
      </c>
      <c r="N47" s="4" t="s">
        <v>360</v>
      </c>
      <c r="O47" s="4" t="s">
        <v>360</v>
      </c>
      <c r="P47" s="2" t="str">
        <f>IF(Tabla_Consolidados[[#This Row],[id_padre]]=Tabla_Consolidados[[#This Row],[Id]],"NOK","OK")</f>
        <v>OK</v>
      </c>
    </row>
    <row r="48" spans="1:16" hidden="1" x14ac:dyDescent="0.5">
      <c r="A48" s="2">
        <f>MAX(Tabla_Compras_Extranjera[Id])</f>
        <v>1647</v>
      </c>
      <c r="B48">
        <v>1651</v>
      </c>
      <c r="C48" s="5">
        <f>IF(Tabla_Consolidados[[#This Row],[id_padre]]="",0,_xlfn.XLOOKUP(Tabla_Consolidados[[#This Row],[id_padre]],Tabla_Consolidados[Id],Tabla_Consolidados[Nivel],0,0,1)+1)</f>
        <v>2</v>
      </c>
      <c r="D48" s="2" t="s">
        <v>1908</v>
      </c>
      <c r="E48">
        <f>IF(Tabla_Consolidados[[#This Row],[Id_anterior]]=1,ROW()-1,SUM(ROW()-1,Tabla_Consolidados[[#This Row],[Id_anterior]]))</f>
        <v>1694</v>
      </c>
      <c r="F48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CONSOLIDADO_CONSULTAS_HOJA_TRABAJO</v>
      </c>
      <c r="G48" s="2" t="str">
        <f>CLEAN(PROPER(Tabla_Consolidados[[#This Row],[Nombre Opción]]))</f>
        <v>Hoja De Trabajo</v>
      </c>
      <c r="H48" s="2" t="s">
        <v>1735</v>
      </c>
      <c r="I48" s="2" t="str">
        <f>_xlfn.XLOOKUP(Tabla_Consolidados[[#This Row],[id_padre]],Tabla_Consolidados[Id],Tabla_Consolidados[Codigo_Tecnico],"",0,1)</f>
        <v>CONSOLIDADO_CONSULTAS</v>
      </c>
      <c r="J48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/consolidado/consultas/hoja-trabajo</v>
      </c>
      <c r="K48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hoja-trabajo</v>
      </c>
      <c r="L48" s="6" t="s">
        <v>1930</v>
      </c>
      <c r="M48" t="s">
        <v>1874</v>
      </c>
      <c r="N48" s="4" t="s">
        <v>360</v>
      </c>
      <c r="O48" s="4" t="s">
        <v>360</v>
      </c>
      <c r="P48" s="2" t="str">
        <f>IF(Tabla_Consolidados[[#This Row],[id_padre]]=Tabla_Consolidados[[#This Row],[Id]],"NOK","OK")</f>
        <v>OK</v>
      </c>
    </row>
    <row r="49" spans="1:16" hidden="1" x14ac:dyDescent="0.5">
      <c r="A49" s="2">
        <f>MAX(Tabla_Compras_Extranjera[Id])</f>
        <v>1647</v>
      </c>
      <c r="B49">
        <v>1651</v>
      </c>
      <c r="C49" s="5">
        <f>IF(Tabla_Consolidados[[#This Row],[id_padre]]="",0,_xlfn.XLOOKUP(Tabla_Consolidados[[#This Row],[id_padre]],Tabla_Consolidados[Id],Tabla_Consolidados[Nivel],0,0,1)+1)</f>
        <v>2</v>
      </c>
      <c r="D49" s="2" t="s">
        <v>1909</v>
      </c>
      <c r="E49">
        <f>IF(Tabla_Consolidados[[#This Row],[Id_anterior]]=1,ROW()-1,SUM(ROW()-1,Tabla_Consolidados[[#This Row],[Id_anterior]]))</f>
        <v>1695</v>
      </c>
      <c r="F49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CONSOLIDADO_CONSULTAS_PROYECTO</v>
      </c>
      <c r="G49" s="2" t="str">
        <f>CLEAN(PROPER(Tabla_Consolidados[[#This Row],[Nombre Opción]]))</f>
        <v>Proyecto</v>
      </c>
      <c r="H49" s="2" t="s">
        <v>1735</v>
      </c>
      <c r="I49" s="2" t="str">
        <f>_xlfn.XLOOKUP(Tabla_Consolidados[[#This Row],[id_padre]],Tabla_Consolidados[Id],Tabla_Consolidados[Codigo_Tecnico],"",0,1)</f>
        <v>CONSOLIDADO_CONSULTAS</v>
      </c>
      <c r="J49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/consolidado/consultas/proyecto</v>
      </c>
      <c r="K49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proyecto</v>
      </c>
      <c r="L49" s="6" t="s">
        <v>1548</v>
      </c>
      <c r="M49" t="s">
        <v>1874</v>
      </c>
      <c r="N49" s="4" t="s">
        <v>360</v>
      </c>
      <c r="O49" s="4" t="s">
        <v>360</v>
      </c>
      <c r="P49" s="2" t="str">
        <f>IF(Tabla_Consolidados[[#This Row],[id_padre]]=Tabla_Consolidados[[#This Row],[Id]],"NOK","OK")</f>
        <v>OK</v>
      </c>
    </row>
    <row r="50" spans="1:16" hidden="1" x14ac:dyDescent="0.5">
      <c r="A50" s="2">
        <f>MAX(Tabla_Compras_Extranjera[Id])</f>
        <v>1647</v>
      </c>
      <c r="B50">
        <v>1695</v>
      </c>
      <c r="C50" s="5">
        <f>IF(Tabla_Consolidados[[#This Row],[id_padre]]="",0,_xlfn.XLOOKUP(Tabla_Consolidados[[#This Row],[id_padre]],Tabla_Consolidados[Id],Tabla_Consolidados[Nivel],0,0,1)+1)</f>
        <v>3</v>
      </c>
      <c r="D50" s="2" t="s">
        <v>1910</v>
      </c>
      <c r="E50">
        <f>IF(Tabla_Consolidados[[#This Row],[Id_anterior]]=1,ROW()-1,SUM(ROW()-1,Tabla_Consolidados[[#This Row],[Id_anterior]]))</f>
        <v>1696</v>
      </c>
      <c r="F50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CONSOLIDADO_CONSULTAS_PROYECTO_EJECUCION_UNIDAD</v>
      </c>
      <c r="G50" s="2" t="str">
        <f>CLEAN(PROPER(Tabla_Consolidados[[#This Row],[Nombre Opción]]))</f>
        <v>Ejecución Unidad</v>
      </c>
      <c r="H50" s="2" t="s">
        <v>1735</v>
      </c>
      <c r="I50" s="2" t="str">
        <f>_xlfn.XLOOKUP(Tabla_Consolidados[[#This Row],[id_padre]],Tabla_Consolidados[Id],Tabla_Consolidados[Codigo_Tecnico],"",0,1)</f>
        <v>CONSOLIDADO_CONSULTAS_PROYECTO</v>
      </c>
      <c r="J50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/consolidado/consultas/proyecto/ejecucion-unidad</v>
      </c>
      <c r="K50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ejecucion-unidad</v>
      </c>
      <c r="L50" s="6" t="s">
        <v>1341</v>
      </c>
      <c r="M50" t="s">
        <v>1874</v>
      </c>
      <c r="N50" s="4" t="s">
        <v>360</v>
      </c>
      <c r="O50" s="4" t="s">
        <v>360</v>
      </c>
      <c r="P50" s="2" t="str">
        <f>IF(Tabla_Consolidados[[#This Row],[id_padre]]=Tabla_Consolidados[[#This Row],[Id]],"NOK","OK")</f>
        <v>OK</v>
      </c>
    </row>
    <row r="51" spans="1:16" hidden="1" x14ac:dyDescent="0.5">
      <c r="A51" s="2">
        <f>MAX(Tabla_Compras_Extranjera[Id])</f>
        <v>1647</v>
      </c>
      <c r="B51">
        <v>1695</v>
      </c>
      <c r="C51" s="5">
        <f>IF(Tabla_Consolidados[[#This Row],[id_padre]]="",0,_xlfn.XLOOKUP(Tabla_Consolidados[[#This Row],[id_padre]],Tabla_Consolidados[Id],Tabla_Consolidados[Nivel],0,0,1)+1)</f>
        <v>3</v>
      </c>
      <c r="D51" s="2" t="s">
        <v>1911</v>
      </c>
      <c r="E51">
        <f>IF(Tabla_Consolidados[[#This Row],[Id_anterior]]=1,ROW()-1,SUM(ROW()-1,Tabla_Consolidados[[#This Row],[Id_anterior]]))</f>
        <v>1697</v>
      </c>
      <c r="F51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CONSOLIDADO_CONSULTAS_PROYECTO_EJECUCION_UNIDADES_INTERNAS</v>
      </c>
      <c r="G51" s="2" t="str">
        <f>CLEAN(PROPER(Tabla_Consolidados[[#This Row],[Nombre Opción]]))</f>
        <v>Ejecución Unidades Internas</v>
      </c>
      <c r="H51" s="2" t="s">
        <v>1735</v>
      </c>
      <c r="I51" s="2" t="str">
        <f>_xlfn.XLOOKUP(Tabla_Consolidados[[#This Row],[id_padre]],Tabla_Consolidados[Id],Tabla_Consolidados[Codigo_Tecnico],"",0,1)</f>
        <v>CONSOLIDADO_CONSULTAS_PROYECTO</v>
      </c>
      <c r="J51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/consolidado/consultas/proyecto/ejecucion-unidades-internas</v>
      </c>
      <c r="K51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ejecucion-unidades-internas</v>
      </c>
      <c r="L51" s="6" t="s">
        <v>1506</v>
      </c>
      <c r="M51" t="s">
        <v>1874</v>
      </c>
      <c r="N51" s="4" t="s">
        <v>360</v>
      </c>
      <c r="O51" s="4" t="s">
        <v>360</v>
      </c>
      <c r="P51" s="2" t="str">
        <f>IF(Tabla_Consolidados[[#This Row],[id_padre]]=Tabla_Consolidados[[#This Row],[Id]],"NOK","OK")</f>
        <v>OK</v>
      </c>
    </row>
    <row r="52" spans="1:16" hidden="1" x14ac:dyDescent="0.5">
      <c r="A52" s="2">
        <f>MAX(Tabla_Compras_Extranjera[Id])</f>
        <v>1647</v>
      </c>
      <c r="B52">
        <v>1695</v>
      </c>
      <c r="C52" s="5">
        <f>IF(Tabla_Consolidados[[#This Row],[id_padre]]="",0,_xlfn.XLOOKUP(Tabla_Consolidados[[#This Row],[id_padre]],Tabla_Consolidados[Id],Tabla_Consolidados[Nivel],0,0,1)+1)</f>
        <v>3</v>
      </c>
      <c r="D52" s="2" t="s">
        <v>1912</v>
      </c>
      <c r="E52">
        <f>IF(Tabla_Consolidados[[#This Row],[Id_anterior]]=1,ROW()-1,SUM(ROW()-1,Tabla_Consolidados[[#This Row],[Id_anterior]]))</f>
        <v>1698</v>
      </c>
      <c r="F52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CONSOLIDADO_CONSULTAS_PROYECTO_EJECUCION_COMPLETA</v>
      </c>
      <c r="G52" s="2" t="str">
        <f>CLEAN(PROPER(Tabla_Consolidados[[#This Row],[Nombre Opción]]))</f>
        <v>Ejecución Completa</v>
      </c>
      <c r="H52" s="2" t="s">
        <v>1735</v>
      </c>
      <c r="I52" s="2" t="str">
        <f>_xlfn.XLOOKUP(Tabla_Consolidados[[#This Row],[id_padre]],Tabla_Consolidados[Id],Tabla_Consolidados[Codigo_Tecnico],"",0,1)</f>
        <v>CONSOLIDADO_CONSULTAS_PROYECTO</v>
      </c>
      <c r="J52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/consolidado/consultas/proyecto/ejecucion-completa</v>
      </c>
      <c r="K52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ejecucion-completa</v>
      </c>
      <c r="L52" s="6" t="s">
        <v>1927</v>
      </c>
      <c r="M52" t="s">
        <v>1874</v>
      </c>
      <c r="N52" s="4" t="s">
        <v>360</v>
      </c>
      <c r="O52" s="4" t="s">
        <v>360</v>
      </c>
      <c r="P52" s="2" t="str">
        <f>IF(Tabla_Consolidados[[#This Row],[id_padre]]=Tabla_Consolidados[[#This Row],[Id]],"NOK","OK")</f>
        <v>OK</v>
      </c>
    </row>
    <row r="53" spans="1:16" hidden="1" x14ac:dyDescent="0.5">
      <c r="A53" s="2">
        <f>MAX(Tabla_Compras_Extranjera[Id])</f>
        <v>1647</v>
      </c>
      <c r="B53">
        <v>1652</v>
      </c>
      <c r="C53" s="5">
        <f>IF(Tabla_Consolidados[[#This Row],[id_padre]]="",0,_xlfn.XLOOKUP(Tabla_Consolidados[[#This Row],[id_padre]],Tabla_Consolidados[Id],Tabla_Consolidados[Nivel],0,0,1)+1)</f>
        <v>2</v>
      </c>
      <c r="D53" s="2" t="s">
        <v>1913</v>
      </c>
      <c r="E53">
        <f>IF(Tabla_Consolidados[[#This Row],[Id_anterior]]=1,ROW()-1,SUM(ROW()-1,Tabla_Consolidados[[#This Row],[Id_anterior]]))</f>
        <v>1699</v>
      </c>
      <c r="F53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CONSOLIDADO_INFORMES_ESTADOS_FINANCIEROS_CONSOLIDADOS</v>
      </c>
      <c r="G53" s="2" t="str">
        <f>CLEAN(PROPER(Tabla_Consolidados[[#This Row],[Nombre Opción]]))</f>
        <v>Estados Financieros Consolidados</v>
      </c>
      <c r="H53" s="2" t="s">
        <v>1735</v>
      </c>
      <c r="I53" s="2" t="str">
        <f>_xlfn.XLOOKUP(Tabla_Consolidados[[#This Row],[id_padre]],Tabla_Consolidados[Id],Tabla_Consolidados[Codigo_Tecnico],"",0,1)</f>
        <v>CONSOLIDADO_INFORMES</v>
      </c>
      <c r="J53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/consolidado/informes/estados-financieros-consolidados</v>
      </c>
      <c r="K53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estados-financieros-consolidados</v>
      </c>
      <c r="L53" s="6" t="s">
        <v>1367</v>
      </c>
      <c r="M53" t="s">
        <v>1874</v>
      </c>
      <c r="N53" s="4" t="s">
        <v>360</v>
      </c>
      <c r="O53" s="4" t="s">
        <v>360</v>
      </c>
      <c r="P53" s="2" t="str">
        <f>IF(Tabla_Consolidados[[#This Row],[id_padre]]=Tabla_Consolidados[[#This Row],[Id]],"NOK","OK")</f>
        <v>OK</v>
      </c>
    </row>
    <row r="54" spans="1:16" hidden="1" x14ac:dyDescent="0.5">
      <c r="A54" s="2">
        <f>MAX(Tabla_Compras_Extranjera[Id])</f>
        <v>1647</v>
      </c>
      <c r="B54">
        <v>1699</v>
      </c>
      <c r="C54" s="5">
        <f>IF(Tabla_Consolidados[[#This Row],[id_padre]]="",0,_xlfn.XLOOKUP(Tabla_Consolidados[[#This Row],[id_padre]],Tabla_Consolidados[Id],Tabla_Consolidados[Nivel],0,0,1)+1)</f>
        <v>3</v>
      </c>
      <c r="D54" s="2" t="s">
        <v>1908</v>
      </c>
      <c r="E54">
        <f>IF(Tabla_Consolidados[[#This Row],[Id_anterior]]=1,ROW()-1,SUM(ROW()-1,Tabla_Consolidados[[#This Row],[Id_anterior]]))</f>
        <v>1700</v>
      </c>
      <c r="F54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CONSOLIDADO_INFORMES_ESTADOS_FINANCIEROS_CONSOLIDADOS_HOJA_TRABAJO</v>
      </c>
      <c r="G54" s="2" t="str">
        <f>CLEAN(PROPER(Tabla_Consolidados[[#This Row],[Nombre Opción]]))</f>
        <v>Hoja De Trabajo</v>
      </c>
      <c r="H54" s="2" t="s">
        <v>1735</v>
      </c>
      <c r="I54" s="2" t="str">
        <f>_xlfn.XLOOKUP(Tabla_Consolidados[[#This Row],[id_padre]],Tabla_Consolidados[Id],Tabla_Consolidados[Codigo_Tecnico],"",0,1)</f>
        <v>CONSOLIDADO_INFORMES_ESTADOS_FINANCIEROS_CONSOLIDADOS</v>
      </c>
      <c r="J54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/consolidado/informes/estados-financieros-consolidados/hoja-trabajo</v>
      </c>
      <c r="K54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hoja-trabajo</v>
      </c>
      <c r="L54" s="6" t="s">
        <v>1930</v>
      </c>
      <c r="M54" t="s">
        <v>1874</v>
      </c>
      <c r="N54" s="4" t="s">
        <v>360</v>
      </c>
      <c r="O54" s="4" t="s">
        <v>360</v>
      </c>
      <c r="P54" s="2" t="str">
        <f>IF(Tabla_Consolidados[[#This Row],[id_padre]]=Tabla_Consolidados[[#This Row],[Id]],"NOK","OK")</f>
        <v>OK</v>
      </c>
    </row>
    <row r="55" spans="1:16" hidden="1" x14ac:dyDescent="0.5">
      <c r="A55" s="2">
        <f>MAX(Tabla_Compras_Extranjera[Id])</f>
        <v>1647</v>
      </c>
      <c r="B55">
        <v>1699</v>
      </c>
      <c r="C55" s="5">
        <f>IF(Tabla_Consolidados[[#This Row],[id_padre]]="",0,_xlfn.XLOOKUP(Tabla_Consolidados[[#This Row],[id_padre]],Tabla_Consolidados[Id],Tabla_Consolidados[Nivel],0,0,1)+1)</f>
        <v>3</v>
      </c>
      <c r="D55" s="2" t="s">
        <v>1914</v>
      </c>
      <c r="E55">
        <f>IF(Tabla_Consolidados[[#This Row],[Id_anterior]]=1,ROW()-1,SUM(ROW()-1,Tabla_Consolidados[[#This Row],[Id_anterior]]))</f>
        <v>1701</v>
      </c>
      <c r="F55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CONSOLIDADO_INFORMES_ESTADOS_FINANCIEROS_CONSOLIDADOS_BALANCE_GENERAL_Y_ESTADO_RESULTADO</v>
      </c>
      <c r="G55" s="2" t="str">
        <f>CLEAN(PROPER(Tabla_Consolidados[[#This Row],[Nombre Opción]]))</f>
        <v>Balance General Y Estado Resultado</v>
      </c>
      <c r="H55" s="2" t="s">
        <v>1735</v>
      </c>
      <c r="I55" s="2" t="str">
        <f>_xlfn.XLOOKUP(Tabla_Consolidados[[#This Row],[id_padre]],Tabla_Consolidados[Id],Tabla_Consolidados[Codigo_Tecnico],"",0,1)</f>
        <v>CONSOLIDADO_INFORMES_ESTADOS_FINANCIEROS_CONSOLIDADOS</v>
      </c>
      <c r="J55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/consolidado/informes/estados-financieros-consolidados/balance-general-y-estado-resultado</v>
      </c>
      <c r="K55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balance-general-y-estado-resultado</v>
      </c>
      <c r="L55" s="6" t="s">
        <v>1431</v>
      </c>
      <c r="M55" t="s">
        <v>1874</v>
      </c>
      <c r="N55" s="4" t="s">
        <v>360</v>
      </c>
      <c r="O55" s="4" t="s">
        <v>360</v>
      </c>
      <c r="P55" s="2" t="str">
        <f>IF(Tabla_Consolidados[[#This Row],[id_padre]]=Tabla_Consolidados[[#This Row],[Id]],"NOK","OK")</f>
        <v>OK</v>
      </c>
    </row>
    <row r="56" spans="1:16" hidden="1" x14ac:dyDescent="0.5">
      <c r="A56" s="2">
        <f>MAX(Tabla_Compras_Extranjera[Id])</f>
        <v>1647</v>
      </c>
      <c r="B56">
        <v>1699</v>
      </c>
      <c r="C56" s="5">
        <f>IF(Tabla_Consolidados[[#This Row],[id_padre]]="",0,_xlfn.XLOOKUP(Tabla_Consolidados[[#This Row],[id_padre]],Tabla_Consolidados[Id],Tabla_Consolidados[Nivel],0,0,1)+1)</f>
        <v>3</v>
      </c>
      <c r="D56" s="2" t="s">
        <v>1915</v>
      </c>
      <c r="E56">
        <f>IF(Tabla_Consolidados[[#This Row],[Id_anterior]]=1,ROW()-1,SUM(ROW()-1,Tabla_Consolidados[[#This Row],[Id_anterior]]))</f>
        <v>1702</v>
      </c>
      <c r="F56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CONSOLIDADO_INFORMES_ESTADOS_FINANCIEROS_CONSOLIDADOS_ESTADO_FLUJO_EFECTIVO</v>
      </c>
      <c r="G56" s="2" t="str">
        <f>CLEAN(PROPER(Tabla_Consolidados[[#This Row],[Nombre Opción]]))</f>
        <v>Estado De Flujo Efectivo</v>
      </c>
      <c r="H56" s="2" t="s">
        <v>1735</v>
      </c>
      <c r="I56" s="2" t="str">
        <f>_xlfn.XLOOKUP(Tabla_Consolidados[[#This Row],[id_padre]],Tabla_Consolidados[Id],Tabla_Consolidados[Codigo_Tecnico],"",0,1)</f>
        <v>CONSOLIDADO_INFORMES_ESTADOS_FINANCIEROS_CONSOLIDADOS</v>
      </c>
      <c r="J56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/consolidado/informes/estados-financieros-consolidados/estado-flujo-efectivo</v>
      </c>
      <c r="K56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estado-flujo-efectivo</v>
      </c>
      <c r="L56" s="6" t="s">
        <v>1362</v>
      </c>
      <c r="M56" t="s">
        <v>1874</v>
      </c>
      <c r="N56" s="4" t="s">
        <v>360</v>
      </c>
      <c r="O56" s="4" t="s">
        <v>360</v>
      </c>
      <c r="P56" s="2" t="str">
        <f>IF(Tabla_Consolidados[[#This Row],[id_padre]]=Tabla_Consolidados[[#This Row],[Id]],"NOK","OK")</f>
        <v>OK</v>
      </c>
    </row>
    <row r="57" spans="1:16" hidden="1" x14ac:dyDescent="0.5">
      <c r="A57" s="2">
        <f>MAX(Tabla_Compras_Extranjera[Id])</f>
        <v>1647</v>
      </c>
      <c r="B57">
        <v>1699</v>
      </c>
      <c r="C57" s="5">
        <f>IF(Tabla_Consolidados[[#This Row],[id_padre]]="",0,_xlfn.XLOOKUP(Tabla_Consolidados[[#This Row],[id_padre]],Tabla_Consolidados[Id],Tabla_Consolidados[Nivel],0,0,1)+1)</f>
        <v>3</v>
      </c>
      <c r="D57" s="2" t="s">
        <v>1916</v>
      </c>
      <c r="E57">
        <f>IF(Tabla_Consolidados[[#This Row],[Id_anterior]]=1,ROW()-1,SUM(ROW()-1,Tabla_Consolidados[[#This Row],[Id_anterior]]))</f>
        <v>1703</v>
      </c>
      <c r="F57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CONSOLIDADO_INFORMES_ESTADOS_FINANCIEROS_CONSOLIDADOS_ESTADO_SITUACION_PRESUPUESTARIA</v>
      </c>
      <c r="G57" s="2" t="str">
        <f>CLEAN(PROPER(Tabla_Consolidados[[#This Row],[Nombre Opción]]))</f>
        <v>Estado Situación Presupuestaria</v>
      </c>
      <c r="H57" s="2" t="s">
        <v>1735</v>
      </c>
      <c r="I57" s="2" t="str">
        <f>_xlfn.XLOOKUP(Tabla_Consolidados[[#This Row],[id_padre]],Tabla_Consolidados[Id],Tabla_Consolidados[Codigo_Tecnico],"",0,1)</f>
        <v>CONSOLIDADO_INFORMES_ESTADOS_FINANCIEROS_CONSOLIDADOS</v>
      </c>
      <c r="J57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/consolidado/informes/estados-financieros-consolidados/estado-situacion-presupuestaria</v>
      </c>
      <c r="K57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estado-situacion-presupuestaria</v>
      </c>
      <c r="L57" s="6" t="s">
        <v>1371</v>
      </c>
      <c r="M57" t="s">
        <v>1874</v>
      </c>
      <c r="N57" s="4" t="s">
        <v>360</v>
      </c>
      <c r="O57" s="4" t="s">
        <v>360</v>
      </c>
      <c r="P57" s="2" t="str">
        <f>IF(Tabla_Consolidados[[#This Row],[id_padre]]=Tabla_Consolidados[[#This Row],[Id]],"NOK","OK")</f>
        <v>OK</v>
      </c>
    </row>
    <row r="58" spans="1:16" hidden="1" x14ac:dyDescent="0.5">
      <c r="A58" s="2">
        <f>MAX(Tabla_Compras_Extranjera[Id])</f>
        <v>1647</v>
      </c>
      <c r="B58">
        <v>1699</v>
      </c>
      <c r="C58" s="5">
        <f>IF(Tabla_Consolidados[[#This Row],[id_padre]]="",0,_xlfn.XLOOKUP(Tabla_Consolidados[[#This Row],[id_padre]],Tabla_Consolidados[Id],Tabla_Consolidados[Nivel],0,0,1)+1)</f>
        <v>3</v>
      </c>
      <c r="D58" s="2" t="s">
        <v>1917</v>
      </c>
      <c r="E58">
        <f>IF(Tabla_Consolidados[[#This Row],[Id_anterior]]=1,ROW()-1,SUM(ROW()-1,Tabla_Consolidados[[#This Row],[Id_anterior]]))</f>
        <v>1704</v>
      </c>
      <c r="F58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CONSOLIDADO_INFORMES_ESTADOS_FINANCIEROS_CONSOLIDADOS_ESTADO_VARIACION_FONDOS_NO_PRESUPUESTARIOS</v>
      </c>
      <c r="G58" s="2" t="str">
        <f>CLEAN(PROPER(Tabla_Consolidados[[#This Row],[Nombre Opción]]))</f>
        <v>Estado De Variación De Fondos No Presupuestarios</v>
      </c>
      <c r="H58" s="2" t="s">
        <v>1735</v>
      </c>
      <c r="I58" s="2" t="str">
        <f>_xlfn.XLOOKUP(Tabla_Consolidados[[#This Row],[id_padre]],Tabla_Consolidados[Id],Tabla_Consolidados[Codigo_Tecnico],"",0,1)</f>
        <v>CONSOLIDADO_INFORMES_ESTADOS_FINANCIEROS_CONSOLIDADOS</v>
      </c>
      <c r="J58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/consolidado/informes/estados-financieros-consolidados/estado-variacion-fondos-no-presupuestarios</v>
      </c>
      <c r="K58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estado-variacion-fondos-no-presupuestarios</v>
      </c>
      <c r="L58" s="6" t="s">
        <v>1502</v>
      </c>
      <c r="M58" t="s">
        <v>1874</v>
      </c>
      <c r="N58" s="4" t="s">
        <v>360</v>
      </c>
      <c r="O58" s="4" t="s">
        <v>360</v>
      </c>
      <c r="P58" s="2" t="str">
        <f>IF(Tabla_Consolidados[[#This Row],[id_padre]]=Tabla_Consolidados[[#This Row],[Id]],"NOK","OK")</f>
        <v>OK</v>
      </c>
    </row>
    <row r="59" spans="1:16" hidden="1" x14ac:dyDescent="0.5">
      <c r="A59" s="2">
        <f>MAX(Tabla_Compras_Extranjera[Id])</f>
        <v>1647</v>
      </c>
      <c r="B59">
        <v>1699</v>
      </c>
      <c r="C59" s="5">
        <f>IF(Tabla_Consolidados[[#This Row],[id_padre]]="",0,_xlfn.XLOOKUP(Tabla_Consolidados[[#This Row],[id_padre]],Tabla_Consolidados[Id],Tabla_Consolidados[Nivel],0,0,1)+1)</f>
        <v>3</v>
      </c>
      <c r="D59" s="2" t="s">
        <v>1918</v>
      </c>
      <c r="E59">
        <f>IF(Tabla_Consolidados[[#This Row],[Id_anterior]]=1,ROW()-1,SUM(ROW()-1,Tabla_Consolidados[[#This Row],[Id_anterior]]))</f>
        <v>1705</v>
      </c>
      <c r="F59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CONSOLIDADO_INFORMES_ESTADOS_FINANCIEROS_CONSOLIDADOS_ESTADO_CAMBIO_EL_PATRIMONIO</v>
      </c>
      <c r="G59" s="2" t="str">
        <f>CLEAN(PROPER(Tabla_Consolidados[[#This Row],[Nombre Opción]]))</f>
        <v>Estado De Cambio En El Patrimonio</v>
      </c>
      <c r="H59" s="2" t="s">
        <v>1735</v>
      </c>
      <c r="I59" s="2" t="str">
        <f>_xlfn.XLOOKUP(Tabla_Consolidados[[#This Row],[id_padre]],Tabla_Consolidados[Id],Tabla_Consolidados[Codigo_Tecnico],"",0,1)</f>
        <v>CONSOLIDADO_INFORMES_ESTADOS_FINANCIEROS_CONSOLIDADOS</v>
      </c>
      <c r="J59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/consolidado/informes/estados-financieros-consolidados/estado-cambio-el-patrimonio</v>
      </c>
      <c r="K59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estado-cambio-el-patrimonio</v>
      </c>
      <c r="L59" s="6" t="s">
        <v>1928</v>
      </c>
      <c r="M59" t="s">
        <v>1874</v>
      </c>
      <c r="N59" s="4" t="s">
        <v>360</v>
      </c>
      <c r="O59" s="4" t="s">
        <v>360</v>
      </c>
      <c r="P59" s="2" t="str">
        <f>IF(Tabla_Consolidados[[#This Row],[id_padre]]=Tabla_Consolidados[[#This Row],[Id]],"NOK","OK")</f>
        <v>OK</v>
      </c>
    </row>
    <row r="60" spans="1:16" hidden="1" x14ac:dyDescent="0.5">
      <c r="A60" s="2">
        <f>MAX(Tabla_Compras_Extranjera[Id])</f>
        <v>1647</v>
      </c>
      <c r="B60">
        <v>1699</v>
      </c>
      <c r="C60" s="5">
        <f>IF(Tabla_Consolidados[[#This Row],[id_padre]]="",0,_xlfn.XLOOKUP(Tabla_Consolidados[[#This Row],[id_padre]],Tabla_Consolidados[Id],Tabla_Consolidados[Nivel],0,0,1)+1)</f>
        <v>3</v>
      </c>
      <c r="D60" s="2" t="s">
        <v>1919</v>
      </c>
      <c r="E60">
        <f>IF(Tabla_Consolidados[[#This Row],[Id_anterior]]=1,ROW()-1,SUM(ROW()-1,Tabla_Consolidados[[#This Row],[Id_anterior]]))</f>
        <v>1706</v>
      </c>
      <c r="F60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CONSOLIDADO_INFORMES_ESTADOS_FINANCIEROS_CONSOLIDADOS_COMPROMISOS_Y_PAGOS_COVID_19___CGR</v>
      </c>
      <c r="G60" s="2" t="str">
        <f>CLEAN(PROPER(Tabla_Consolidados[[#This Row],[Nombre Opción]]))</f>
        <v>Compromisos Y Pagos Covid (19) - Cgr</v>
      </c>
      <c r="H60" s="2" t="s">
        <v>1735</v>
      </c>
      <c r="I60" s="2" t="str">
        <f>_xlfn.XLOOKUP(Tabla_Consolidados[[#This Row],[id_padre]],Tabla_Consolidados[Id],Tabla_Consolidados[Codigo_Tecnico],"",0,1)</f>
        <v>CONSOLIDADO_INFORMES_ESTADOS_FINANCIEROS_CONSOLIDADOS</v>
      </c>
      <c r="J60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/consolidado/informes/estados-financieros-consolidados/compromisos-y-pagos-covid-19---cgr</v>
      </c>
      <c r="K60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compromisos-y-pagos-covid-19---cgr</v>
      </c>
      <c r="L60" s="6" t="s">
        <v>1929</v>
      </c>
      <c r="M60" t="s">
        <v>1874</v>
      </c>
      <c r="N60" s="4" t="s">
        <v>360</v>
      </c>
      <c r="O60" s="4" t="s">
        <v>360</v>
      </c>
      <c r="P60" s="2" t="str">
        <f>IF(Tabla_Consolidados[[#This Row],[id_padre]]=Tabla_Consolidados[[#This Row],[Id]],"NOK","OK")</f>
        <v>OK</v>
      </c>
    </row>
    <row r="61" spans="1:16" hidden="1" x14ac:dyDescent="0.5">
      <c r="A61" s="2">
        <f>MAX(Tabla_Compras_Extranjera[Id])</f>
        <v>1647</v>
      </c>
      <c r="B61">
        <v>1652</v>
      </c>
      <c r="C61" s="5">
        <f>IF(Tabla_Consolidados[[#This Row],[id_padre]]="",0,_xlfn.XLOOKUP(Tabla_Consolidados[[#This Row],[id_padre]],Tabla_Consolidados[Id],Tabla_Consolidados[Nivel],0,0,1)+1)</f>
        <v>2</v>
      </c>
      <c r="D61" s="2" t="s">
        <v>144</v>
      </c>
      <c r="E61">
        <f>IF(Tabla_Consolidados[[#This Row],[Id_anterior]]=1,ROW()-1,SUM(ROW()-1,Tabla_Consolidados[[#This Row],[Id_anterior]]))</f>
        <v>1707</v>
      </c>
      <c r="F61" s="2" t="str">
        <f>IF(Tabla_Consolidados[[#This Row],[id_padre]]="",SUBSTITUTE(UPPER(Tabla_Consolidados[[#This Row],[Slug]]),"-","_"),CONCATENATE(_xlfn.XLOOKUP(Tabla_Consolidados[[#This Row],[id_padre]],Tabla_Consolidados[Id],Tabla_Consolidados[Codigo_Tecnico],"",0,1),"_",SUBSTITUTE(UPPER(Tabla_Consolidados[[#This Row],[Slug]]),"-","_")))</f>
        <v>CONSOLIDADO_INFORMES_CAPITULO_V</v>
      </c>
      <c r="G61" s="2" t="str">
        <f>CLEAN(PROPER(Tabla_Consolidados[[#This Row],[Nombre Opción]]))</f>
        <v>Capitulo V</v>
      </c>
      <c r="H61" s="2" t="s">
        <v>1735</v>
      </c>
      <c r="I61" s="2" t="str">
        <f>_xlfn.XLOOKUP(Tabla_Consolidados[[#This Row],[id_padre]],Tabla_Consolidados[Id],Tabla_Consolidados[Codigo_Tecnico],"",0,1)</f>
        <v>CONSOLIDADO_INFORMES</v>
      </c>
      <c r="J61" s="6" t="str">
        <f>IF(Tabla_Consolidados[[#This Row],[Nivel]]=0,CONCATENATE("/",Tabla_Consolidados[[#This Row],[Slug]]),CONCATENATE(_xlfn.XLOOKUP(Tabla_Consolidados[[#This Row],[id_padre]],Tabla_Consolidados[Id],Tabla_Consolidados[Ruta_Web],"",0,1),"/",Tabla_Consolidados[[#This Row],[Slug]]))</f>
        <v>/consolidado/informes/capitulo-v</v>
      </c>
      <c r="K61" s="6" t="str">
        <f>SUBSTITUTE(SUBSTITUTE(SUBSTITUTE(SUBSTITUTE(SUBSTITUTE(SUBSTITUTE(SUBSTITUTE(SUBSTITUTE(SUBSTITUTE(SUBSTITUTE(SUBSTITUTE(SUBSTITUTE(SUBSTITUTE(SUBSTITUTE(SUBSTITUTE(SUBSTITUTE(SUBSTITUTE(SUBSTITUTE(SUBSTITUTE(SUBSTITUTE(SUBSTITUTE(LOWER(Tabla_Consolidados[[#This Row],[Nombre Opción]])," ","-"),"á","a"),"é","e"),"í","i"),"ó","o"),"ú","u"),"/en-","/"),"/de-","/"),"-de-","-"),"-del-","-"),"-la-","-"),"-las-","-"),"-a-","-"),"-y/o-","-"),"-en-","-"),"o/c","o-c"),"-/-","-"),"-–-","-"),".",""),"(",""),")","")</f>
        <v>capitulo-v</v>
      </c>
      <c r="L61" s="6" t="s">
        <v>1458</v>
      </c>
      <c r="M61" t="s">
        <v>1874</v>
      </c>
      <c r="N61" s="4" t="s">
        <v>360</v>
      </c>
      <c r="O61" s="4" t="s">
        <v>360</v>
      </c>
      <c r="P61" s="2" t="str">
        <f>IF(Tabla_Consolidados[[#This Row],[id_padre]]=Tabla_Consolidados[[#This Row],[Id]],"NOK","OK")</f>
        <v>OK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72D813F-B424-49FE-A1B5-2326DAFAB75E}">
          <x14:formula1>
            <xm:f>Modulos!$C$2:$C$15</xm:f>
          </x14:formula1>
          <xm:sqref>M2:M61</xm:sqref>
        </x14:dataValidation>
        <x14:dataValidation type="list" allowBlank="1" showInputMessage="1" showErrorMessage="1" xr:uid="{A0CFB6AA-CF28-4167-936D-322BC6BC60DE}">
          <x14:formula1>
            <xm:f>Lista!$A$2:$A$3</xm:f>
          </x14:formula1>
          <xm:sqref>N2:O61</xm:sqref>
        </x14:dataValidation>
        <x14:dataValidation type="list" allowBlank="1" showInputMessage="1" showErrorMessage="1" xr:uid="{39F120DB-4219-4C90-BD82-F1E491E9F204}">
          <x14:formula1>
            <xm:f>Equipo!$B$2:$B$7</xm:f>
          </x14:formula1>
          <xm:sqref>Q2:Q61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02B7-2528-483A-9727-49DD38BDE814}">
  <dimension ref="A1:Q64"/>
  <sheetViews>
    <sheetView zoomScale="80" zoomScaleNormal="80" workbookViewId="0">
      <selection activeCell="H10" sqref="H10:H24"/>
    </sheetView>
  </sheetViews>
  <sheetFormatPr baseColWidth="10" defaultRowHeight="14.35" x14ac:dyDescent="0.5"/>
  <cols>
    <col min="1" max="1" width="4.76171875" bestFit="1" customWidth="1"/>
    <col min="2" max="4" width="5.64453125" customWidth="1"/>
    <col min="5" max="5" width="15.41015625" bestFit="1" customWidth="1"/>
    <col min="7" max="7" width="14.9375" customWidth="1"/>
    <col min="8" max="8" width="9" customWidth="1"/>
    <col min="9" max="9" width="10.8203125" customWidth="1"/>
    <col min="10" max="10" width="13.3515625" customWidth="1"/>
    <col min="11" max="11" width="10.46875" customWidth="1"/>
    <col min="12" max="12" width="5.87890625" customWidth="1"/>
    <col min="13" max="13" width="6.9375" customWidth="1"/>
    <col min="14" max="14" width="9.29296875" customWidth="1"/>
    <col min="15" max="18" width="5.64453125" customWidth="1"/>
  </cols>
  <sheetData>
    <row r="1" spans="1:17" s="3" customFormat="1" ht="74.7" x14ac:dyDescent="0.5">
      <c r="A1" s="3" t="s">
        <v>16</v>
      </c>
      <c r="B1" s="3" t="s">
        <v>1808</v>
      </c>
      <c r="C1" s="3" t="s">
        <v>1324</v>
      </c>
      <c r="D1" s="3" t="s">
        <v>24</v>
      </c>
      <c r="E1" s="3" t="s">
        <v>23</v>
      </c>
      <c r="F1" s="3" t="s">
        <v>1730</v>
      </c>
      <c r="G1" s="3" t="s">
        <v>1731</v>
      </c>
      <c r="H1" s="3" t="s">
        <v>1732</v>
      </c>
      <c r="I1" s="3" t="s">
        <v>1733</v>
      </c>
      <c r="J1" s="3" t="s">
        <v>1734</v>
      </c>
      <c r="K1" s="3" t="s">
        <v>1334</v>
      </c>
      <c r="L1" s="3" t="s">
        <v>1328</v>
      </c>
      <c r="M1" s="3" t="s">
        <v>14</v>
      </c>
      <c r="N1" s="3" t="s">
        <v>1931</v>
      </c>
      <c r="O1" s="3" t="s">
        <v>1932</v>
      </c>
      <c r="P1" s="3" t="s">
        <v>2026</v>
      </c>
      <c r="Q1" s="3" t="s">
        <v>2030</v>
      </c>
    </row>
    <row r="2" spans="1:17" x14ac:dyDescent="0.5">
      <c r="A2">
        <f>IF(Tabla20[[#This Row],[Id_anterior]]=1,ROW()-1,SUM(ROW()-1,Tabla20[[#This Row],[Id_anterior]]))</f>
        <v>1708</v>
      </c>
      <c r="B2">
        <f>MAX(Tabla_Consolidados[Id])</f>
        <v>1707</v>
      </c>
      <c r="D2">
        <f>IF(Tabla20[[#This Row],[id_padre]]="",0,_xlfn.XLOOKUP(Tabla20[[#This Row],[id_padre]],Tabla20[Id],Tabla20[Nivel],0,0,1)+1)</f>
        <v>0</v>
      </c>
      <c r="E2" t="s">
        <v>2110</v>
      </c>
      <c r="F2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</v>
      </c>
      <c r="G2" t="str">
        <f>CLEAN(PROPER(Tabla20[[#This Row],[Nombre Opción]]))</f>
        <v>Administración</v>
      </c>
      <c r="H2" t="s">
        <v>2028</v>
      </c>
      <c r="I2" t="str">
        <f>_xlfn.XLOOKUP(Tabla20[[#This Row],[id_padre]],Tabla20[Id],Tabla20[Codigo_Tecnico],"",0,1)</f>
        <v/>
      </c>
      <c r="J2" t="str">
        <f>IF(Tabla20[[#This Row],[Nivel]]=0,CONCATENATE("/",Tabla20[[#This Row],[Slug]]),CONCATENATE(_xlfn.XLOOKUP(Tabla20[[#This Row],[id_padre]],Tabla20[Id],Tabla20[Ruta_Web],"",0,1),"/",Tabla20[[#This Row],[Slug]]))</f>
        <v>/administracion</v>
      </c>
      <c r="K2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administracion</v>
      </c>
      <c r="L2" t="s">
        <v>1337</v>
      </c>
      <c r="M2" t="s">
        <v>2001</v>
      </c>
      <c r="N2" s="13" t="s">
        <v>360</v>
      </c>
      <c r="O2" s="13" t="s">
        <v>360</v>
      </c>
      <c r="P2" s="13" t="str">
        <f>IF(Tabla20[[#This Row],[id_padre]]=Tabla20[[#This Row],[Id]],"NOK","OK")</f>
        <v>OK</v>
      </c>
      <c r="Q2" s="13" t="s">
        <v>2018</v>
      </c>
    </row>
    <row r="3" spans="1:17" x14ac:dyDescent="0.5">
      <c r="A3">
        <f>IF(Tabla20[[#This Row],[Id_anterior]]=1,ROW()-1,SUM(ROW()-1,Tabla20[[#This Row],[Id_anterior]]))</f>
        <v>1709</v>
      </c>
      <c r="B3">
        <f>MAX(Tabla_Consolidados[Id])</f>
        <v>1707</v>
      </c>
      <c r="C3">
        <v>1708</v>
      </c>
      <c r="D3">
        <f>IF(Tabla20[[#This Row],[id_padre]]="",0,_xlfn.XLOOKUP(Tabla20[[#This Row],[id_padre]],Tabla20[Id],Tabla20[Nivel],0,0,1)+1)</f>
        <v>1</v>
      </c>
      <c r="E3" t="s">
        <v>2168</v>
      </c>
      <c r="F3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ADMINISTRACION_ARBOL</v>
      </c>
      <c r="G3" t="str">
        <f>CLEAN(PROPER(Tabla20[[#This Row],[Nombre Opción]]))</f>
        <v>Árbol</v>
      </c>
      <c r="H3" t="s">
        <v>1735</v>
      </c>
      <c r="I3" t="str">
        <f>_xlfn.XLOOKUP(Tabla20[[#This Row],[id_padre]],Tabla20[Id],Tabla20[Codigo_Tecnico],"",0,1)</f>
        <v>ADMINISTRACION</v>
      </c>
      <c r="J3" t="str">
        <f>IF(Tabla20[[#This Row],[Nivel]]=0,CONCATENATE("/",Tabla20[[#This Row],[Slug]]),CONCATENATE(_xlfn.XLOOKUP(Tabla20[[#This Row],[id_padre]],Tabla20[Id],Tabla20[Ruta_Web],"",0,1),"/",Tabla20[[#This Row],[Slug]]))</f>
        <v>/administracion/arbol</v>
      </c>
      <c r="K3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arbol</v>
      </c>
      <c r="L3" t="s">
        <v>1338</v>
      </c>
      <c r="M3" t="s">
        <v>2001</v>
      </c>
      <c r="N3" s="13" t="s">
        <v>360</v>
      </c>
      <c r="O3" s="13" t="s">
        <v>360</v>
      </c>
      <c r="P3" s="13" t="str">
        <f>IF(Tabla20[[#This Row],[id_padre]]=Tabla20[[#This Row],[Id]],"NOK","OK")</f>
        <v>OK</v>
      </c>
      <c r="Q3" s="13" t="s">
        <v>2018</v>
      </c>
    </row>
    <row r="4" spans="1:17" x14ac:dyDescent="0.5">
      <c r="A4">
        <f>IF(Tabla20[[#This Row],[Id_anterior]]=1,ROW()-1,SUM(ROW()-1,Tabla20[[#This Row],[Id_anterior]]))</f>
        <v>1710</v>
      </c>
      <c r="B4">
        <f>MAX(Tabla_Consolidados[Id])</f>
        <v>1707</v>
      </c>
      <c r="C4">
        <v>1709</v>
      </c>
      <c r="D4">
        <f>IF(Tabla20[[#This Row],[id_padre]]="",0,_xlfn.XLOOKUP(Tabla20[[#This Row],[id_padre]],Tabla20[Id],Tabla20[Nivel],0,0,1)+1)</f>
        <v>2</v>
      </c>
      <c r="E4" t="s">
        <v>2109</v>
      </c>
      <c r="F4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ADMINISTRACION_ARBOL_TABLERO</v>
      </c>
      <c r="G4" t="str">
        <f>CLEAN(PROPER(Tabla20[[#This Row],[Nombre Opción]]))</f>
        <v>Tablero</v>
      </c>
      <c r="H4" t="s">
        <v>1735</v>
      </c>
      <c r="I4" t="str">
        <f>_xlfn.XLOOKUP(Tabla20[[#This Row],[id_padre]],Tabla20[Id],Tabla20[Codigo_Tecnico],"",0,1)</f>
        <v>ADMINISTRACION_ARBOL</v>
      </c>
      <c r="J4" t="str">
        <f>IF(Tabla20[[#This Row],[Nivel]]=0,CONCATENATE("/",Tabla20[[#This Row],[Slug]]),CONCATENATE(_xlfn.XLOOKUP(Tabla20[[#This Row],[id_padre]],Tabla20[Id],Tabla20[Ruta_Web],"",0,1),"/",Tabla20[[#This Row],[Slug]]))</f>
        <v>/administracion/arbol/tablero</v>
      </c>
      <c r="K4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tablero</v>
      </c>
      <c r="L4" t="s">
        <v>1464</v>
      </c>
      <c r="M4" t="s">
        <v>2001</v>
      </c>
      <c r="N4" s="13" t="s">
        <v>360</v>
      </c>
      <c r="O4" s="13" t="s">
        <v>360</v>
      </c>
      <c r="P4" s="13" t="str">
        <f>IF(Tabla20[[#This Row],[id_padre]]=Tabla20[[#This Row],[Id]],"NOK","OK")</f>
        <v>OK</v>
      </c>
      <c r="Q4" s="13" t="s">
        <v>2018</v>
      </c>
    </row>
    <row r="5" spans="1:17" x14ac:dyDescent="0.5">
      <c r="A5">
        <f>IF(Tabla20[[#This Row],[Id_anterior]]=1,ROW()-1,SUM(ROW()-1,Tabla20[[#This Row],[Id_anterior]]))</f>
        <v>1711</v>
      </c>
      <c r="B5">
        <f>MAX(Tabla_Consolidados[Id])</f>
        <v>1707</v>
      </c>
      <c r="C5">
        <v>1709</v>
      </c>
      <c r="D5">
        <f>IF(Tabla20[[#This Row],[id_padre]]="",0,_xlfn.XLOOKUP(Tabla20[[#This Row],[id_padre]],Tabla20[Id],Tabla20[Nivel],0,0,1)+1)</f>
        <v>2</v>
      </c>
      <c r="E5" t="s">
        <v>2038</v>
      </c>
      <c r="F5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ADMINISTRACION_ARBOL_NODOS</v>
      </c>
      <c r="G5" t="str">
        <f>CLEAN(PROPER(Tabla20[[#This Row],[Nombre Opción]]))</f>
        <v>Nodos</v>
      </c>
      <c r="H5" t="s">
        <v>1735</v>
      </c>
      <c r="I5" t="str">
        <f>_xlfn.XLOOKUP(Tabla20[[#This Row],[id_padre]],Tabla20[Id],Tabla20[Codigo_Tecnico],"",0,1)</f>
        <v>ADMINISTRACION_ARBOL</v>
      </c>
      <c r="J5" t="str">
        <f>IF(Tabla20[[#This Row],[Nivel]]=0,CONCATENATE("/",Tabla20[[#This Row],[Slug]]),CONCATENATE(_xlfn.XLOOKUP(Tabla20[[#This Row],[id_padre]],Tabla20[Id],Tabla20[Ruta_Web],"",0,1),"/",Tabla20[[#This Row],[Slug]]))</f>
        <v>/administracion/arbol/nodos</v>
      </c>
      <c r="K5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nodos</v>
      </c>
      <c r="L5" t="s">
        <v>2037</v>
      </c>
      <c r="M5" t="s">
        <v>2001</v>
      </c>
      <c r="N5" s="13" t="s">
        <v>360</v>
      </c>
      <c r="O5" s="13" t="s">
        <v>360</v>
      </c>
      <c r="P5" s="13" t="str">
        <f>IF(Tabla20[[#This Row],[id_padre]]=Tabla20[[#This Row],[Id]],"NOK","OK")</f>
        <v>OK</v>
      </c>
      <c r="Q5" s="13" t="s">
        <v>2018</v>
      </c>
    </row>
    <row r="6" spans="1:17" x14ac:dyDescent="0.5">
      <c r="A6">
        <f>IF(Tabla20[[#This Row],[Id_anterior]]=1,ROW()-1,SUM(ROW()-1,Tabla20[[#This Row],[Id_anterior]]))</f>
        <v>1712</v>
      </c>
      <c r="B6">
        <f>MAX(Tabla_Consolidados[Id])</f>
        <v>1707</v>
      </c>
      <c r="C6">
        <v>1709</v>
      </c>
      <c r="D6">
        <f>IF(Tabla20[[#This Row],[id_padre]]="",0,_xlfn.XLOOKUP(Tabla20[[#This Row],[id_padre]],Tabla20[Id],Tabla20[Nivel],0,0,1)+1)</f>
        <v>2</v>
      </c>
      <c r="E6" t="s">
        <v>2039</v>
      </c>
      <c r="F6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ADMINISTRACION_ARBOL_TIPOS_NODOS</v>
      </c>
      <c r="G6" t="str">
        <f>CLEAN(PROPER(Tabla20[[#This Row],[Nombre Opción]]))</f>
        <v>Tipos De Nodos</v>
      </c>
      <c r="H6" t="s">
        <v>1735</v>
      </c>
      <c r="I6" t="str">
        <f>_xlfn.XLOOKUP(Tabla20[[#This Row],[id_padre]],Tabla20[Id],Tabla20[Codigo_Tecnico],"",0,1)</f>
        <v>ADMINISTRACION_ARBOL</v>
      </c>
      <c r="J6" t="str">
        <f>IF(Tabla20[[#This Row],[Nivel]]=0,CONCATENATE("/",Tabla20[[#This Row],[Slug]]),CONCATENATE(_xlfn.XLOOKUP(Tabla20[[#This Row],[id_padre]],Tabla20[Id],Tabla20[Ruta_Web],"",0,1),"/",Tabla20[[#This Row],[Slug]]))</f>
        <v>/administracion/arbol/tipos-nodos</v>
      </c>
      <c r="K6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tipos-nodos</v>
      </c>
      <c r="L6" t="s">
        <v>1407</v>
      </c>
      <c r="M6" t="s">
        <v>2001</v>
      </c>
      <c r="N6" s="13" t="s">
        <v>360</v>
      </c>
      <c r="O6" s="13" t="s">
        <v>360</v>
      </c>
      <c r="P6" s="13" t="str">
        <f>IF(Tabla20[[#This Row],[id_padre]]=Tabla20[[#This Row],[Id]],"NOK","OK")</f>
        <v>OK</v>
      </c>
      <c r="Q6" s="13" t="s">
        <v>2018</v>
      </c>
    </row>
    <row r="7" spans="1:17" x14ac:dyDescent="0.5">
      <c r="A7">
        <f>IF(Tabla20[[#This Row],[Id_anterior]]=1,ROW()-1,SUM(ROW()-1,Tabla20[[#This Row],[Id_anterior]]))</f>
        <v>1713</v>
      </c>
      <c r="B7">
        <f>MAX(Tabla_Consolidados[Id])</f>
        <v>1707</v>
      </c>
      <c r="C7">
        <v>1709</v>
      </c>
      <c r="D7">
        <f>IF(Tabla20[[#This Row],[id_padre]]="",0,_xlfn.XLOOKUP(Tabla20[[#This Row],[id_padre]],Tabla20[Id],Tabla20[Nivel],0,0,1)+1)</f>
        <v>2</v>
      </c>
      <c r="E7" t="s">
        <v>2040</v>
      </c>
      <c r="F7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ADMINISTRACION_ARBOL_JERARQUIA</v>
      </c>
      <c r="G7" t="str">
        <f>CLEAN(PROPER(Tabla20[[#This Row],[Nombre Opción]]))</f>
        <v>Jerarquía</v>
      </c>
      <c r="H7" t="s">
        <v>1735</v>
      </c>
      <c r="I7" t="str">
        <f>_xlfn.XLOOKUP(Tabla20[[#This Row],[id_padre]],Tabla20[Id],Tabla20[Codigo_Tecnico],"",0,1)</f>
        <v>ADMINISTRACION_ARBOL</v>
      </c>
      <c r="J7" t="str">
        <f>IF(Tabla20[[#This Row],[Nivel]]=0,CONCATENATE("/",Tabla20[[#This Row],[Slug]]),CONCATENATE(_xlfn.XLOOKUP(Tabla20[[#This Row],[id_padre]],Tabla20[Id],Tabla20[Ruta_Web],"",0,1),"/",Tabla20[[#This Row],[Slug]]))</f>
        <v>/administracion/arbol/jerarquia</v>
      </c>
      <c r="K7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jerarquia</v>
      </c>
      <c r="L7" t="s">
        <v>1338</v>
      </c>
      <c r="M7" t="s">
        <v>2001</v>
      </c>
      <c r="N7" s="13" t="s">
        <v>360</v>
      </c>
      <c r="O7" s="13" t="s">
        <v>360</v>
      </c>
      <c r="P7" s="13" t="str">
        <f>IF(Tabla20[[#This Row],[id_padre]]=Tabla20[[#This Row],[Id]],"NOK","OK")</f>
        <v>OK</v>
      </c>
      <c r="Q7" s="13" t="s">
        <v>2018</v>
      </c>
    </row>
    <row r="8" spans="1:17" x14ac:dyDescent="0.5">
      <c r="A8">
        <f>IF(Tabla20[[#This Row],[Id_anterior]]=1,ROW()-1,SUM(ROW()-1,Tabla20[[#This Row],[Id_anterior]]))</f>
        <v>1714</v>
      </c>
      <c r="B8">
        <f>MAX(Tabla_Consolidados[Id])</f>
        <v>1707</v>
      </c>
      <c r="C8">
        <v>1709</v>
      </c>
      <c r="D8">
        <f>IF(Tabla20[[#This Row],[id_padre]]="",0,_xlfn.XLOOKUP(Tabla20[[#This Row],[id_padre]],Tabla20[Id],Tabla20[Nivel],0,0,1)+1)</f>
        <v>2</v>
      </c>
      <c r="E8" t="s">
        <v>2136</v>
      </c>
      <c r="F8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ADMINISTRACION_ARBOL_CLONACION</v>
      </c>
      <c r="G8" t="str">
        <f>CLEAN(PROPER(Tabla20[[#This Row],[Nombre Opción]]))</f>
        <v>Clonación</v>
      </c>
      <c r="H8" t="s">
        <v>1735</v>
      </c>
      <c r="I8" t="str">
        <f>_xlfn.XLOOKUP(Tabla20[[#This Row],[id_padre]],Tabla20[Id],Tabla20[Codigo_Tecnico],"",0,1)</f>
        <v>ADMINISTRACION_ARBOL</v>
      </c>
      <c r="J8" t="str">
        <f>IF(Tabla20[[#This Row],[Nivel]]=0,CONCATENATE("/",Tabla20[[#This Row],[Slug]]),CONCATENATE(_xlfn.XLOOKUP(Tabla20[[#This Row],[id_padre]],Tabla20[Id],Tabla20[Ruta_Web],"",0,1),"/",Tabla20[[#This Row],[Slug]]))</f>
        <v>/administracion/arbol/clonacion</v>
      </c>
      <c r="K8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clonacion</v>
      </c>
      <c r="L8" t="s">
        <v>1477</v>
      </c>
      <c r="M8" t="s">
        <v>2001</v>
      </c>
      <c r="N8" s="13" t="s">
        <v>360</v>
      </c>
      <c r="O8" s="13" t="s">
        <v>360</v>
      </c>
      <c r="P8" s="13" t="str">
        <f>IF(Tabla20[[#This Row],[id_padre]]=Tabla20[[#This Row],[Id]],"NOK","OK")</f>
        <v>OK</v>
      </c>
      <c r="Q8" s="13" t="s">
        <v>2018</v>
      </c>
    </row>
    <row r="9" spans="1:17" x14ac:dyDescent="0.5">
      <c r="A9">
        <f>IF(Tabla20[[#This Row],[Id_anterior]]=1,ROW()-1,SUM(ROW()-1,Tabla20[[#This Row],[Id_anterior]]))</f>
        <v>1715</v>
      </c>
      <c r="B9">
        <f>MAX(Tabla_Consolidados[Id])</f>
        <v>1707</v>
      </c>
      <c r="C9">
        <v>1708</v>
      </c>
      <c r="D9">
        <f>IF(Tabla20[[#This Row],[id_padre]]="",0,_xlfn.XLOOKUP(Tabla20[[#This Row],[id_padre]],Tabla20[Id],Tabla20[Nivel],0,0,1)+1)</f>
        <v>1</v>
      </c>
      <c r="E9" t="s">
        <v>2177</v>
      </c>
      <c r="F9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ADMINISTRACION_SEGURIDAD</v>
      </c>
      <c r="G9" t="str">
        <f>CLEAN(PROPER(Tabla20[[#This Row],[Nombre Opción]]))</f>
        <v>Seguridad</v>
      </c>
      <c r="H9" t="s">
        <v>1735</v>
      </c>
      <c r="I9" t="str">
        <f>_xlfn.XLOOKUP(Tabla20[[#This Row],[id_padre]],Tabla20[Id],Tabla20[Codigo_Tecnico],"",0,1)</f>
        <v>ADMINISTRACION</v>
      </c>
      <c r="J9" t="str">
        <f>IF(Tabla20[[#This Row],[Nivel]]=0,CONCATENATE("/",Tabla20[[#This Row],[Slug]]),CONCATENATE(_xlfn.XLOOKUP(Tabla20[[#This Row],[id_padre]],Tabla20[Id],Tabla20[Ruta_Web],"",0,1),"/",Tabla20[[#This Row],[Slug]]))</f>
        <v>/administracion/seguridad</v>
      </c>
      <c r="K9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seguridad</v>
      </c>
      <c r="L9" t="s">
        <v>1356</v>
      </c>
      <c r="M9" t="s">
        <v>2001</v>
      </c>
      <c r="N9" s="13" t="s">
        <v>360</v>
      </c>
      <c r="O9" s="13" t="s">
        <v>360</v>
      </c>
      <c r="P9" s="13" t="str">
        <f>IF(Tabla20[[#This Row],[id_padre]]=Tabla20[[#This Row],[Id]],"NOK","OK")</f>
        <v>OK</v>
      </c>
      <c r="Q9" s="13" t="s">
        <v>2018</v>
      </c>
    </row>
    <row r="10" spans="1:17" x14ac:dyDescent="0.5">
      <c r="A10">
        <f>IF(Tabla20[[#This Row],[Id_anterior]]=1,ROW()-1,SUM(ROW()-1,Tabla20[[#This Row],[Id_anterior]]))</f>
        <v>1716</v>
      </c>
      <c r="B10">
        <f>MAX(Tabla_Consolidados[Id])</f>
        <v>1707</v>
      </c>
      <c r="C10">
        <v>1715</v>
      </c>
      <c r="D10">
        <f>IF(Tabla20[[#This Row],[id_padre]]="",0,_xlfn.XLOOKUP(Tabla20[[#This Row],[id_padre]],Tabla20[Id],Tabla20[Nivel],0,0,1)+1)</f>
        <v>2</v>
      </c>
      <c r="E10" t="s">
        <v>2133</v>
      </c>
      <c r="F10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ADMINISTRACION_SEGURIDAD_POLITICAS</v>
      </c>
      <c r="G10" t="str">
        <f>CLEAN(PROPER(Tabla20[[#This Row],[Nombre Opción]]))</f>
        <v>Políticas</v>
      </c>
      <c r="H10" t="s">
        <v>1735</v>
      </c>
      <c r="I10" t="str">
        <f>_xlfn.XLOOKUP(Tabla20[[#This Row],[id_padre]],Tabla20[Id],Tabla20[Codigo_Tecnico],"",0,1)</f>
        <v>ADMINISTRACION_SEGURIDAD</v>
      </c>
      <c r="J10" t="str">
        <f>IF(Tabla20[[#This Row],[Nivel]]=0,CONCATENATE("/",Tabla20[[#This Row],[Slug]]),CONCATENATE(_xlfn.XLOOKUP(Tabla20[[#This Row],[id_padre]],Tabla20[Id],Tabla20[Ruta_Web],"",0,1),"/",Tabla20[[#This Row],[Slug]]))</f>
        <v>/administracion/seguridad/politicas</v>
      </c>
      <c r="K10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politicas</v>
      </c>
      <c r="L10" t="s">
        <v>1358</v>
      </c>
      <c r="M10" t="s">
        <v>2001</v>
      </c>
      <c r="N10" s="13" t="s">
        <v>360</v>
      </c>
      <c r="O10" s="13" t="s">
        <v>360</v>
      </c>
      <c r="P10" s="13" t="str">
        <f>IF(Tabla20[[#This Row],[id_padre]]=Tabla20[[#This Row],[Id]],"NOK","OK")</f>
        <v>OK</v>
      </c>
      <c r="Q10" s="13" t="s">
        <v>2018</v>
      </c>
    </row>
    <row r="11" spans="1:17" x14ac:dyDescent="0.5">
      <c r="A11">
        <f>IF(Tabla20[[#This Row],[Id_anterior]]=1,ROW()-1,SUM(ROW()-1,Tabla20[[#This Row],[Id_anterior]]))</f>
        <v>1717</v>
      </c>
      <c r="B11">
        <f>MAX(Tabla_Consolidados[Id])</f>
        <v>1707</v>
      </c>
      <c r="C11">
        <v>1715</v>
      </c>
      <c r="D11">
        <f>IF(Tabla20[[#This Row],[id_padre]]="",0,_xlfn.XLOOKUP(Tabla20[[#This Row],[id_padre]],Tabla20[Id],Tabla20[Nivel],0,0,1)+1)</f>
        <v>2</v>
      </c>
      <c r="E11" t="s">
        <v>2139</v>
      </c>
      <c r="F11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ADMINISTRACION_SEGURIDAD_PERMISOS</v>
      </c>
      <c r="G11" t="str">
        <f>CLEAN(PROPER(Tabla20[[#This Row],[Nombre Opción]]))</f>
        <v>Permisos</v>
      </c>
      <c r="H11" t="s">
        <v>1735</v>
      </c>
      <c r="I11" t="str">
        <f>_xlfn.XLOOKUP(Tabla20[[#This Row],[id_padre]],Tabla20[Id],Tabla20[Codigo_Tecnico],"",0,1)</f>
        <v>ADMINISTRACION_SEGURIDAD</v>
      </c>
      <c r="J11" t="str">
        <f>IF(Tabla20[[#This Row],[Nivel]]=0,CONCATENATE("/",Tabla20[[#This Row],[Slug]]),CONCATENATE(_xlfn.XLOOKUP(Tabla20[[#This Row],[id_padre]],Tabla20[Id],Tabla20[Ruta_Web],"",0,1),"/",Tabla20[[#This Row],[Slug]]))</f>
        <v>/administracion/seguridad/permisos</v>
      </c>
      <c r="K11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permisos</v>
      </c>
      <c r="L11" t="s">
        <v>2142</v>
      </c>
      <c r="M11" t="s">
        <v>2001</v>
      </c>
      <c r="N11" s="13" t="s">
        <v>360</v>
      </c>
      <c r="O11" s="13" t="s">
        <v>360</v>
      </c>
      <c r="P11" s="13" t="str">
        <f>IF(Tabla20[[#This Row],[id_padre]]=Tabla20[[#This Row],[Id]],"NOK","OK")</f>
        <v>OK</v>
      </c>
      <c r="Q11" s="13" t="s">
        <v>2018</v>
      </c>
    </row>
    <row r="12" spans="1:17" x14ac:dyDescent="0.5">
      <c r="A12">
        <f>IF(Tabla20[[#This Row],[Id_anterior]]=1,ROW()-1,SUM(ROW()-1,Tabla20[[#This Row],[Id_anterior]]))</f>
        <v>1718</v>
      </c>
      <c r="B12">
        <f>MAX(Tabla_Consolidados[Id])</f>
        <v>1707</v>
      </c>
      <c r="C12">
        <v>1715</v>
      </c>
      <c r="D12">
        <f>IF(Tabla20[[#This Row],[id_padre]]="",0,_xlfn.XLOOKUP(Tabla20[[#This Row],[id_padre]],Tabla20[Id],Tabla20[Nivel],0,0,1)+1)</f>
        <v>2</v>
      </c>
      <c r="E12" t="s">
        <v>2143</v>
      </c>
      <c r="F12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ADMINISTRACION_SEGURIDAD_COMPARADOR_PERMISOS</v>
      </c>
      <c r="G12" t="str">
        <f>CLEAN(PROPER(Tabla20[[#This Row],[Nombre Opción]]))</f>
        <v>Comparador De Permisos</v>
      </c>
      <c r="H12" t="s">
        <v>1735</v>
      </c>
      <c r="I12" t="str">
        <f>_xlfn.XLOOKUP(Tabla20[[#This Row],[id_padre]],Tabla20[Id],Tabla20[Codigo_Tecnico],"",0,1)</f>
        <v>ADMINISTRACION_SEGURIDAD</v>
      </c>
      <c r="J12" t="str">
        <f>IF(Tabla20[[#This Row],[Nivel]]=0,CONCATENATE("/",Tabla20[[#This Row],[Slug]]),CONCATENATE(_xlfn.XLOOKUP(Tabla20[[#This Row],[id_padre]],Tabla20[Id],Tabla20[Ruta_Web],"",0,1),"/",Tabla20[[#This Row],[Slug]]))</f>
        <v>/administracion/seguridad/comparador-permisos</v>
      </c>
      <c r="K12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comparador-permisos</v>
      </c>
      <c r="L12" t="s">
        <v>2147</v>
      </c>
      <c r="M12" t="s">
        <v>2001</v>
      </c>
      <c r="N12" s="13" t="s">
        <v>360</v>
      </c>
      <c r="O12" s="13" t="s">
        <v>360</v>
      </c>
      <c r="P12" s="13" t="str">
        <f>IF(Tabla20[[#This Row],[id_padre]]=Tabla20[[#This Row],[Id]],"NOK","OK")</f>
        <v>OK</v>
      </c>
      <c r="Q12" s="13" t="s">
        <v>2018</v>
      </c>
    </row>
    <row r="13" spans="1:17" x14ac:dyDescent="0.5">
      <c r="A13">
        <f>IF(Tabla20[[#This Row],[Id_anterior]]=1,ROW()-1,SUM(ROW()-1,Tabla20[[#This Row],[Id_anterior]]))</f>
        <v>1719</v>
      </c>
      <c r="B13">
        <f>MAX(Tabla_Consolidados[Id])</f>
        <v>1707</v>
      </c>
      <c r="C13">
        <v>1715</v>
      </c>
      <c r="D13">
        <f>IF(Tabla20[[#This Row],[id_padre]]="",0,_xlfn.XLOOKUP(Tabla20[[#This Row],[id_padre]],Tabla20[Id],Tabla20[Nivel],0,0,1)+1)</f>
        <v>2</v>
      </c>
      <c r="E13" t="s">
        <v>2123</v>
      </c>
      <c r="F13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ADMINISTRACION_SEGURIDAD_ROLES PERMISOS</v>
      </c>
      <c r="G13" t="str">
        <f>CLEAN(PROPER(Tabla20[[#This Row],[Nombre Opción]]))</f>
        <v>Roles Permisos</v>
      </c>
      <c r="H13" t="s">
        <v>1735</v>
      </c>
      <c r="I13" t="str">
        <f>_xlfn.XLOOKUP(Tabla20[[#This Row],[id_padre]],Tabla20[Id],Tabla20[Codigo_Tecnico],"",0,1)</f>
        <v>ADMINISTRACION_SEGURIDAD</v>
      </c>
      <c r="J13" t="str">
        <f>IF(Tabla20[[#This Row],[Nivel]]=0,CONCATENATE("/",Tabla20[[#This Row],[Slug]]),CONCATENATE(_xlfn.XLOOKUP(Tabla20[[#This Row],[id_padre]],Tabla20[Id],Tabla20[Ruta_Web],"",0,1),"/",Tabla20[[#This Row],[Slug]]))</f>
        <v>/administracion/seguridad/roles permisos</v>
      </c>
      <c r="K13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roles permisos</v>
      </c>
      <c r="L13" t="s">
        <v>1450</v>
      </c>
      <c r="M13" t="s">
        <v>2001</v>
      </c>
      <c r="N13" s="13" t="s">
        <v>360</v>
      </c>
      <c r="O13" s="13" t="s">
        <v>360</v>
      </c>
      <c r="P13" s="13" t="str">
        <f>IF(Tabla20[[#This Row],[id_padre]]=Tabla20[[#This Row],[Id]],"NOK","OK")</f>
        <v>OK</v>
      </c>
      <c r="Q13" s="13" t="s">
        <v>2018</v>
      </c>
    </row>
    <row r="14" spans="1:17" x14ac:dyDescent="0.5">
      <c r="A14">
        <f>IF(Tabla20[[#This Row],[Id_anterior]]=1,ROW()-1,SUM(ROW()-1,Tabla20[[#This Row],[Id_anterior]]))</f>
        <v>1720</v>
      </c>
      <c r="B14">
        <f>MAX(Tabla_Consolidados[Id])</f>
        <v>1707</v>
      </c>
      <c r="C14">
        <v>1715</v>
      </c>
      <c r="D14">
        <f>IF(Tabla20[[#This Row],[id_padre]]="",0,_xlfn.XLOOKUP(Tabla20[[#This Row],[id_padre]],Tabla20[Id],Tabla20[Nivel],0,0,1)+1)</f>
        <v>2</v>
      </c>
      <c r="E14" t="s">
        <v>2042</v>
      </c>
      <c r="F14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ADMINISTRACION_SEGURIDAD_OPERACIONES</v>
      </c>
      <c r="G14" t="str">
        <f>CLEAN(PROPER(Tabla20[[#This Row],[Nombre Opción]]))</f>
        <v>Operaciones</v>
      </c>
      <c r="H14" t="s">
        <v>1735</v>
      </c>
      <c r="I14" t="str">
        <f>_xlfn.XLOOKUP(Tabla20[[#This Row],[id_padre]],Tabla20[Id],Tabla20[Codigo_Tecnico],"",0,1)</f>
        <v>ADMINISTRACION_SEGURIDAD</v>
      </c>
      <c r="J14" t="str">
        <f>IF(Tabla20[[#This Row],[Nivel]]=0,CONCATENATE("/",Tabla20[[#This Row],[Slug]]),CONCATENATE(_xlfn.XLOOKUP(Tabla20[[#This Row],[id_padre]],Tabla20[Id],Tabla20[Ruta_Web],"",0,1),"/",Tabla20[[#This Row],[Slug]]))</f>
        <v>/administracion/seguridad/operaciones</v>
      </c>
      <c r="K14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operaciones</v>
      </c>
      <c r="L14" t="s">
        <v>2043</v>
      </c>
      <c r="M14" t="s">
        <v>2001</v>
      </c>
      <c r="N14" s="13" t="s">
        <v>360</v>
      </c>
      <c r="O14" s="13" t="s">
        <v>360</v>
      </c>
      <c r="P14" s="13" t="str">
        <f>IF(Tabla20[[#This Row],[id_padre]]=Tabla20[[#This Row],[Id]],"NOK","OK")</f>
        <v>OK</v>
      </c>
      <c r="Q14" s="13" t="s">
        <v>2018</v>
      </c>
    </row>
    <row r="15" spans="1:17" x14ac:dyDescent="0.5">
      <c r="A15">
        <f>IF(Tabla20[[#This Row],[Id_anterior]]=1,ROW()-1,SUM(ROW()-1,Tabla20[[#This Row],[Id_anterior]]))</f>
        <v>1721</v>
      </c>
      <c r="B15">
        <f>MAX(Tabla_Consolidados[Id])</f>
        <v>1707</v>
      </c>
      <c r="C15">
        <v>1715</v>
      </c>
      <c r="D15">
        <f>IF(Tabla20[[#This Row],[id_padre]]="",0,_xlfn.XLOOKUP(Tabla20[[#This Row],[id_padre]],Tabla20[Id],Tabla20[Nivel],0,0,1)+1)</f>
        <v>2</v>
      </c>
      <c r="E15" t="s">
        <v>2044</v>
      </c>
      <c r="F15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ADMINISTRACION_SEGURIDAD_ROLES</v>
      </c>
      <c r="G15" t="str">
        <f>CLEAN(PROPER(Tabla20[[#This Row],[Nombre Opción]]))</f>
        <v>Roles</v>
      </c>
      <c r="H15" t="s">
        <v>1735</v>
      </c>
      <c r="I15" t="str">
        <f>_xlfn.XLOOKUP(Tabla20[[#This Row],[id_padre]],Tabla20[Id],Tabla20[Codigo_Tecnico],"",0,1)</f>
        <v>ADMINISTRACION_SEGURIDAD</v>
      </c>
      <c r="J15" t="str">
        <f>IF(Tabla20[[#This Row],[Nivel]]=0,CONCATENATE("/",Tabla20[[#This Row],[Slug]]),CONCATENATE(_xlfn.XLOOKUP(Tabla20[[#This Row],[id_padre]],Tabla20[Id],Tabla20[Ruta_Web],"",0,1),"/",Tabla20[[#This Row],[Slug]]))</f>
        <v>/administracion/seguridad/roles</v>
      </c>
      <c r="K15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roles</v>
      </c>
      <c r="L15" t="s">
        <v>1506</v>
      </c>
      <c r="M15" t="s">
        <v>2001</v>
      </c>
      <c r="N15" s="13" t="s">
        <v>360</v>
      </c>
      <c r="O15" s="13" t="s">
        <v>360</v>
      </c>
      <c r="P15" s="13" t="str">
        <f>IF(Tabla20[[#This Row],[id_padre]]=Tabla20[[#This Row],[Id]],"NOK","OK")</f>
        <v>OK</v>
      </c>
      <c r="Q15" s="13" t="s">
        <v>2018</v>
      </c>
    </row>
    <row r="16" spans="1:17" x14ac:dyDescent="0.5">
      <c r="A16">
        <f>IF(Tabla20[[#This Row],[Id_anterior]]=1,ROW()-1,SUM(ROW()-1,Tabla20[[#This Row],[Id_anterior]]))</f>
        <v>1722</v>
      </c>
      <c r="B16">
        <f>MAX(Tabla_Consolidados[Id])</f>
        <v>1707</v>
      </c>
      <c r="C16">
        <v>1715</v>
      </c>
      <c r="D16">
        <f>IF(Tabla20[[#This Row],[id_padre]]="",0,_xlfn.XLOOKUP(Tabla20[[#This Row],[id_padre]],Tabla20[Id],Tabla20[Nivel],0,0,1)+1)</f>
        <v>2</v>
      </c>
      <c r="E16" t="s">
        <v>2045</v>
      </c>
      <c r="F16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ADMINISTRACION_SEGURIDAD_MATRIZ_PERMISOS</v>
      </c>
      <c r="G16" t="str">
        <f>CLEAN(PROPER(Tabla20[[#This Row],[Nombre Opción]]))</f>
        <v>Matriz De Permisos</v>
      </c>
      <c r="H16" t="s">
        <v>1735</v>
      </c>
      <c r="I16" t="str">
        <f>_xlfn.XLOOKUP(Tabla20[[#This Row],[id_padre]],Tabla20[Id],Tabla20[Codigo_Tecnico],"",0,1)</f>
        <v>ADMINISTRACION_SEGURIDAD</v>
      </c>
      <c r="J16" t="str">
        <f>IF(Tabla20[[#This Row],[Nivel]]=0,CONCATENATE("/",Tabla20[[#This Row],[Slug]]),CONCATENATE(_xlfn.XLOOKUP(Tabla20[[#This Row],[id_padre]],Tabla20[Id],Tabla20[Ruta_Web],"",0,1),"/",Tabla20[[#This Row],[Slug]]))</f>
        <v>/administracion/seguridad/matriz-permisos</v>
      </c>
      <c r="K16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matriz-permisos</v>
      </c>
      <c r="L16" t="s">
        <v>1497</v>
      </c>
      <c r="M16" t="s">
        <v>2001</v>
      </c>
      <c r="N16" s="13" t="s">
        <v>360</v>
      </c>
      <c r="O16" s="13" t="s">
        <v>360</v>
      </c>
      <c r="P16" s="13" t="str">
        <f>IF(Tabla20[[#This Row],[id_padre]]=Tabla20[[#This Row],[Id]],"NOK","OK")</f>
        <v>OK</v>
      </c>
      <c r="Q16" s="13" t="s">
        <v>2018</v>
      </c>
    </row>
    <row r="17" spans="1:17" x14ac:dyDescent="0.5">
      <c r="A17">
        <f>IF(Tabla20[[#This Row],[Id_anterior]]=1,ROW()-1,SUM(ROW()-1,Tabla20[[#This Row],[Id_anterior]]))</f>
        <v>1723</v>
      </c>
      <c r="B17">
        <f>MAX(Tabla_Consolidados[Id])</f>
        <v>1707</v>
      </c>
      <c r="C17">
        <v>1708</v>
      </c>
      <c r="D17">
        <f>IF(Tabla20[[#This Row],[id_padre]]="",0,_xlfn.XLOOKUP(Tabla20[[#This Row],[id_padre]],Tabla20[Id],Tabla20[Nivel],0,0,1)+1)</f>
        <v>1</v>
      </c>
      <c r="E17" t="s">
        <v>2188</v>
      </c>
      <c r="F17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ADMINISTRACION_CONTEXTO</v>
      </c>
      <c r="G17" t="str">
        <f>CLEAN(PROPER(Tabla20[[#This Row],[Nombre Opción]]))</f>
        <v>Contexto</v>
      </c>
      <c r="H17" t="s">
        <v>1735</v>
      </c>
      <c r="I17" t="str">
        <f>_xlfn.XLOOKUP(Tabla20[[#This Row],[id_padre]],Tabla20[Id],Tabla20[Codigo_Tecnico],"",0,1)</f>
        <v>ADMINISTRACION</v>
      </c>
      <c r="J17" t="str">
        <f>IF(Tabla20[[#This Row],[Nivel]]=0,CONCATENATE("/",Tabla20[[#This Row],[Slug]]),CONCATENATE(_xlfn.XLOOKUP(Tabla20[[#This Row],[id_padre]],Tabla20[Id],Tabla20[Ruta_Web],"",0,1),"/",Tabla20[[#This Row],[Slug]]))</f>
        <v>/administracion/contexto</v>
      </c>
      <c r="K17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contexto</v>
      </c>
      <c r="L17" t="s">
        <v>2151</v>
      </c>
      <c r="M17" t="s">
        <v>2001</v>
      </c>
      <c r="N17" s="13" t="s">
        <v>360</v>
      </c>
      <c r="O17" s="13" t="s">
        <v>360</v>
      </c>
      <c r="P17" s="13" t="str">
        <f>IF(Tabla20[[#This Row],[id_padre]]=Tabla20[[#This Row],[Id]],"NOK","OK")</f>
        <v>OK</v>
      </c>
      <c r="Q17" s="13" t="s">
        <v>2018</v>
      </c>
    </row>
    <row r="18" spans="1:17" x14ac:dyDescent="0.5">
      <c r="A18">
        <f>IF(Tabla20[[#This Row],[Id_anterior]]=1,ROW()-1,SUM(ROW()-1,Tabla20[[#This Row],[Id_anterior]]))</f>
        <v>1724</v>
      </c>
      <c r="B18">
        <f>MAX(Tabla_Consolidados[Id])</f>
        <v>1707</v>
      </c>
      <c r="C18">
        <v>1723</v>
      </c>
      <c r="D18">
        <f>IF(Tabla20[[#This Row],[id_padre]]="",0,_xlfn.XLOOKUP(Tabla20[[#This Row],[id_padre]],Tabla20[Id],Tabla20[Nivel],0,0,1)+1)</f>
        <v>2</v>
      </c>
      <c r="E18" t="s">
        <v>2148</v>
      </c>
      <c r="F18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ADMINISTRACION_CONTEXTO_GENERADOR_CONTEXTO</v>
      </c>
      <c r="G18" t="str">
        <f>CLEAN(PROPER(Tabla20[[#This Row],[Nombre Opción]]))</f>
        <v>Generador De Contexto</v>
      </c>
      <c r="H18" t="s">
        <v>1735</v>
      </c>
      <c r="I18" t="str">
        <f>_xlfn.XLOOKUP(Tabla20[[#This Row],[id_padre]],Tabla20[Id],Tabla20[Codigo_Tecnico],"",0,1)</f>
        <v>ADMINISTRACION_CONTEXTO</v>
      </c>
      <c r="J18" t="str">
        <f>IF(Tabla20[[#This Row],[Nivel]]=0,CONCATENATE("/",Tabla20[[#This Row],[Slug]]),CONCATENATE(_xlfn.XLOOKUP(Tabla20[[#This Row],[id_padre]],Tabla20[Id],Tabla20[Ruta_Web],"",0,1),"/",Tabla20[[#This Row],[Slug]]))</f>
        <v>/administracion/contexto/generador-contexto</v>
      </c>
      <c r="K18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generador-contexto</v>
      </c>
      <c r="L18" t="s">
        <v>2151</v>
      </c>
      <c r="M18" t="s">
        <v>2001</v>
      </c>
      <c r="N18" s="13" t="s">
        <v>360</v>
      </c>
      <c r="O18" s="13" t="s">
        <v>360</v>
      </c>
      <c r="P18" s="13" t="str">
        <f>IF(Tabla20[[#This Row],[id_padre]]=Tabla20[[#This Row],[Id]],"NOK","OK")</f>
        <v>OK</v>
      </c>
      <c r="Q18" s="13" t="s">
        <v>2018</v>
      </c>
    </row>
    <row r="19" spans="1:17" x14ac:dyDescent="0.5">
      <c r="A19">
        <f>IF(Tabla20[[#This Row],[Id_anterior]]=1,ROW()-1,SUM(ROW()-1,Tabla20[[#This Row],[Id_anterior]]))</f>
        <v>1725</v>
      </c>
      <c r="B19">
        <f>MAX(Tabla_Consolidados[Id])</f>
        <v>1707</v>
      </c>
      <c r="C19">
        <v>1708</v>
      </c>
      <c r="D19">
        <f>IF(Tabla20[[#This Row],[id_padre]]="",0,_xlfn.XLOOKUP(Tabla20[[#This Row],[id_padre]],Tabla20[Id],Tabla20[Nivel],0,0,1)+1)</f>
        <v>1</v>
      </c>
      <c r="E19" t="s">
        <v>2204</v>
      </c>
      <c r="F19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ADMINISTRACION_SAFI</v>
      </c>
      <c r="G19" t="str">
        <f>CLEAN(PROPER(Tabla20[[#This Row],[Nombre Opción]]))</f>
        <v>Safi</v>
      </c>
      <c r="H19" t="s">
        <v>1735</v>
      </c>
      <c r="I19" t="str">
        <f>_xlfn.XLOOKUP(Tabla20[[#This Row],[id_padre]],Tabla20[Id],Tabla20[Codigo_Tecnico],"",0,1)</f>
        <v>ADMINISTRACION</v>
      </c>
      <c r="J19" t="str">
        <f>IF(Tabla20[[#This Row],[Nivel]]=0,CONCATENATE("/",Tabla20[[#This Row],[Slug]]),CONCATENATE(_xlfn.XLOOKUP(Tabla20[[#This Row],[id_padre]],Tabla20[Id],Tabla20[Ruta_Web],"",0,1),"/",Tabla20[[#This Row],[Slug]]))</f>
        <v>/administracion/safi</v>
      </c>
      <c r="K19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safi</v>
      </c>
      <c r="L19" t="s">
        <v>1512</v>
      </c>
      <c r="M19" t="s">
        <v>2001</v>
      </c>
      <c r="N19" s="13" t="s">
        <v>360</v>
      </c>
      <c r="O19" s="13" t="s">
        <v>360</v>
      </c>
      <c r="P19" s="13" t="str">
        <f>IF(Tabla20[[#This Row],[id_padre]]=Tabla20[[#This Row],[Id]],"NOK","OK")</f>
        <v>OK</v>
      </c>
      <c r="Q19" s="13" t="s">
        <v>2018</v>
      </c>
    </row>
    <row r="20" spans="1:17" x14ac:dyDescent="0.5">
      <c r="A20">
        <f>IF(Tabla20[[#This Row],[Id_anterior]]=1,ROW()-1,SUM(ROW()-1,Tabla20[[#This Row],[Id_anterior]]))</f>
        <v>1726</v>
      </c>
      <c r="B20">
        <f>MAX(Tabla_Consolidados[Id])</f>
        <v>1707</v>
      </c>
      <c r="C20">
        <v>1725</v>
      </c>
      <c r="D20">
        <f>IF(Tabla20[[#This Row],[id_padre]]="",0,_xlfn.XLOOKUP(Tabla20[[#This Row],[id_padre]],Tabla20[Id],Tabla20[Nivel],0,0,1)+1)</f>
        <v>2</v>
      </c>
      <c r="E20" t="s">
        <v>2197</v>
      </c>
      <c r="F20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ADMINISTRACION_SAFI_GESTION_USUARIOS_SAFI</v>
      </c>
      <c r="G20" t="str">
        <f>CLEAN(PROPER(Tabla20[[#This Row],[Nombre Opción]]))</f>
        <v>Gestión De Usuarios (Safi)</v>
      </c>
      <c r="H20" t="s">
        <v>1735</v>
      </c>
      <c r="I20" t="str">
        <f>_xlfn.XLOOKUP(Tabla20[[#This Row],[id_padre]],Tabla20[Id],Tabla20[Codigo_Tecnico],"",0,1)</f>
        <v>ADMINISTRACION_SAFI</v>
      </c>
      <c r="J20" t="str">
        <f>IF(Tabla20[[#This Row],[Nivel]]=0,CONCATENATE("/",Tabla20[[#This Row],[Slug]]),CONCATENATE(_xlfn.XLOOKUP(Tabla20[[#This Row],[id_padre]],Tabla20[Id],Tabla20[Ruta_Web],"",0,1),"/",Tabla20[[#This Row],[Slug]]))</f>
        <v>/administracion/safi/gestion-usuarios-safi</v>
      </c>
      <c r="K20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gestion-usuarios-safi</v>
      </c>
      <c r="L20" t="s">
        <v>1594</v>
      </c>
      <c r="M20" t="s">
        <v>2001</v>
      </c>
      <c r="N20" s="13" t="s">
        <v>360</v>
      </c>
      <c r="O20" s="13" t="s">
        <v>360</v>
      </c>
      <c r="P20" s="13" t="str">
        <f>IF(Tabla20[[#This Row],[id_padre]]=Tabla20[[#This Row],[Id]],"NOK","OK")</f>
        <v>OK</v>
      </c>
      <c r="Q20" s="13" t="s">
        <v>2018</v>
      </c>
    </row>
    <row r="21" spans="1:17" x14ac:dyDescent="0.5">
      <c r="A21">
        <f>IF(Tabla20[[#This Row],[Id_anterior]]=1,ROW()-1,SUM(ROW()-1,Tabla20[[#This Row],[Id_anterior]]))</f>
        <v>1727</v>
      </c>
      <c r="B21">
        <f>MAX(Tabla_Consolidados[Id])</f>
        <v>1707</v>
      </c>
      <c r="C21">
        <v>1725</v>
      </c>
      <c r="D21">
        <f>IF(Tabla20[[#This Row],[id_padre]]="",0,_xlfn.XLOOKUP(Tabla20[[#This Row],[id_padre]],Tabla20[Id],Tabla20[Nivel],0,0,1)+1)</f>
        <v>2</v>
      </c>
      <c r="E21" t="s">
        <v>2165</v>
      </c>
      <c r="F21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ADMINISTRACION_SAFI_ASIGNAR ROLES</v>
      </c>
      <c r="G21" t="str">
        <f>CLEAN(PROPER(Tabla20[[#This Row],[Nombre Opción]]))</f>
        <v>Asignar Roles</v>
      </c>
      <c r="H21" t="s">
        <v>1735</v>
      </c>
      <c r="I21" t="str">
        <f>_xlfn.XLOOKUP(Tabla20[[#This Row],[id_padre]],Tabla20[Id],Tabla20[Codigo_Tecnico],"",0,1)</f>
        <v>ADMINISTRACION_SAFI</v>
      </c>
      <c r="J21" t="str">
        <f>IF(Tabla20[[#This Row],[Nivel]]=0,CONCATENATE("/",Tabla20[[#This Row],[Slug]]),CONCATENATE(_xlfn.XLOOKUP(Tabla20[[#This Row],[id_padre]],Tabla20[Id],Tabla20[Ruta_Web],"",0,1),"/",Tabla20[[#This Row],[Slug]]))</f>
        <v>/administracion/safi/asignar roles</v>
      </c>
      <c r="K21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asignar roles</v>
      </c>
      <c r="L21" t="s">
        <v>1526</v>
      </c>
      <c r="M21" t="s">
        <v>2001</v>
      </c>
      <c r="N21" s="13" t="s">
        <v>360</v>
      </c>
      <c r="O21" s="13" t="s">
        <v>360</v>
      </c>
      <c r="P21" s="13" t="str">
        <f>IF(Tabla20[[#This Row],[id_padre]]=Tabla20[[#This Row],[Id]],"NOK","OK")</f>
        <v>OK</v>
      </c>
      <c r="Q21" s="13" t="s">
        <v>2018</v>
      </c>
    </row>
    <row r="22" spans="1:17" x14ac:dyDescent="0.5">
      <c r="A22">
        <f>IF(Tabla20[[#This Row],[Id_anterior]]=1,ROW()-1,SUM(ROW()-1,Tabla20[[#This Row],[Id_anterior]]))</f>
        <v>1728</v>
      </c>
      <c r="B22">
        <f>MAX(Tabla_Consolidados[Id])</f>
        <v>1707</v>
      </c>
      <c r="C22">
        <v>1725</v>
      </c>
      <c r="D22">
        <f>IF(Tabla20[[#This Row],[id_padre]]="",0,_xlfn.XLOOKUP(Tabla20[[#This Row],[id_padre]],Tabla20[Id],Tabla20[Nivel],0,0,1)+1)</f>
        <v>2</v>
      </c>
      <c r="E22" t="s">
        <v>2161</v>
      </c>
      <c r="F22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ADMINISTRACION_SAFI_HOMOLOGACION ROLES</v>
      </c>
      <c r="G22" t="str">
        <f>CLEAN(PROPER(Tabla20[[#This Row],[Nombre Opción]]))</f>
        <v>Homologación Roles</v>
      </c>
      <c r="H22" t="s">
        <v>1735</v>
      </c>
      <c r="I22" t="str">
        <f>_xlfn.XLOOKUP(Tabla20[[#This Row],[id_padre]],Tabla20[Id],Tabla20[Codigo_Tecnico],"",0,1)</f>
        <v>ADMINISTRACION_SAFI</v>
      </c>
      <c r="J22" t="str">
        <f>IF(Tabla20[[#This Row],[Nivel]]=0,CONCATENATE("/",Tabla20[[#This Row],[Slug]]),CONCATENATE(_xlfn.XLOOKUP(Tabla20[[#This Row],[id_padre]],Tabla20[Id],Tabla20[Ruta_Web],"",0,1),"/",Tabla20[[#This Row],[Slug]]))</f>
        <v>/administracion/safi/homologacion roles</v>
      </c>
      <c r="K22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homologacion roles</v>
      </c>
      <c r="L22" t="s">
        <v>2164</v>
      </c>
      <c r="M22" t="s">
        <v>2001</v>
      </c>
      <c r="N22" s="13" t="s">
        <v>360</v>
      </c>
      <c r="O22" s="13" t="s">
        <v>360</v>
      </c>
      <c r="P22" s="13" t="str">
        <f>IF(Tabla20[[#This Row],[id_padre]]=Tabla20[[#This Row],[Id]],"NOK","OK")</f>
        <v>OK</v>
      </c>
      <c r="Q22" s="13" t="s">
        <v>2018</v>
      </c>
    </row>
    <row r="23" spans="1:17" x14ac:dyDescent="0.5">
      <c r="A23">
        <f>IF(Tabla20[[#This Row],[Id_anterior]]=1,ROW()-1,SUM(ROW()-1,Tabla20[[#This Row],[Id_anterior]]))</f>
        <v>1729</v>
      </c>
      <c r="B23">
        <f>MAX(Tabla_Consolidados[Id])</f>
        <v>1707</v>
      </c>
      <c r="C23">
        <v>1725</v>
      </c>
      <c r="D23">
        <f>IF(Tabla20[[#This Row],[id_padre]]="",0,_xlfn.XLOOKUP(Tabla20[[#This Row],[id_padre]],Tabla20[Id],Tabla20[Nivel],0,0,1)+1)</f>
        <v>2</v>
      </c>
      <c r="E23" t="s">
        <v>2152</v>
      </c>
      <c r="F23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ADMINISTRACION_SAFI_ENTIDADES</v>
      </c>
      <c r="G23" t="str">
        <f>CLEAN(PROPER(Tabla20[[#This Row],[Nombre Opción]]))</f>
        <v>Entidades</v>
      </c>
      <c r="H23" t="s">
        <v>1735</v>
      </c>
      <c r="I23" t="str">
        <f>_xlfn.XLOOKUP(Tabla20[[#This Row],[id_padre]],Tabla20[Id],Tabla20[Codigo_Tecnico],"",0,1)</f>
        <v>ADMINISTRACION_SAFI</v>
      </c>
      <c r="J23" t="str">
        <f>IF(Tabla20[[#This Row],[Nivel]]=0,CONCATENATE("/",Tabla20[[#This Row],[Slug]]),CONCATENATE(_xlfn.XLOOKUP(Tabla20[[#This Row],[id_padre]],Tabla20[Id],Tabla20[Ruta_Web],"",0,1),"/",Tabla20[[#This Row],[Slug]]))</f>
        <v>/administracion/safi/entidades</v>
      </c>
      <c r="K23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entidades</v>
      </c>
      <c r="L23" t="s">
        <v>1389</v>
      </c>
      <c r="M23" t="s">
        <v>2001</v>
      </c>
      <c r="N23" s="13" t="s">
        <v>360</v>
      </c>
      <c r="O23" s="13" t="s">
        <v>360</v>
      </c>
      <c r="P23" s="13" t="str">
        <f>IF(Tabla20[[#This Row],[id_padre]]=Tabla20[[#This Row],[Id]],"NOK","OK")</f>
        <v>OK</v>
      </c>
      <c r="Q23" s="13" t="s">
        <v>2018</v>
      </c>
    </row>
    <row r="24" spans="1:17" x14ac:dyDescent="0.5">
      <c r="A24">
        <f>IF(Tabla20[[#This Row],[Id_anterior]]=1,ROW()-1,SUM(ROW()-1,Tabla20[[#This Row],[Id_anterior]]))</f>
        <v>1730</v>
      </c>
      <c r="B24">
        <f>MAX(Tabla_Consolidados[Id])</f>
        <v>1707</v>
      </c>
      <c r="C24">
        <v>1725</v>
      </c>
      <c r="D24">
        <f>IF(Tabla20[[#This Row],[id_padre]]="",0,_xlfn.XLOOKUP(Tabla20[[#This Row],[id_padre]],Tabla20[Id],Tabla20[Nivel],0,0,1)+1)</f>
        <v>2</v>
      </c>
      <c r="E24" t="s">
        <v>2156</v>
      </c>
      <c r="F24" t="str">
        <f>IF(Tabla20[[#This Row],[id_padre]]="",SUBSTITUTE(UPPER(Tabla20[[#This Row],[Slug]]),"-","_"),CONCATENATE(_xlfn.XLOOKUP(Tabla20[[#This Row],[id_padre]],Tabla20[Id],Tabla20[Codigo_Tecnico],"",0,1),"_",SUBSTITUTE(UPPER(Tabla20[[#This Row],[Slug]]),"-","_")))</f>
        <v>ADMINISTRACION_SAFI_UNIDADES</v>
      </c>
      <c r="G24" t="str">
        <f>CLEAN(PROPER(Tabla20[[#This Row],[Nombre Opción]]))</f>
        <v>Unidades</v>
      </c>
      <c r="H24" t="s">
        <v>1735</v>
      </c>
      <c r="I24" t="str">
        <f>_xlfn.XLOOKUP(Tabla20[[#This Row],[id_padre]],Tabla20[Id],Tabla20[Codigo_Tecnico],"",0,1)</f>
        <v>ADMINISTRACION_SAFI</v>
      </c>
      <c r="J24" t="str">
        <f>IF(Tabla20[[#This Row],[Nivel]]=0,CONCATENATE("/",Tabla20[[#This Row],[Slug]]),CONCATENATE(_xlfn.XLOOKUP(Tabla20[[#This Row],[id_padre]],Tabla20[Id],Tabla20[Ruta_Web],"",0,1),"/",Tabla20[[#This Row],[Slug]]))</f>
        <v>/administracion/safi/unidades</v>
      </c>
      <c r="K24" t="str">
        <f>SUBSTITUTE(SUBSTITUTE(SUBSTITUTE(SUBSTITUTE(SUBSTITUTE(SUBSTITUTE(SUBSTITUTE(SUBSTITUTE(SUBSTITUTE(SUBSTITUTE(SUBSTITUTE(SUBSTITUTE(SUBSTITUTE(SUBSTITUTE(SUBSTITUTE(SUBSTITUTE(SUBSTITUTE(SUBSTITUTE(SUBSTITUTE(SUBSTITUTE(SUBSTITUTE(LOWER(Tabla20[[#This Row],[Nombre Opción]])," ","-"),"á","a"),"é","e"),"í","i"),"ó","o"),"ú","u"),"/en-","/"),"/de-","/"),"-de-","-"),"-del-","-"),"-la-","-"),"-las-","-"),"-a-","-"),"-y/o-","-"),"-en-","-"),"o/c","o-c"),"-/-","-"),"-–-","-"),".",""),"(",""),")","")</f>
        <v>unidades</v>
      </c>
      <c r="L24" t="s">
        <v>2160</v>
      </c>
      <c r="M24" t="s">
        <v>2001</v>
      </c>
      <c r="N24" s="13" t="s">
        <v>360</v>
      </c>
      <c r="O24" s="13" t="s">
        <v>360</v>
      </c>
      <c r="P24" s="13" t="str">
        <f>IF(Tabla20[[#This Row],[id_padre]]=Tabla20[[#This Row],[Id]],"NOK","OK")</f>
        <v>OK</v>
      </c>
      <c r="Q24" s="13" t="s">
        <v>2018</v>
      </c>
    </row>
    <row r="25" spans="1:17" x14ac:dyDescent="0.5">
      <c r="N25" s="13"/>
      <c r="O25" s="13"/>
      <c r="P25" s="13"/>
      <c r="Q25" s="13"/>
    </row>
    <row r="26" spans="1:17" x14ac:dyDescent="0.5">
      <c r="N26" s="13"/>
      <c r="O26" s="13"/>
      <c r="P26" s="13"/>
      <c r="Q26" s="13"/>
    </row>
    <row r="27" spans="1:17" x14ac:dyDescent="0.5">
      <c r="N27" s="13"/>
      <c r="O27" s="13"/>
      <c r="P27" s="13"/>
      <c r="Q27" s="13"/>
    </row>
    <row r="28" spans="1:17" x14ac:dyDescent="0.5">
      <c r="N28" s="13"/>
      <c r="O28" s="13"/>
      <c r="P28" s="13"/>
      <c r="Q28" s="13"/>
    </row>
    <row r="29" spans="1:17" x14ac:dyDescent="0.5">
      <c r="N29" s="13"/>
      <c r="O29" s="13"/>
      <c r="P29" s="13"/>
      <c r="Q29" s="13"/>
    </row>
    <row r="30" spans="1:17" x14ac:dyDescent="0.5">
      <c r="N30" s="13"/>
      <c r="O30" s="13"/>
      <c r="P30" s="13"/>
      <c r="Q30" s="13"/>
    </row>
    <row r="31" spans="1:17" x14ac:dyDescent="0.5">
      <c r="N31" s="13"/>
      <c r="O31" s="13"/>
      <c r="P31" s="13"/>
      <c r="Q31" s="13"/>
    </row>
    <row r="32" spans="1:17" x14ac:dyDescent="0.5">
      <c r="N32" s="13"/>
      <c r="O32" s="13"/>
      <c r="P32" s="13"/>
      <c r="Q32" s="13"/>
    </row>
    <row r="33" spans="5:17" x14ac:dyDescent="0.5">
      <c r="N33" s="13"/>
      <c r="O33" s="13"/>
      <c r="P33" s="13"/>
      <c r="Q33" s="13"/>
    </row>
    <row r="34" spans="5:17" x14ac:dyDescent="0.5">
      <c r="N34" s="13"/>
      <c r="O34" s="13"/>
      <c r="P34" s="13"/>
      <c r="Q34" s="13"/>
    </row>
    <row r="35" spans="5:17" x14ac:dyDescent="0.5">
      <c r="N35" s="13"/>
      <c r="O35" s="13"/>
      <c r="P35" s="13"/>
      <c r="Q35" s="13"/>
    </row>
    <row r="36" spans="5:17" x14ac:dyDescent="0.5">
      <c r="N36" s="13"/>
      <c r="O36" s="13"/>
      <c r="P36" s="13"/>
      <c r="Q36" s="13"/>
    </row>
    <row r="37" spans="5:17" x14ac:dyDescent="0.5">
      <c r="N37" s="13"/>
      <c r="O37" s="13"/>
      <c r="P37" s="13"/>
      <c r="Q37" s="13"/>
    </row>
    <row r="38" spans="5:17" x14ac:dyDescent="0.5">
      <c r="N38" s="13"/>
      <c r="O38" s="13"/>
      <c r="P38" s="13"/>
      <c r="Q38" s="13"/>
    </row>
    <row r="42" spans="5:17" x14ac:dyDescent="0.5">
      <c r="E42" t="s">
        <v>2110</v>
      </c>
      <c r="F42" t="s">
        <v>2111</v>
      </c>
      <c r="G42" t="s">
        <v>2110</v>
      </c>
      <c r="H42" t="s">
        <v>2028</v>
      </c>
      <c r="J42" t="s">
        <v>2112</v>
      </c>
      <c r="K42" t="s">
        <v>2113</v>
      </c>
      <c r="L42" t="s">
        <v>1337</v>
      </c>
      <c r="M42" t="s">
        <v>2001</v>
      </c>
    </row>
    <row r="43" spans="5:17" x14ac:dyDescent="0.5">
      <c r="E43" t="s">
        <v>2168</v>
      </c>
      <c r="F43" t="s">
        <v>2169</v>
      </c>
      <c r="G43" t="s">
        <v>2168</v>
      </c>
      <c r="H43" t="s">
        <v>2028</v>
      </c>
      <c r="I43" t="s">
        <v>2111</v>
      </c>
      <c r="J43" t="s">
        <v>2170</v>
      </c>
      <c r="K43" t="s">
        <v>2171</v>
      </c>
      <c r="L43" t="s">
        <v>1338</v>
      </c>
      <c r="M43" t="s">
        <v>2001</v>
      </c>
    </row>
    <row r="44" spans="5:17" x14ac:dyDescent="0.5">
      <c r="E44" t="s">
        <v>2109</v>
      </c>
      <c r="F44" t="s">
        <v>2114</v>
      </c>
      <c r="G44" t="s">
        <v>2109</v>
      </c>
      <c r="H44" t="s">
        <v>1735</v>
      </c>
      <c r="I44" t="s">
        <v>2169</v>
      </c>
      <c r="J44" t="s">
        <v>2172</v>
      </c>
      <c r="K44" t="s">
        <v>2115</v>
      </c>
      <c r="L44" t="s">
        <v>1464</v>
      </c>
      <c r="M44" t="s">
        <v>2001</v>
      </c>
    </row>
    <row r="45" spans="5:17" x14ac:dyDescent="0.5">
      <c r="E45" t="s">
        <v>2038</v>
      </c>
      <c r="F45" t="s">
        <v>2116</v>
      </c>
      <c r="G45" t="s">
        <v>2038</v>
      </c>
      <c r="H45" t="s">
        <v>1735</v>
      </c>
      <c r="I45" t="s">
        <v>2169</v>
      </c>
      <c r="J45" t="s">
        <v>2173</v>
      </c>
      <c r="K45" t="s">
        <v>2117</v>
      </c>
      <c r="L45" t="s">
        <v>2037</v>
      </c>
      <c r="M45" t="s">
        <v>2001</v>
      </c>
    </row>
    <row r="46" spans="5:17" x14ac:dyDescent="0.5">
      <c r="E46" t="s">
        <v>2039</v>
      </c>
      <c r="F46" t="s">
        <v>2118</v>
      </c>
      <c r="G46" t="s">
        <v>2119</v>
      </c>
      <c r="H46" t="s">
        <v>1735</v>
      </c>
      <c r="I46" t="s">
        <v>2169</v>
      </c>
      <c r="J46" t="s">
        <v>2174</v>
      </c>
      <c r="K46" t="s">
        <v>2120</v>
      </c>
      <c r="L46" t="s">
        <v>1407</v>
      </c>
      <c r="M46" t="s">
        <v>2001</v>
      </c>
    </row>
    <row r="47" spans="5:17" x14ac:dyDescent="0.5">
      <c r="E47" t="s">
        <v>2040</v>
      </c>
      <c r="F47" t="s">
        <v>2121</v>
      </c>
      <c r="G47" t="s">
        <v>2040</v>
      </c>
      <c r="H47" t="s">
        <v>1735</v>
      </c>
      <c r="I47" t="s">
        <v>2169</v>
      </c>
      <c r="J47" t="s">
        <v>2175</v>
      </c>
      <c r="K47" t="s">
        <v>2122</v>
      </c>
      <c r="L47" t="s">
        <v>1338</v>
      </c>
      <c r="M47" t="s">
        <v>2001</v>
      </c>
    </row>
    <row r="48" spans="5:17" x14ac:dyDescent="0.5">
      <c r="E48" t="s">
        <v>2136</v>
      </c>
      <c r="F48" t="s">
        <v>2137</v>
      </c>
      <c r="G48" t="s">
        <v>2136</v>
      </c>
      <c r="H48" t="s">
        <v>1735</v>
      </c>
      <c r="I48" t="s">
        <v>2169</v>
      </c>
      <c r="J48" t="s">
        <v>2176</v>
      </c>
      <c r="K48" t="s">
        <v>2138</v>
      </c>
      <c r="L48" t="s">
        <v>1477</v>
      </c>
      <c r="M48" t="s">
        <v>2001</v>
      </c>
    </row>
    <row r="49" spans="5:13" x14ac:dyDescent="0.5">
      <c r="E49" t="s">
        <v>2177</v>
      </c>
      <c r="F49" t="s">
        <v>2178</v>
      </c>
      <c r="G49" t="s">
        <v>2177</v>
      </c>
      <c r="H49" t="s">
        <v>2028</v>
      </c>
      <c r="I49" t="s">
        <v>2111</v>
      </c>
      <c r="J49" t="s">
        <v>2179</v>
      </c>
      <c r="K49" t="s">
        <v>2180</v>
      </c>
      <c r="L49" t="s">
        <v>1356</v>
      </c>
      <c r="M49" t="s">
        <v>2001</v>
      </c>
    </row>
    <row r="50" spans="5:13" x14ac:dyDescent="0.5">
      <c r="E50" t="s">
        <v>2133</v>
      </c>
      <c r="F50" t="s">
        <v>2134</v>
      </c>
      <c r="G50" t="s">
        <v>2133</v>
      </c>
      <c r="H50" t="s">
        <v>1735</v>
      </c>
      <c r="I50" t="s">
        <v>2178</v>
      </c>
      <c r="J50" t="s">
        <v>2181</v>
      </c>
      <c r="K50" t="s">
        <v>2135</v>
      </c>
      <c r="L50" t="s">
        <v>1358</v>
      </c>
      <c r="M50" t="s">
        <v>2001</v>
      </c>
    </row>
    <row r="51" spans="5:13" x14ac:dyDescent="0.5">
      <c r="E51" t="s">
        <v>2139</v>
      </c>
      <c r="F51" t="s">
        <v>2140</v>
      </c>
      <c r="G51" t="s">
        <v>2139</v>
      </c>
      <c r="H51" t="s">
        <v>1735</v>
      </c>
      <c r="I51" t="s">
        <v>2178</v>
      </c>
      <c r="J51" t="s">
        <v>2182</v>
      </c>
      <c r="K51" t="s">
        <v>2141</v>
      </c>
      <c r="L51" t="s">
        <v>2142</v>
      </c>
      <c r="M51" t="s">
        <v>2001</v>
      </c>
    </row>
    <row r="52" spans="5:13" x14ac:dyDescent="0.5">
      <c r="E52" t="s">
        <v>2143</v>
      </c>
      <c r="F52" t="s">
        <v>2144</v>
      </c>
      <c r="G52" t="s">
        <v>2145</v>
      </c>
      <c r="H52" t="s">
        <v>1735</v>
      </c>
      <c r="I52" t="s">
        <v>2178</v>
      </c>
      <c r="J52" t="s">
        <v>2183</v>
      </c>
      <c r="K52" t="s">
        <v>2146</v>
      </c>
      <c r="L52" t="s">
        <v>2147</v>
      </c>
      <c r="M52" t="s">
        <v>2001</v>
      </c>
    </row>
    <row r="53" spans="5:13" x14ac:dyDescent="0.5">
      <c r="E53" t="s">
        <v>2123</v>
      </c>
      <c r="F53" t="s">
        <v>2124</v>
      </c>
      <c r="G53" t="s">
        <v>2041</v>
      </c>
      <c r="H53" t="s">
        <v>1735</v>
      </c>
      <c r="I53" t="s">
        <v>2178</v>
      </c>
      <c r="J53" t="s">
        <v>2184</v>
      </c>
      <c r="K53" t="s">
        <v>2125</v>
      </c>
      <c r="L53" t="s">
        <v>1450</v>
      </c>
      <c r="M53" t="s">
        <v>2001</v>
      </c>
    </row>
    <row r="54" spans="5:13" x14ac:dyDescent="0.5">
      <c r="E54" t="s">
        <v>2042</v>
      </c>
      <c r="F54" t="s">
        <v>2126</v>
      </c>
      <c r="G54" t="s">
        <v>2042</v>
      </c>
      <c r="H54" t="s">
        <v>1735</v>
      </c>
      <c r="I54" t="s">
        <v>2178</v>
      </c>
      <c r="J54" t="s">
        <v>2185</v>
      </c>
      <c r="K54" t="s">
        <v>2127</v>
      </c>
      <c r="L54" t="s">
        <v>2043</v>
      </c>
      <c r="M54" t="s">
        <v>2001</v>
      </c>
    </row>
    <row r="55" spans="5:13" x14ac:dyDescent="0.5">
      <c r="E55" t="s">
        <v>2044</v>
      </c>
      <c r="F55" t="s">
        <v>2128</v>
      </c>
      <c r="G55" t="s">
        <v>2044</v>
      </c>
      <c r="H55" t="s">
        <v>1735</v>
      </c>
      <c r="I55" t="s">
        <v>2178</v>
      </c>
      <c r="J55" t="s">
        <v>2186</v>
      </c>
      <c r="K55" t="s">
        <v>2129</v>
      </c>
      <c r="L55" t="s">
        <v>1506</v>
      </c>
      <c r="M55" t="s">
        <v>2001</v>
      </c>
    </row>
    <row r="56" spans="5:13" x14ac:dyDescent="0.5">
      <c r="E56" t="s">
        <v>2045</v>
      </c>
      <c r="F56" t="s">
        <v>2130</v>
      </c>
      <c r="G56" t="s">
        <v>2131</v>
      </c>
      <c r="H56" t="s">
        <v>1735</v>
      </c>
      <c r="I56" t="s">
        <v>2178</v>
      </c>
      <c r="J56" t="s">
        <v>2187</v>
      </c>
      <c r="K56" t="s">
        <v>2132</v>
      </c>
      <c r="L56" t="s">
        <v>1497</v>
      </c>
      <c r="M56" t="s">
        <v>2001</v>
      </c>
    </row>
    <row r="57" spans="5:13" x14ac:dyDescent="0.5">
      <c r="E57" t="s">
        <v>2188</v>
      </c>
      <c r="F57" t="s">
        <v>2189</v>
      </c>
      <c r="G57" t="s">
        <v>2188</v>
      </c>
      <c r="H57" t="s">
        <v>2028</v>
      </c>
      <c r="I57" t="s">
        <v>2111</v>
      </c>
      <c r="J57" t="s">
        <v>2190</v>
      </c>
      <c r="K57" t="s">
        <v>2191</v>
      </c>
      <c r="L57" t="s">
        <v>2151</v>
      </c>
      <c r="M57" t="s">
        <v>2001</v>
      </c>
    </row>
    <row r="58" spans="5:13" x14ac:dyDescent="0.5">
      <c r="E58" t="s">
        <v>2148</v>
      </c>
      <c r="F58" t="s">
        <v>2149</v>
      </c>
      <c r="G58" t="s">
        <v>2148</v>
      </c>
      <c r="H58" t="s">
        <v>1735</v>
      </c>
      <c r="I58" t="s">
        <v>2189</v>
      </c>
      <c r="J58" t="s">
        <v>2192</v>
      </c>
      <c r="K58" t="s">
        <v>2150</v>
      </c>
      <c r="L58" t="s">
        <v>2151</v>
      </c>
      <c r="M58" t="s">
        <v>2001</v>
      </c>
    </row>
    <row r="59" spans="5:13" x14ac:dyDescent="0.5">
      <c r="E59" t="s">
        <v>2193</v>
      </c>
      <c r="F59" t="s">
        <v>2194</v>
      </c>
      <c r="G59" t="s">
        <v>2193</v>
      </c>
      <c r="H59" t="s">
        <v>2028</v>
      </c>
      <c r="I59" t="s">
        <v>2111</v>
      </c>
      <c r="J59" t="s">
        <v>2195</v>
      </c>
      <c r="K59" t="s">
        <v>2196</v>
      </c>
      <c r="L59" t="s">
        <v>1512</v>
      </c>
      <c r="M59" t="s">
        <v>2001</v>
      </c>
    </row>
    <row r="60" spans="5:13" x14ac:dyDescent="0.5">
      <c r="E60" t="s">
        <v>2197</v>
      </c>
      <c r="F60" t="s">
        <v>2198</v>
      </c>
      <c r="G60" t="s">
        <v>2199</v>
      </c>
      <c r="H60" t="s">
        <v>1735</v>
      </c>
      <c r="I60" t="s">
        <v>2194</v>
      </c>
      <c r="J60" t="s">
        <v>2200</v>
      </c>
      <c r="K60" t="s">
        <v>2201</v>
      </c>
      <c r="L60" t="s">
        <v>1594</v>
      </c>
      <c r="M60" t="s">
        <v>2001</v>
      </c>
    </row>
    <row r="61" spans="5:13" x14ac:dyDescent="0.5">
      <c r="E61" t="s">
        <v>2165</v>
      </c>
      <c r="F61" t="s">
        <v>2166</v>
      </c>
      <c r="G61" t="s">
        <v>2165</v>
      </c>
      <c r="H61" t="s">
        <v>1735</v>
      </c>
      <c r="I61" t="s">
        <v>2194</v>
      </c>
      <c r="J61" t="s">
        <v>2202</v>
      </c>
      <c r="K61" t="s">
        <v>2167</v>
      </c>
      <c r="L61" t="s">
        <v>1526</v>
      </c>
      <c r="M61" t="s">
        <v>2001</v>
      </c>
    </row>
    <row r="62" spans="5:13" x14ac:dyDescent="0.5">
      <c r="E62" t="s">
        <v>2161</v>
      </c>
      <c r="F62" t="s">
        <v>2162</v>
      </c>
      <c r="G62" t="s">
        <v>2161</v>
      </c>
      <c r="H62" t="s">
        <v>1735</v>
      </c>
      <c r="I62" t="s">
        <v>2194</v>
      </c>
      <c r="J62" t="s">
        <v>2203</v>
      </c>
      <c r="K62" t="s">
        <v>2163</v>
      </c>
      <c r="L62" t="s">
        <v>2164</v>
      </c>
      <c r="M62" t="s">
        <v>2001</v>
      </c>
    </row>
    <row r="63" spans="5:13" x14ac:dyDescent="0.5">
      <c r="E63" t="s">
        <v>2152</v>
      </c>
      <c r="F63" t="s">
        <v>2153</v>
      </c>
      <c r="G63" t="s">
        <v>2152</v>
      </c>
      <c r="H63" t="s">
        <v>2028</v>
      </c>
      <c r="I63" t="s">
        <v>2111</v>
      </c>
      <c r="J63" t="s">
        <v>2154</v>
      </c>
      <c r="K63" t="s">
        <v>2155</v>
      </c>
      <c r="L63" t="s">
        <v>1389</v>
      </c>
      <c r="M63" t="s">
        <v>2001</v>
      </c>
    </row>
    <row r="64" spans="5:13" x14ac:dyDescent="0.5">
      <c r="E64" t="s">
        <v>2156</v>
      </c>
      <c r="F64" t="s">
        <v>2157</v>
      </c>
      <c r="G64" t="s">
        <v>2156</v>
      </c>
      <c r="H64" t="s">
        <v>2028</v>
      </c>
      <c r="I64" t="s">
        <v>2111</v>
      </c>
      <c r="J64" t="s">
        <v>2158</v>
      </c>
      <c r="K64" t="s">
        <v>2159</v>
      </c>
      <c r="L64" t="s">
        <v>2160</v>
      </c>
      <c r="M64" t="s">
        <v>2001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A2B01E-8949-442D-8374-6F0D293CD36E}">
          <x14:formula1>
            <xm:f>Tipos!$B$2:$B$7</xm:f>
          </x14:formula1>
          <xm:sqref>H2:H38</xm:sqref>
        </x14:dataValidation>
        <x14:dataValidation type="list" allowBlank="1" showInputMessage="1" showErrorMessage="1" xr:uid="{8487C060-49EF-4568-AB4E-B921FF87CBCC}">
          <x14:formula1>
            <xm:f>Modulos!$C$2:$C$16</xm:f>
          </x14:formula1>
          <xm:sqref>M2:M38</xm:sqref>
        </x14:dataValidation>
        <x14:dataValidation type="list" allowBlank="1" showInputMessage="1" showErrorMessage="1" xr:uid="{8B0ACC8C-FFCE-42C6-B010-B7FF38FCC647}">
          <x14:formula1>
            <xm:f>Lista!$A$2:$A$3</xm:f>
          </x14:formula1>
          <xm:sqref>N2:O38</xm:sqref>
        </x14:dataValidation>
        <x14:dataValidation type="list" allowBlank="1" showInputMessage="1" showErrorMessage="1" xr:uid="{22277323-2183-443B-A353-88A26BA0726F}">
          <x14:formula1>
            <xm:f>Equipo!$B$2:$B$7</xm:f>
          </x14:formula1>
          <xm:sqref>Q2:Q38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Lista</vt:lpstr>
      <vt:lpstr>Endpoints</vt:lpstr>
      <vt:lpstr>Tipos</vt:lpstr>
      <vt:lpstr>Roles</vt:lpstr>
      <vt:lpstr>Politicas</vt:lpstr>
      <vt:lpstr>Modulos</vt:lpstr>
      <vt:lpstr>Permisos</vt:lpstr>
      <vt:lpstr>Divisiones</vt:lpstr>
      <vt:lpstr>Equipo</vt:lpstr>
      <vt:lpstr>CONTA</vt:lpstr>
      <vt:lpstr>PRESP</vt:lpstr>
      <vt:lpstr>VMNAC</vt:lpstr>
      <vt:lpstr>CONCI</vt:lpstr>
      <vt:lpstr>CAJA</vt:lpstr>
      <vt:lpstr>COMPR</vt:lpstr>
      <vt:lpstr>DECRE</vt:lpstr>
      <vt:lpstr>LIMED</vt:lpstr>
      <vt:lpstr>DESCU</vt:lpstr>
      <vt:lpstr>ALIME</vt:lpstr>
      <vt:lpstr>VMEXT</vt:lpstr>
      <vt:lpstr>INFRA</vt:lpstr>
      <vt:lpstr>COMEX</vt:lpstr>
      <vt:lpstr>CONSO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Jean-Pierre Paiva Gonzalez</dc:creator>
  <cp:lastModifiedBy>Gerardo Paiva</cp:lastModifiedBy>
  <dcterms:created xsi:type="dcterms:W3CDTF">2026-04-13T18:18:59Z</dcterms:created>
  <dcterms:modified xsi:type="dcterms:W3CDTF">2026-06-08T18:50:34Z</dcterms:modified>
</cp:coreProperties>
</file>